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d3a1402018734550" /></Relationships>
</file>

<file path=xl/workbook.xml><?xml version="1.0" encoding="utf-8"?>
<x:workbook xmlns:x="http://schemas.openxmlformats.org/spreadsheetml/2006/main">
  <x:sheets>
    <x:sheet xmlns:r="http://schemas.openxmlformats.org/officeDocument/2006/relationships" name="00_Cover+Sources" sheetId="1" r:id="R1d195dd7c68e44f0"/>
    <x:sheet xmlns:r="http://schemas.openxmlformats.org/officeDocument/2006/relationships" name="01_Historical+Segments" sheetId="2" r:id="R317d178ad6a5465b"/>
    <x:sheet xmlns:r="http://schemas.openxmlformats.org/officeDocument/2006/relationships" name="02_Drivers+Scenarios" sheetId="3" r:id="Ra113ba4392734b80"/>
    <x:sheet xmlns:r="http://schemas.openxmlformats.org/officeDocument/2006/relationships" name="03_3Statement+Schedules" sheetId="4" r:id="R449da08282cc424e"/>
    <x:sheet xmlns:r="http://schemas.openxmlformats.org/officeDocument/2006/relationships" name="04_Valuation" sheetId="5" r:id="Rc440162b6e3a4a8c"/>
    <x:sheet xmlns:r="http://schemas.openxmlformats.org/officeDocument/2006/relationships" name="05_Dashboard" sheetId="6" r:id="Rd184d028d11b4daa"/>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0;(#,##0.0);&quot;–&quot;"/>
    <x:numFmt numFmtId="201" formatCode="0.0%;(0.0%);&quot;–&quot;"/>
    <x:numFmt numFmtId="202" formatCode="0.00&quot;x&quot;"/>
    <x:numFmt numFmtId="203" formatCode="0.00;(0.00);&quot;–&quot;"/>
    <x:numFmt numFmtId="204" formatCode="0"/>
    <x:numFmt numFmtId="205" formatCode="0.0&quot;x&quot;"/>
    <x:numFmt numFmtId="206" formatCode="0.00;(0.00);0.00"/>
    <x:numFmt numFmtId="207" formatCode="#,##0.00;(#,##0.00);&quot;–&quot;"/>
    <x:numFmt numFmtId="208" formatCode="dd-mmm-yyyy"/>
    <x:numFmt numFmtId="209" formatCode="0.000"/>
    <x:numFmt numFmtId="210" formatCode="0.000&quot;x&quot;"/>
    <x:numFmt numFmtId="211" formatCode="0.00%"/>
  </x:numFmts>
  <x:fonts count="33">
    <x:font>
      <x:sz val="11"/>
      <x:name val="Carlito"/>
    </x:font>
    <x:font>
      <x:sz val="10"/>
      <x:color rgb="FF17324F"/>
      <x:name val="Arial"/>
    </x:font>
    <x:font>
      <x:b/>
      <x:sz val="16"/>
      <x:color rgb="FF17324F"/>
      <x:name val="Arial"/>
    </x:font>
    <x:font>
      <x:i/>
      <x:sz val="10"/>
      <x:color rgb="FF64748B"/>
      <x:name val="Arial"/>
    </x:font>
    <x:font>
      <x:sz val="10"/>
      <x:color rgb="FF00804A"/>
      <x:name val="Arial"/>
    </x:font>
    <x:font>
      <x:b/>
      <x:sz val="10"/>
      <x:color rgb="FF17324F"/>
      <x:name val="Arial"/>
    </x:font>
    <x:font>
      <x:b/>
      <x:sz val="10"/>
      <x:color rgb="FFFFFFFF"/>
      <x:name val="Arial"/>
    </x:font>
    <x:font>
      <x:sz val="10"/>
      <x:color rgb="FF111111"/>
      <x:name val="Arial"/>
    </x:font>
    <x:font>
      <x:sz val="10"/>
      <x:color rgb="FF64748B"/>
      <x:name val="Arial"/>
    </x:font>
    <x:font>
      <x:sz val="10"/>
      <x:color rgb="FF1553A0"/>
      <x:name val="Arial"/>
    </x:font>
    <x:font>
      <x:i/>
      <x:sz val="10"/>
      <x:color rgb="FF17324F"/>
      <x:name val="Arial"/>
    </x:font>
    <x:font>
      <x:i/>
      <x:sz val="10"/>
      <x:color rgb="FF00804A"/>
      <x:name val="Arial"/>
    </x:font>
    <x:font>
      <x:b/>
      <x:i/>
      <x:sz val="10"/>
      <x:color rgb="FF17324F"/>
      <x:name val="Arial"/>
    </x:font>
    <x:font>
      <x:i/>
      <x:sz val="10"/>
      <x:color rgb="FF1553A0"/>
      <x:name val="Arial"/>
    </x:font>
    <x:font>
      <x:b/>
      <x:i/>
      <x:sz val="10"/>
      <x:color rgb="FF111111"/>
      <x:name val="Arial"/>
    </x:font>
    <x:font>
      <x:b/>
      <x:sz val="10"/>
      <x:color rgb="FF111111"/>
      <x:name val="Arial"/>
    </x:font>
    <x:font>
      <x:b/>
      <x:i/>
      <x:sz val="10"/>
      <x:color rgb="FF00804A"/>
      <x:name val="Arial"/>
    </x:font>
    <x:font>
      <x:b/>
      <x:sz val="10"/>
      <x:color rgb="FF00804A"/>
      <x:name val="Arial"/>
    </x:font>
    <x:font>
      <x:i/>
      <x:sz val="10"/>
      <x:color rgb="FF111111"/>
      <x:name val="Arial"/>
    </x:font>
    <x:font>
      <x:sz val="11"/>
      <x:color rgb="FF00804A"/>
      <x:name val="Carlito"/>
    </x:font>
    <x:font>
      <x:sz val="11"/>
      <x:color rgb="FF17324F"/>
      <x:name val="Carlito"/>
    </x:font>
    <x:font>
      <x:b/>
      <x:sz val="11"/>
      <x:color rgb="FFFFFFFF"/>
      <x:name val="Carlito"/>
    </x:font>
    <x:font>
      <x:b/>
      <x:sz val="11"/>
      <x:color rgb="FF17324F"/>
      <x:name val="Carlito"/>
    </x:font>
    <x:font>
      <x:b/>
      <x:sz val="11"/>
      <x:name val="Carlito"/>
    </x:font>
    <x:font>
      <x:i/>
      <x:sz val="11"/>
      <x:color rgb="FF17324F"/>
      <x:name val="Carlito"/>
    </x:font>
    <x:font>
      <x:i/>
      <x:sz val="11"/>
      <x:name val="Carlito"/>
    </x:font>
    <x:font>
      <x:b/>
      <x:sz val="11"/>
      <x:color rgb="FF111111"/>
      <x:name val="Carlito"/>
    </x:font>
    <x:font>
      <x:i/>
      <x:sz val="11"/>
      <x:color rgb="FF00804A"/>
      <x:name val="Carlito"/>
    </x:font>
    <x:font>
      <x:b/>
      <x:sz val="11"/>
      <x:color rgb="FF00804A"/>
      <x:name val="Carlito"/>
    </x:font>
    <x:font>
      <x:i/>
      <x:sz val="11"/>
      <x:color rgb="FF111111"/>
      <x:name val="Carlito"/>
    </x:font>
    <x:font>
      <x:sz val="11"/>
      <x:color rgb="FF111111"/>
      <x:name val="Carlito"/>
    </x:font>
    <x:font>
      <x:sz val="10"/>
      <x:color rgb="FF64748B"/>
      <x:name val="Carlito"/>
    </x:font>
    <x:font>
      <x:sz val="10"/>
      <x:color rgb="FF17324F"/>
      <x:name val="Carlito"/>
    </x:font>
  </x:fonts>
  <x:fills count="10">
    <x:fill>
      <x:patternFill patternType="none"/>
    </x:fill>
    <x:fill>
      <x:patternFill patternType="gray125"/>
    </x:fill>
    <x:fill>
      <x:patternFill patternType="solid">
        <x:fgColor rgb="FFDCE5EE"/>
      </x:patternFill>
    </x:fill>
    <x:fill>
      <x:patternFill patternType="solid">
        <x:fgColor rgb="FF17324F"/>
      </x:patternFill>
    </x:fill>
    <x:fill>
      <x:patternFill patternType="solid">
        <x:fgColor rgb="FFEEF2F7"/>
      </x:patternFill>
    </x:fill>
    <x:fill>
      <x:patternFill patternType="solid">
        <x:fgColor rgb="FFFFF1C2"/>
      </x:patternFill>
    </x:fill>
    <x:fill>
      <x:patternFill patternType="solid">
        <x:fgColor rgb="FF17324F"/>
      </x:patternFill>
    </x:fill>
    <x:fill>
      <x:patternFill patternType="solid">
        <x:fgColor rgb="FFEEF2F7"/>
      </x:patternFill>
    </x:fill>
    <x:fill>
      <x:patternFill patternType="solid">
        <x:fgColor rgb="FFFFF1C2"/>
      </x:patternFill>
    </x:fill>
    <x:fill>
      <x:patternFill patternType="solid">
        <x:fgColor rgb="FFFFFFFF"/>
      </x:patternFill>
    </x:fill>
  </x:fills>
  <x:borders count="3">
    <x:border/>
    <x:border>
      <x:bottom style="thin">
        <x:color rgb="FF17324F"/>
      </x:bottom>
    </x:border>
    <x:border>
      <x:top style="thin">
        <x:color rgb="FFB7C5D4"/>
      </x:top>
    </x:border>
  </x:borders>
  <x:cellStyleXfs count="1">
    <x:xf numFmtId="0" fontId="0" fillId="0" borderId="0"/>
  </x:cellStyleXfs>
  <x:cellXfs count="16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5" fillId="2" borderId="0" xfId="0" applyNumberFormat="1" applyFont="1" applyFill="1" applyBorder="1" applyAlignment="1">
      <x:alignment horizontal="center" vertical="center"/>
    </x:xf>
    <x:xf numFmtId="0" fontId="6" fillId="3" borderId="0" xfId="0" applyNumberFormat="1" applyFont="1" applyFill="1" applyBorder="1" applyAlignment="1">
      <x:alignment horizontal="center" vertical="center"/>
    </x:xf>
    <x:xf numFmtId="200" fontId="7"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200" fontId="9"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6" fillId="3" borderId="0" xfId="0" applyNumberFormat="1" applyFont="1" applyFill="1" applyBorder="1" applyAlignment="1">
      <x:alignment vertical="center"/>
    </x:xf>
    <x:xf numFmtId="200" fontId="1" fillId="2" borderId="0" xfId="0" applyNumberFormat="1" applyFont="1" applyFill="1" applyBorder="1" applyAlignment="1">
      <x:alignment vertical="center"/>
    </x:xf>
    <x:xf numFmtId="200" fontId="5" fillId="2" borderId="0" xfId="0" applyNumberFormat="1" applyFont="1" applyFill="1" applyBorder="1" applyAlignment="1">
      <x:alignment vertical="center"/>
    </x:xf>
    <x:xf numFmtId="200" fontId="4"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0"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1" fontId="11" fillId="0" borderId="0" xfId="0" applyNumberFormat="1" applyFont="1" applyFill="1" applyBorder="1" applyAlignment="1">
      <x:alignment vertical="center"/>
    </x:xf>
    <x:xf numFmtId="0" fontId="10" fillId="4" borderId="0" xfId="0" applyNumberFormat="1" applyFont="1" applyFill="1" applyBorder="1" applyAlignment="1">
      <x:alignment vertical="center"/>
    </x:xf>
    <x:xf numFmtId="201" fontId="10" fillId="4" borderId="0" xfId="0" applyNumberFormat="1" applyFont="1" applyFill="1" applyBorder="1" applyAlignment="1">
      <x:alignment vertical="center"/>
    </x:xf>
    <x:xf numFmtId="0" fontId="12" fillId="4" borderId="0" xfId="0" applyNumberFormat="1" applyFont="1" applyFill="1" applyBorder="1" applyAlignment="1">
      <x:alignment vertical="center"/>
    </x:xf>
    <x:xf numFmtId="201" fontId="12" fillId="4" borderId="0" xfId="0" applyNumberFormat="1" applyFont="1" applyFill="1" applyBorder="1" applyAlignment="1">
      <x:alignment vertical="center"/>
    </x:xf>
    <x:xf numFmtId="0" fontId="12" fillId="4" borderId="2" xfId="0" applyNumberFormat="1" applyFont="1" applyFill="1" applyBorder="1" applyAlignment="1">
      <x:alignment vertical="center"/>
    </x:xf>
    <x:xf numFmtId="201" fontId="12" fillId="4" borderId="2" xfId="0" applyNumberFormat="1" applyFont="1" applyFill="1" applyBorder="1" applyAlignment="1">
      <x:alignment vertical="center"/>
    </x:xf>
    <x:xf numFmtId="201" fontId="7"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1" fillId="5" borderId="1" xfId="0" applyNumberFormat="1" applyFont="1" applyFill="1" applyBorder="1" applyAlignment="1">
      <x:alignment vertical="center"/>
    </x:xf>
    <x:xf numFmtId="0" fontId="9" fillId="5" borderId="1" xfId="0" applyNumberFormat="1" applyFont="1" applyFill="1" applyBorder="1" applyAlignment="1">
      <x:alignment vertical="center"/>
    </x:xf>
    <x:xf numFmtId="200" fontId="8" fillId="0" borderId="0" xfId="0" applyNumberFormat="1" applyFont="1" applyFill="1" applyBorder="1" applyAlignment="1">
      <x:alignment vertical="center"/>
    </x:xf>
    <x:xf numFmtId="200" fontId="8" fillId="0" borderId="0" xfId="0" applyNumberFormat="1" applyFont="1" applyFill="1" applyBorder="1" applyAlignment="1">
      <x:alignment vertical="center" wrapText="1"/>
    </x:xf>
    <x:xf numFmtId="201" fontId="13" fillId="0" borderId="0" xfId="0" applyNumberFormat="1" applyFont="1" applyFill="1" applyBorder="1" applyAlignment="1">
      <x:alignment vertical="center"/>
    </x:xf>
    <x:xf numFmtId="201" fontId="13" fillId="5" borderId="0" xfId="0" applyNumberFormat="1" applyFont="1" applyFill="1" applyBorder="1" applyAlignment="1">
      <x:alignment vertical="center"/>
    </x:xf>
    <x:xf numFmtId="201" fontId="14" fillId="4" borderId="2"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2"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202" fontId="5" fillId="4" borderId="2" xfId="0" applyNumberFormat="1" applyFont="1" applyFill="1" applyBorder="1" applyAlignment="1">
      <x:alignment vertical="center"/>
    </x:xf>
    <x:xf numFmtId="202" fontId="9" fillId="0" borderId="0" xfId="0" applyNumberFormat="1" applyFont="1" applyFill="1" applyBorder="1" applyAlignment="1">
      <x:alignment vertical="center"/>
    </x:xf>
    <x:xf numFmtId="202" fontId="9" fillId="5" borderId="0" xfId="0" applyNumberFormat="1" applyFont="1" applyFill="1" applyBorder="1" applyAlignment="1">
      <x:alignment vertical="center"/>
    </x:xf>
    <x:xf numFmtId="202" fontId="15" fillId="4" borderId="2" xfId="0" applyNumberFormat="1" applyFont="1" applyFill="1" applyBorder="1" applyAlignment="1">
      <x:alignment vertical="center"/>
    </x:xf>
    <x:xf numFmtId="200" fontId="1"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5" fillId="4" borderId="2" xfId="0" applyNumberFormat="1" applyFont="1" applyFill="1" applyBorder="1" applyAlignment="1">
      <x:alignment vertical="center"/>
    </x:xf>
    <x:xf numFmtId="200" fontId="9" fillId="5" borderId="0" xfId="0" applyNumberFormat="1" applyFont="1" applyFill="1" applyBorder="1" applyAlignment="1">
      <x:alignment vertical="center"/>
    </x:xf>
    <x:xf numFmtId="200" fontId="15" fillId="4" borderId="2" xfId="0" applyNumberFormat="1" applyFont="1" applyFill="1" applyBorder="1" applyAlignment="1">
      <x:alignment vertical="center"/>
    </x:xf>
    <x:xf numFmtId="200" fontId="1" fillId="5" borderId="0" xfId="0" applyNumberFormat="1" applyFont="1" applyFill="1" applyBorder="1" applyAlignment="1">
      <x:alignment vertical="center"/>
    </x:xf>
    <x:xf numFmtId="201" fontId="10" fillId="5" borderId="0" xfId="0" applyNumberFormat="1" applyFont="1" applyFill="1" applyBorder="1" applyAlignment="1">
      <x:alignment vertical="center"/>
    </x:xf>
    <x:xf numFmtId="201" fontId="11"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200" fontId="7" fillId="5" borderId="0" xfId="0" applyNumberFormat="1" applyFont="1" applyFill="1" applyBorder="1" applyAlignment="1">
      <x:alignment vertical="center"/>
    </x:xf>
    <x:xf numFmtId="201" fontId="16" fillId="4" borderId="2" xfId="0" applyNumberFormat="1" applyFont="1" applyFill="1" applyBorder="1" applyAlignment="1">
      <x:alignment vertical="center"/>
    </x:xf>
    <x:xf numFmtId="200" fontId="17" fillId="4" borderId="2" xfId="0" applyNumberFormat="1" applyFont="1" applyFill="1" applyBorder="1" applyAlignment="1">
      <x:alignment vertical="center"/>
    </x:xf>
    <x:xf numFmtId="203" fontId="1" fillId="0" borderId="0" xfId="0" applyNumberFormat="1" applyFont="1" applyFill="1" applyBorder="1" applyAlignment="1">
      <x:alignment vertical="center"/>
    </x:xf>
    <x:xf numFmtId="203" fontId="4" fillId="0" borderId="0" xfId="0" applyNumberFormat="1" applyFont="1" applyFill="1" applyBorder="1" applyAlignment="1">
      <x:alignment vertical="center"/>
    </x:xf>
    <x:xf numFmtId="201" fontId="18"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203" fontId="1" fillId="4" borderId="0" xfId="0" applyNumberFormat="1" applyFont="1" applyFill="1" applyBorder="1" applyAlignment="1">
      <x:alignment vertical="center"/>
    </x:xf>
    <x:xf numFmtId="203" fontId="5" fillId="4" borderId="0" xfId="0" applyNumberFormat="1" applyFont="1" applyFill="1" applyBorder="1" applyAlignment="1">
      <x:alignment vertical="center"/>
    </x:xf>
    <x:xf numFmtId="203" fontId="5" fillId="4" borderId="2" xfId="0" applyNumberFormat="1" applyFont="1" applyFill="1" applyBorder="1" applyAlignment="1">
      <x:alignment vertical="center"/>
    </x:xf>
    <x:xf numFmtId="203" fontId="15" fillId="4" borderId="2" xfId="0" applyNumberFormat="1" applyFont="1" applyFill="1" applyBorder="1" applyAlignment="1">
      <x:alignment vertical="center"/>
    </x:xf>
    <x:xf numFmtId="201" fontId="9"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200" fontId="6" fillId="3" borderId="0" xfId="0" applyNumberFormat="1" applyFont="1" applyFill="1" applyBorder="1" applyAlignment="1">
      <x:alignment vertical="center" wrapText="1"/>
    </x:xf>
    <x:xf numFmtId="205" fontId="7" fillId="0" borderId="0" xfId="0" applyNumberFormat="1" applyFont="1" applyFill="1" applyBorder="1" applyAlignment="1">
      <x:alignment vertical="center"/>
    </x:xf>
    <x:xf numFmtId="0" fontId="19" fillId="0" borderId="0" xfId="0" applyNumberFormat="1" applyFont="1" applyFill="1" applyBorder="1"/>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200" fontId="6" fillId="6" borderId="0" xfId="0" applyNumberFormat="1" applyFont="1" applyFill="1" applyBorder="1" applyAlignment="1">
      <x:alignment vertical="center"/>
    </x:xf>
    <x:xf numFmtId="0" fontId="10" fillId="7" borderId="0" xfId="0" applyNumberFormat="1" applyFont="1" applyFill="1" applyBorder="1" applyAlignment="1">
      <x:alignment vertical="center"/>
    </x:xf>
    <x:xf numFmtId="201" fontId="10" fillId="7" borderId="0" xfId="0" applyNumberFormat="1" applyFont="1" applyFill="1" applyBorder="1" applyAlignment="1">
      <x:alignment vertical="center"/>
    </x:xf>
    <x:xf numFmtId="0" fontId="12" fillId="7" borderId="0" xfId="0" applyNumberFormat="1" applyFont="1" applyFill="1" applyBorder="1" applyAlignment="1">
      <x:alignment vertical="center"/>
    </x:xf>
    <x:xf numFmtId="201" fontId="12" fillId="7" borderId="0" xfId="0" applyNumberFormat="1" applyFont="1" applyFill="1" applyBorder="1" applyAlignment="1">
      <x:alignment vertical="center"/>
    </x:xf>
    <x:xf numFmtId="0" fontId="12" fillId="7" borderId="2" xfId="0" applyNumberFormat="1" applyFont="1" applyFill="1" applyBorder="1" applyAlignment="1">
      <x:alignment vertical="center"/>
    </x:xf>
    <x:xf numFmtId="201" fontId="12" fillId="7" borderId="2" xfId="0" applyNumberFormat="1" applyFont="1" applyFill="1" applyBorder="1" applyAlignment="1">
      <x:alignment vertical="center"/>
    </x:xf>
    <x:xf numFmtId="201" fontId="13" fillId="8" borderId="0" xfId="0" applyNumberFormat="1" applyFont="1" applyFill="1" applyBorder="1" applyAlignment="1">
      <x:alignment vertical="center"/>
    </x:xf>
    <x:xf numFmtId="201" fontId="14" fillId="7" borderId="2" xfId="0" applyNumberFormat="1" applyFont="1" applyFill="1" applyBorder="1" applyAlignment="1">
      <x:alignment vertical="center"/>
    </x:xf>
    <x:xf numFmtId="201" fontId="11" fillId="8" borderId="0" xfId="0" applyNumberFormat="1" applyFont="1" applyFill="1" applyBorder="1" applyAlignment="1">
      <x:alignment vertical="center"/>
    </x:xf>
    <x:xf numFmtId="0" fontId="1" fillId="7" borderId="0" xfId="0" applyNumberFormat="1" applyFont="1" applyFill="1" applyBorder="1" applyAlignment="1">
      <x:alignment vertical="center"/>
    </x:xf>
    <x:xf numFmtId="200" fontId="1" fillId="7" borderId="0" xfId="0" applyNumberFormat="1" applyFont="1" applyFill="1" applyBorder="1" applyAlignment="1">
      <x:alignment vertical="center"/>
    </x:xf>
    <x:xf numFmtId="0" fontId="5" fillId="7" borderId="0" xfId="0" applyNumberFormat="1" applyFont="1" applyFill="1" applyBorder="1" applyAlignment="1">
      <x:alignment vertical="center"/>
    </x:xf>
    <x:xf numFmtId="200" fontId="5" fillId="7" borderId="0" xfId="0" applyNumberFormat="1" applyFont="1" applyFill="1" applyBorder="1" applyAlignment="1">
      <x:alignment vertical="center"/>
    </x:xf>
    <x:xf numFmtId="0" fontId="5" fillId="7" borderId="2" xfId="0" applyNumberFormat="1" applyFont="1" applyFill="1" applyBorder="1" applyAlignment="1">
      <x:alignment vertical="center"/>
    </x:xf>
    <x:xf numFmtId="200" fontId="5" fillId="7" borderId="2" xfId="0" applyNumberFormat="1" applyFont="1" applyFill="1" applyBorder="1" applyAlignment="1">
      <x:alignment vertical="center"/>
    </x:xf>
    <x:xf numFmtId="200" fontId="17" fillId="7" borderId="2" xfId="0" applyNumberFormat="1" applyFont="1" applyFill="1" applyBorder="1" applyAlignment="1">
      <x:alignment vertical="center"/>
    </x:xf>
    <x:xf numFmtId="200" fontId="15" fillId="7" borderId="2" xfId="0" applyNumberFormat="1" applyFont="1" applyFill="1" applyBorder="1" applyAlignment="1">
      <x:alignment vertical="center"/>
    </x:xf>
    <x:xf numFmtId="0"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200" fontId="6" fillId="6" borderId="0" xfId="0" applyNumberFormat="1" applyFont="1" applyFill="1" applyBorder="1" applyAlignment="1">
      <x:alignment vertical="center" wrapText="1"/>
    </x:xf>
    <x:xf numFmtId="207" fontId="1" fillId="0" borderId="0" xfId="0" applyNumberFormat="1" applyFont="1" applyFill="1" applyBorder="1" applyAlignment="1">
      <x:alignment vertical="center"/>
    </x:xf>
    <x:xf numFmtId="207" fontId="9" fillId="0" borderId="0" xfId="0" applyNumberFormat="1" applyFont="1" applyFill="1" applyBorder="1" applyAlignment="1">
      <x:alignment vertical="center"/>
    </x:xf>
    <x:xf numFmtId="207" fontId="4" fillId="0" borderId="0" xfId="0" applyNumberFormat="1" applyFont="1" applyFill="1" applyBorder="1" applyAlignment="1">
      <x:alignment vertical="center"/>
    </x:xf>
    <x:xf numFmtId="208" fontId="9" fillId="0" borderId="0" xfId="0" applyNumberFormat="1" applyFont="1" applyFill="1" applyBorder="1" applyAlignment="1">
      <x:alignment vertical="center"/>
    </x:xf>
    <x:xf numFmtId="201" fontId="18" fillId="5" borderId="0" xfId="0" applyNumberFormat="1" applyFont="1" applyFill="1" applyBorder="1" applyAlignment="1">
      <x:alignment vertical="center"/>
    </x:xf>
    <x:xf numFmtId="208" fontId="4"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205" fontId="4"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20" fillId="0" borderId="0" xfId="0" applyNumberFormat="1" applyFont="1" applyFill="1" applyBorder="1"/>
    <x:xf numFmtId="0" fontId="20" fillId="6" borderId="0" xfId="0" applyNumberFormat="1" applyFont="1" applyFill="1" applyBorder="1"/>
    <x:xf numFmtId="0" fontId="0" fillId="6" borderId="0" xfId="0" applyNumberFormat="1" applyFont="1" applyFill="1" applyBorder="1"/>
    <x:xf numFmtId="0" fontId="21" fillId="6" borderId="0" xfId="0" applyNumberFormat="1" applyFont="1" applyFill="1" applyBorder="1"/>
    <x:xf numFmtId="0" fontId="21" fillId="6" borderId="0" xfId="0" applyNumberFormat="1" applyFont="1" applyFill="1" applyBorder="1" applyAlignment="1">
      <x:alignment wrapText="1"/>
    </x:xf>
    <x:xf numFmtId="207" fontId="0" fillId="0" borderId="0" xfId="0" applyNumberFormat="1" applyFont="1" applyFill="1" applyBorder="1"/>
    <x:xf numFmtId="200" fontId="0" fillId="0" borderId="0" xfId="0" applyNumberFormat="1" applyFont="1" applyFill="1" applyBorder="1"/>
    <x:xf numFmtId="0" fontId="20" fillId="7" borderId="0" xfId="0" applyNumberFormat="1" applyFont="1" applyFill="1" applyBorder="1"/>
    <x:xf numFmtId="200" fontId="0" fillId="7" borderId="0" xfId="0" applyNumberFormat="1" applyFont="1" applyFill="1" applyBorder="1"/>
    <x:xf numFmtId="0" fontId="22" fillId="7" borderId="0" xfId="0" applyNumberFormat="1" applyFont="1" applyFill="1" applyBorder="1"/>
    <x:xf numFmtId="200" fontId="23" fillId="7" borderId="0" xfId="0" applyNumberFormat="1" applyFont="1" applyFill="1" applyBorder="1"/>
    <x:xf numFmtId="0" fontId="22" fillId="7" borderId="2" xfId="0" applyNumberFormat="1" applyFont="1" applyFill="1" applyBorder="1"/>
    <x:xf numFmtId="200" fontId="23" fillId="7" borderId="2" xfId="0" applyNumberFormat="1" applyFont="1" applyFill="1" applyBorder="1"/>
    <x:xf numFmtId="201" fontId="0" fillId="0" borderId="0" xfId="0" applyNumberFormat="1" applyFont="1" applyFill="1" applyBorder="1"/>
    <x:xf numFmtId="0" fontId="24" fillId="0" borderId="0" xfId="0" applyNumberFormat="1" applyFont="1" applyFill="1" applyBorder="1"/>
    <x:xf numFmtId="201" fontId="25" fillId="0" borderId="0" xfId="0" applyNumberFormat="1" applyFont="1" applyFill="1" applyBorder="1"/>
    <x:xf numFmtId="205" fontId="0" fillId="0" borderId="0" xfId="0" applyNumberFormat="1" applyFont="1" applyFill="1" applyBorder="1"/>
    <x:xf numFmtId="207" fontId="19" fillId="0" borderId="0" xfId="0" applyNumberFormat="1" applyFont="1" applyFill="1" applyBorder="1"/>
    <x:xf numFmtId="200" fontId="19" fillId="0" borderId="0" xfId="0" applyNumberFormat="1" applyFont="1" applyFill="1" applyBorder="1"/>
    <x:xf numFmtId="200" fontId="26" fillId="7" borderId="2" xfId="0" applyNumberFormat="1" applyFont="1" applyFill="1" applyBorder="1"/>
    <x:xf numFmtId="201" fontId="27" fillId="0" borderId="0" xfId="0" applyNumberFormat="1" applyFont="1" applyFill="1" applyBorder="1"/>
    <x:xf numFmtId="200" fontId="28" fillId="7" borderId="2" xfId="0" applyNumberFormat="1" applyFont="1" applyFill="1" applyBorder="1"/>
    <x:xf numFmtId="201" fontId="29" fillId="0" borderId="0" xfId="0" applyNumberFormat="1" applyFont="1" applyFill="1" applyBorder="1"/>
    <x:xf numFmtId="205" fontId="30" fillId="0" borderId="0" xfId="0" applyNumberFormat="1" applyFont="1" applyFill="1" applyBorder="1"/>
    <x:xf numFmtId="205" fontId="19" fillId="0" borderId="0" xfId="0" applyNumberFormat="1" applyFont="1" applyFill="1" applyBorder="1"/>
    <x:xf numFmtId="200" fontId="30" fillId="0" borderId="0" xfId="0" applyNumberFormat="1" applyFont="1" applyFill="1" applyBorder="1"/>
    <x:xf numFmtId="0" fontId="31" fillId="0" borderId="0" xfId="0" applyNumberFormat="1" applyFont="1" applyFill="1" applyBorder="1"/>
    <x:xf numFmtId="0" fontId="31" fillId="0" borderId="0" xfId="0" applyNumberFormat="1" applyFont="1" applyFill="1" applyBorder="1" applyAlignment="1">
      <x:alignment wrapText="1"/>
    </x:xf>
    <x:xf numFmtId="207" fontId="30" fillId="0" borderId="0" xfId="0" applyNumberFormat="1" applyFont="1" applyFill="1" applyBorder="1"/>
    <x:xf numFmtId="206" fontId="4" fillId="0" borderId="0" xfId="0" applyNumberFormat="1" applyFont="1" applyFill="1" applyBorder="1" applyAlignment="1">
      <x:alignment vertical="center"/>
    </x:xf>
    <x:xf numFmtId="207" fontId="1" fillId="7" borderId="0" xfId="0" applyNumberFormat="1" applyFont="1" applyFill="1" applyBorder="1" applyAlignment="1">
      <x:alignment vertical="center"/>
    </x:xf>
    <x:xf numFmtId="207" fontId="5" fillId="7" borderId="0" xfId="0" applyNumberFormat="1" applyFont="1" applyFill="1" applyBorder="1" applyAlignment="1">
      <x:alignment vertical="center"/>
    </x:xf>
    <x:xf numFmtId="207" fontId="5" fillId="7" borderId="2" xfId="0" applyNumberFormat="1" applyFont="1" applyFill="1" applyBorder="1" applyAlignment="1">
      <x:alignment vertical="center"/>
    </x:xf>
    <x:xf numFmtId="208"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7" fontId="15" fillId="7" borderId="2" xfId="0" applyNumberFormat="1" applyFont="1" applyFill="1" applyBorder="1" applyAlignment="1">
      <x:alignment vertical="center"/>
    </x:xf>
    <x:xf numFmtId="205" fontId="1" fillId="0" borderId="0" xfId="0" applyNumberFormat="1" applyFont="1" applyFill="1" applyBorder="1" applyAlignment="1">
      <x:alignment vertical="center"/>
    </x:xf>
    <x:xf numFmtId="207" fontId="7" fillId="0" borderId="0" xfId="0" applyNumberFormat="1" applyFont="1" applyFill="1" applyBorder="1" applyAlignment="1">
      <x:alignment vertical="center"/>
    </x:xf>
    <x:xf numFmtId="200" fontId="7" fillId="0" borderId="0" xfId="0" applyNumberFormat="1" applyFont="1" applyFill="1" applyBorder="1" applyAlignment="1">
      <x:alignment vertical="center" wrapText="1"/>
    </x:xf>
    <x:xf numFmtId="0" fontId="32" fillId="0" borderId="0" xfId="0" applyNumberFormat="1" applyFont="1" applyFill="1" applyBorder="1" applyAlignment="1">
      <x:alignment wrapText="1"/>
    </x:xf>
    <x:xf numFmtId="201" fontId="19" fillId="0" borderId="0" xfId="0" applyNumberFormat="1" applyFont="1" applyFill="1" applyBorder="1"/>
    <x:xf numFmtId="209" fontId="4" fillId="0" borderId="0" xfId="0" applyNumberFormat="1" applyFont="1" applyFill="1" applyBorder="1" applyAlignment="1">
      <x:alignment vertical="center"/>
    </x:xf>
    <x:xf numFmtId="209" fontId="15" fillId="7" borderId="2" xfId="0" applyNumberFormat="1" applyFont="1" applyFill="1" applyBorder="1" applyAlignment="1">
      <x:alignment vertical="center"/>
    </x:xf>
    <x:xf numFmtId="210" fontId="7" fillId="0" borderId="0" xfId="0" applyNumberFormat="1" applyFont="1" applyFill="1" applyBorder="1" applyAlignment="1">
      <x:alignment vertical="center"/>
    </x:xf>
    <x:xf numFmtId="204" fontId="9" fillId="0" borderId="0" xfId="0" applyNumberFormat="1" applyFont="1" applyFill="1" applyBorder="1" applyAlignment="1">
      <x:alignment vertical="center"/>
    </x:xf>
    <x:xf numFmtId="211" fontId="18" fillId="5" borderId="0" xfId="0" applyNumberFormat="1" applyFont="1" applyFill="1" applyBorder="1" applyAlignment="1">
      <x:alignment vertical="center"/>
    </x:xf>
    <x:xf numFmtId="211" fontId="14" fillId="7" borderId="2" xfId="0" applyNumberFormat="1" applyFont="1" applyFill="1" applyBorder="1" applyAlignment="1">
      <x:alignment vertical="center"/>
    </x:xf>
    <x:xf numFmtId="211" fontId="10" fillId="0" borderId="0" xfId="0" applyNumberFormat="1" applyFont="1" applyFill="1" applyBorder="1" applyAlignment="1">
      <x:alignment vertical="center"/>
    </x:xf>
    <x:xf numFmtId="200" fontId="19" fillId="0" borderId="0" xfId="0" applyNumberFormat="1" applyFont="1" applyFill="1" applyBorder="1" applyAlignment="1">
      <x:alignment wrapText="1"/>
    </x:xf>
    <x:xf numFmtId="211" fontId="18" fillId="9" borderId="0" xfId="0" applyNumberFormat="1" applyFont="1" applyFill="1" applyBorder="1" applyAlignment="1">
      <x:alignment vertical="center"/>
    </x:xf>
    <x:xf numFmtId="201" fontId="11" fillId="9" borderId="0" xfId="0" applyNumberFormat="1" applyFont="1" applyFill="1" applyBorder="1" applyAlignment="1">
      <x:alignment vertical="center"/>
    </x:xf>
    <x:xf numFmtId="201" fontId="10" fillId="8" borderId="0" xfId="0" applyNumberFormat="1" applyFont="1" applyFill="1" applyBorder="1" applyAlignment="1">
      <x:alignment vertical="center"/>
    </x:xf>
  </x:cellXfs>
  <x:cellStyles count="1">
    <x:cellStyle name="Normal" xfId="0"/>
  </x:cellStyles>
  <x:dxfs count="33">
    <x:dxf>
      <x:font>
        <x:b/>
        <x:color rgb="FFB91C1C"/>
      </x:font>
      <x:fill>
        <x:patternFill>
          <x:bgColor rgb="FFFDE2E2"/>
        </x:patternFill>
      </x:fill>
    </x:dxf>
    <x:dxf>
      <x:font>
        <x:b/>
        <x:color rgb="FFB91C1C"/>
      </x:font>
      <x:fill>
        <x:patternFill>
          <x:bgColor rgb="FFFDE2E2"/>
        </x:patternFill>
      </x:fill>
    </x:dxf>
    <x:dxf>
      <x:font>
        <x:b/>
        <x:color rgb="FFB91C1C"/>
      </x:font>
      <x:fill>
        <x:patternFill>
          <x:bgColor rgb="FFFDE2E2"/>
        </x:patternFill>
      </x:fill>
    </x:dxf>
    <x:dxf>
      <x:font>
        <x:b/>
        <x:color rgb="FFB91C1C"/>
      </x:font>
      <x:fill>
        <x:patternFill>
          <x:bgColor rgb="FFFDE2E2"/>
        </x:patternFill>
      </x:fill>
    </x:dxf>
    <x:dxf>
      <x:font>
        <x:color rgb="FFB91C1C"/>
      </x:font>
      <x:fill>
        <x:patternFill>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
      <x:font>
        <x:b/>
        <x:color rgb="FFB9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0c843777b848e3" /><Relationship Type="http://schemas.openxmlformats.org/officeDocument/2006/relationships/theme" Target="/xl/theme/theme1.xml" Id="R73adfd47c2024ea5" /><Relationship Type="http://schemas.openxmlformats.org/officeDocument/2006/relationships/sharedStrings" Target="/xl/sharedStrings.xml" Id="R08b3b534d7f54371" /><Relationship Type="http://schemas.openxmlformats.org/officeDocument/2006/relationships/worksheet" Target="/xl/worksheets/sheet1.xml" Id="R1d195dd7c68e44f0" /><Relationship Type="http://schemas.openxmlformats.org/officeDocument/2006/relationships/worksheet" Target="/xl/worksheets/sheet2.xml" Id="R317d178ad6a5465b" /><Relationship Type="http://schemas.openxmlformats.org/officeDocument/2006/relationships/worksheet" Target="/xl/worksheets/sheet3.xml" Id="Ra113ba4392734b80" /><Relationship Type="http://schemas.openxmlformats.org/officeDocument/2006/relationships/worksheet" Target="/xl/worksheets/sheet4.xml" Id="R449da08282cc424e" /><Relationship Type="http://schemas.openxmlformats.org/officeDocument/2006/relationships/worksheet" Target="/xl/worksheets/sheet5.xml" Id="Rc440162b6e3a4a8c" /><Relationship Type="http://schemas.openxmlformats.org/officeDocument/2006/relationships/worksheet" Target="/xl/worksheets/sheet6.xml" Id="Rd184d028d11b4d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e059d2ef3be24b5c" /><Relationship Type="http://schemas.openxmlformats.org/officeDocument/2006/relationships/chart" Target="/xl/drawings/charts/chart2.xml" Id="R902debd521f442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Revenue (INR million)</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Revenue</c:v>
          </c:tx>
          <c:spPr>
            <a:ln xmlns:a="http://schemas.openxmlformats.org/drawingml/2006/main" w="19050">
              <a:solidFill>
                <a:srgbClr val="17324F"/>
              </a:solidFill>
              <a:prstDash val="solid"/>
            </a:ln>
          </c:spPr>
          <c:marker>
            <c:symbol val="none"/>
          </c:marker>
          <c:cat>
            <c:strRef>
              <c:f>'03_3Statement+Schedules'!$C$271:$C$280</c:f>
              <c:strCache>
                <c:ptCount val="0"/>
              </c:strCache>
            </c:strRef>
          </c:cat>
          <c:val>
            <c:numRef>
              <c:f>'03_3Statement+Schedules'!$D$271:$D$280</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Segment EBITDA margins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W&amp;C EBITDA margin</c:v>
          </c:tx>
          <c:spPr>
            <a:ln xmlns:a="http://schemas.openxmlformats.org/drawingml/2006/main" w="19050">
              <a:solidFill>
                <a:srgbClr val="17324F"/>
              </a:solidFill>
              <a:prstDash val="solid"/>
            </a:ln>
          </c:spPr>
          <c:marker>
            <c:symbol val="none"/>
          </c:marker>
          <c:cat>
            <c:strRef>
              <c:f>'03_3Statement+Schedules'!$C$271:$C$280</c:f>
              <c:strCache>
                <c:ptCount val="0"/>
              </c:strCache>
            </c:strRef>
          </c:cat>
          <c:val>
            <c:numRef>
              <c:f>'03_3Statement+Schedules'!$E$271:$E$280</c:f>
              <c:numCache>
                <c:formatCode>0%</c:formatCode>
                <c:ptCount val="0"/>
              </c:numCache>
            </c:numRef>
          </c:val>
          <c:smooth val="0"/>
        </c:ser>
        <c:ser>
          <c:idx val="1"/>
          <c:order val="1"/>
          <c:tx>
            <c:v>FMEG EBITDA margin</c:v>
          </c:tx>
          <c:spPr>
            <a:ln xmlns:a="http://schemas.openxmlformats.org/drawingml/2006/main" w="19050">
              <a:solidFill>
                <a:srgbClr val="B58132"/>
              </a:solidFill>
              <a:prstDash val="solid"/>
            </a:ln>
          </c:spPr>
          <c:marker>
            <c:symbol val="none"/>
          </c:marker>
          <c:cat>
            <c:strRef>
              <c:f>'03_3Statement+Schedules'!$C$271:$C$280</c:f>
              <c:strCache>
                <c:ptCount val="0"/>
              </c:strCache>
            </c:strRef>
          </c:cat>
          <c:val>
            <c:numRef>
              <c:f>'03_3Statement+Schedules'!$F$271:$F$280</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35</xdr:row>
      <xdr:rowOff>0</xdr:rowOff>
    </xdr:from>
    <xdr:to>
      <xdr:col>8</xdr:col>
      <xdr:colOff>0</xdr:colOff>
      <xdr:row>53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59d2ef3be24b5c"/>
        </a:graphicData>
      </a:graphic>
    </xdr:graphicFrame>
    <xdr:clientData/>
  </xdr:twoCellAnchor>
  <xdr:twoCellAnchor>
    <xdr:from>
      <xdr:col>8</xdr:col>
      <xdr:colOff>0</xdr:colOff>
      <xdr:row>35</xdr:row>
      <xdr:rowOff>0</xdr:rowOff>
    </xdr:from>
    <xdr:to>
      <xdr:col>14</xdr:col>
      <xdr:colOff>0</xdr:colOff>
      <xdr:row>53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2debd521f4422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ef32dee622544003" /></Relationships>
</file>

<file path=xl/worksheets/sheet1.xml><?xml version="1.0" encoding="utf-8"?>
<x:worksheet xmlns:x="http://schemas.openxmlformats.org/spreadsheetml/2006/main">
  <x:sheetPr>
    <x:tabColor rgb="FF17324F"/>
  </x:sheetPr>
  <x:sheetViews>
    <x:sheetView showGridLines="0" workbookViewId="0"/>
  </x:sheetViews>
  <x:sheetFormatPr defaultRowHeight="15"/>
  <x:cols>
    <x:col min="1" max="1" width="2" hidden="0" customWidth="1"/>
    <x:col min="2" max="2" width="2" hidden="0" customWidth="1"/>
    <x:col min="3" max="3" width="5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 hidden="0" customWidth="1"/>
    <x:col min="15" max="15" width="96" hidden="0" customWidth="1"/>
  </x:cols>
  <x:sheetData>
    <x:row r="1" ht="20" customHeight="1">
      <x:c r="A1" s="2"/>
      <x:c r="B1" s="2"/>
      <x:c r="C1" s="2"/>
      <x:c r="D1" s="2"/>
      <x:c r="E1" s="2"/>
      <x:c r="F1" s="2"/>
      <x:c r="G1" s="2"/>
      <x:c r="H1" s="2"/>
      <x:c r="I1" s="2"/>
      <x:c r="J1" s="2"/>
      <x:c r="K1" s="2"/>
      <x:c r="L1" s="2"/>
      <x:c r="M1" s="2"/>
      <x:c r="N1" s="2"/>
      <x:c r="O1" s="2"/>
    </x:row>
    <x:row r="2" ht="20" customHeight="1">
      <x:c r="A2" s="2"/>
      <x:c r="B2" s="2"/>
      <x:c r="C2" s="4" t="str">
        <x:v>Polycab financial model</x:v>
      </x:c>
      <x:c r="D2" s="2"/>
      <x:c r="E2" s="2"/>
      <x:c r="F2" s="2"/>
      <x:c r="G2" s="2"/>
      <x:c r="H2" s="2"/>
      <x:c r="I2" s="2"/>
      <x:c r="J2" s="2"/>
      <x:c r="K2" s="2"/>
      <x:c r="L2" s="2"/>
      <x:c r="M2" s="2"/>
      <x:c r="N2" s="2"/>
      <x:c r="O2" s="2"/>
    </x:row>
    <x:row r="3" ht="20" customHeight="1">
      <x:c r="A3" s="2"/>
      <x:c r="B3" s="2"/>
      <x:c r="C3" s="5"/>
      <x:c r="D3" s="5"/>
      <x:c r="E3" s="5"/>
      <x:c r="F3" s="5"/>
      <x:c r="G3" s="5"/>
      <x:c r="H3" s="5"/>
      <x:c r="I3" s="5"/>
      <x:c r="J3" s="5"/>
      <x:c r="K3" s="5"/>
      <x:c r="L3" s="5"/>
      <x:c r="M3" s="5"/>
      <x:c r="N3" s="2"/>
      <x:c r="O3" s="2"/>
    </x:row>
    <x:row r="4" ht="20" customHeight="1">
      <x:c r="A4" s="2"/>
      <x:c r="B4" s="2"/>
      <x:c r="C4" s="24" t="str">
        <x:v>FY22–FY26 actuals and FY27–FY31 estimates. Model completed 15 September 2026.</x:v>
      </x:c>
      <x:c r="D4" s="2"/>
      <x:c r="E4" s="2"/>
      <x:c r="F4" s="2"/>
      <x:c r="G4" s="2"/>
      <x:c r="H4" s="2"/>
      <x:c r="I4" s="2"/>
      <x:c r="J4" s="2"/>
      <x:c r="K4" s="2"/>
      <x:c r="L4" s="2"/>
      <x:c r="M4" s="2"/>
      <x:c r="N4" s="2"/>
      <x:c r="O4" s="2"/>
    </x:row>
    <x:row r="5" ht="20" customHeight="1">
      <x:c r="A5" s="2"/>
      <x:c r="B5" s="2"/>
      <x:c r="C5" s="2"/>
      <x:c r="D5" s="7"/>
      <x:c r="E5" s="2"/>
      <x:c r="F5" s="2"/>
      <x:c r="G5" s="2"/>
      <x:c r="H5" s="2"/>
      <x:c r="I5" s="2"/>
      <x:c r="J5" s="2"/>
      <x:c r="K5" s="2"/>
      <x:c r="L5" s="2"/>
      <x:c r="M5" s="2"/>
      <x:c r="N5" s="2"/>
      <x:c r="O5" s="2"/>
    </x:row>
    <x:row r="6" ht="20" customHeight="1">
      <x:c r="A6" s="2"/>
      <x:c r="B6" s="2"/>
      <x:c r="C6" t="str">
        <x:v>Case selected</x:v>
      </x:c>
      <x:c r="D6" s="77" t="str">
        <x:f>CHOOSE('02_Drivers+Scenarios'!$D$3,"Base","Bull","Bear")</x:f>
        <x:v>Base</x:v>
      </x:c>
      <x:c r="E6"/>
      <x:c r="F6"/>
      <x:c r="G6"/>
      <x:c r="H6"/>
      <x:c r="I6"/>
      <x:c r="J6"/>
      <x:c r="K6"/>
      <x:c r="L6"/>
      <x:c r="M6"/>
      <x:c r="N6" s="2"/>
      <x:c r="O6" s="2"/>
    </x:row>
    <x:row r="7" ht="20" customHeight="1">
      <x:c r="A7" s="2"/>
      <x:c r="B7" s="2"/>
      <x:c r="C7" s="2"/>
      <x:c r="D7" s="3"/>
      <x:c r="E7" s="3"/>
      <x:c r="F7" s="3"/>
      <x:c r="G7" s="3"/>
      <x:c r="H7" s="3"/>
      <x:c r="I7" s="3"/>
      <x:c r="J7" s="3"/>
      <x:c r="K7" s="3"/>
      <x:c r="L7" s="3"/>
      <x:c r="M7" s="3"/>
      <x:c r="N7" s="2"/>
      <x:c r="O7" s="2"/>
    </x:row>
    <x:row r="8" ht="20" customHeight="1">
      <x:c r="A8" s="2"/>
      <x:c r="B8" s="2"/>
      <x:c r="C8" s="2" t="str">
        <x:v>Six linked worksheets</x:v>
      </x:c>
      <x:c r="D8" s="3"/>
      <x:c r="E8" s="3"/>
      <x:c r="F8" s="3"/>
      <x:c r="G8" s="3"/>
      <x:c r="H8" s="3"/>
      <x:c r="I8" s="3"/>
      <x:c r="J8" s="3"/>
      <x:c r="K8" s="3"/>
      <x:c r="L8" s="3"/>
      <x:c r="M8" s="3"/>
      <x:c r="N8" s="2"/>
      <x:c r="O8" s="2"/>
    </x:row>
    <x:row r="9" ht="20" customHeight="1">
      <x:c r="A9" s="2"/>
      <x:c r="B9" s="2"/>
      <x:c r="C9" s="2"/>
      <x:c r="D9" s="3"/>
      <x:c r="E9" s="3"/>
      <x:c r="F9" s="3"/>
      <x:c r="G9" s="3"/>
      <x:c r="H9" s="3"/>
      <x:c r="I9" s="3"/>
      <x:c r="J9" s="3"/>
      <x:c r="K9" s="3"/>
      <x:c r="L9" s="3"/>
      <x:c r="M9" s="3"/>
      <x:c r="N9" s="2"/>
      <x:c r="O9" s="2"/>
    </x:row>
    <x:row r="10" ht="20" customHeight="1">
      <x:c r="A10" s="2"/>
      <x:c r="B10" s="2"/>
      <x:c r="C10" s="2" t="str">
        <x:v>Actual inputs: blue text, pale headers. Forecast assumptions: amber. Formulas: black; links: green.</x:v>
      </x:c>
      <x:c r="D10" s="3"/>
      <x:c r="E10" s="3"/>
      <x:c r="F10" s="3"/>
      <x:c r="G10" s="3"/>
      <x:c r="H10" s="3"/>
      <x:c r="I10" s="3"/>
      <x:c r="J10" s="3"/>
      <x:c r="K10" s="3"/>
      <x:c r="L10" s="3"/>
      <x:c r="M10" s="3"/>
      <x:c r="N10" s="2"/>
      <x:c r="O10" s="2"/>
    </x:row>
    <x:row r="11" ht="20" customHeight="1">
      <x:c r="A11" s="2"/>
      <x:c r="B11" s="2"/>
      <x:c r="C11" s="2"/>
      <x:c r="D11" s="3"/>
      <x:c r="E11" s="3"/>
      <x:c r="F11" s="3"/>
      <x:c r="G11" s="3"/>
      <x:c r="H11" s="3"/>
      <x:c r="I11" s="3"/>
      <x:c r="J11" s="3"/>
      <x:c r="K11" s="3"/>
      <x:c r="L11" s="3"/>
      <x:c r="M11" s="3"/>
      <x:c r="N11" s="2"/>
      <x:c r="O11" s="2"/>
    </x:row>
    <x:row r="12" ht="20" customHeight="1">
      <x:c r="A12" s="2"/>
      <x:c r="B12" s="2"/>
      <x:c r="C12" s="2"/>
      <x:c r="D12" s="3"/>
      <x:c r="E12" s="3"/>
      <x:c r="F12" s="3"/>
      <x:c r="G12" s="3"/>
      <x:c r="H12" s="3"/>
      <x:c r="I12" s="3"/>
      <x:c r="J12" s="3"/>
      <x:c r="K12" s="3"/>
      <x:c r="L12" s="3"/>
      <x:c r="M12" s="3"/>
      <x:c r="N12" s="2"/>
      <x:c r="O12" s="2"/>
    </x:row>
    <x:row r="13" ht="20" customHeight="1">
      <x:c r="A13" s="2"/>
      <x:c r="B13" s="2"/>
      <x:c r="C13" s="2" t="str">
        <x:v>Historical + Segments</x:v>
      </x:c>
      <x:c r="D13" s="3" t="str">
        <x:v>Trends, normalization, original financial inputs, segment detail and historical schedules.</x:v>
      </x:c>
      <x:c r="E13" s="3"/>
      <x:c r="F13" s="3"/>
      <x:c r="G13" s="3"/>
      <x:c r="H13" s="3"/>
      <x:c r="I13" s="3"/>
      <x:c r="J13" s="3"/>
      <x:c r="K13" s="3"/>
      <x:c r="L13" s="3"/>
      <x:c r="M13" s="3"/>
      <x:c r="N13" s="2"/>
      <x:c r="O13" s="2"/>
    </x:row>
    <x:row r="14" ht="20" customHeight="1">
      <x:c r="A14" s="2"/>
      <x:c r="B14" s="2"/>
      <x:c r="C14" s="2"/>
      <x:c r="D14" s="3"/>
      <x:c r="E14" s="3"/>
      <x:c r="F14" s="3"/>
      <x:c r="G14" s="3"/>
      <x:c r="H14" s="3"/>
      <x:c r="I14" s="3"/>
      <x:c r="J14" s="3"/>
      <x:c r="K14" s="3"/>
      <x:c r="L14" s="3"/>
      <x:c r="M14" s="3"/>
      <x:c r="N14" s="2"/>
      <x:c r="O14" s="2"/>
    </x:row>
    <x:row r="15" ht="20" customHeight="1">
      <x:c r="A15" s="2"/>
      <x:c r="B15" s="2"/>
      <x:c r="C15" s="2" t="str">
        <x:v>Drivers + Scenarios</x:v>
      </x:c>
      <x:c r="D15" s="3" t="str">
        <x:v>One case selector. Active drivers above Base/Bull/Bear. Rationale alongside each driver.</x:v>
      </x:c>
      <x:c r="E15" s="3"/>
      <x:c r="F15" s="3"/>
      <x:c r="G15" s="3"/>
      <x:c r="H15" s="3"/>
      <x:c r="I15" s="3"/>
      <x:c r="J15" s="3"/>
      <x:c r="K15" s="3"/>
      <x:c r="L15" s="3"/>
      <x:c r="M15" s="3"/>
      <x:c r="N15" s="2"/>
      <x:c r="O15" s="2"/>
    </x:row>
    <x:row r="16" ht="20" customHeight="1">
      <x:c r="A16" s="2"/>
      <x:c r="B16" s="2"/>
      <x:c r="C16" s="2"/>
      <x:c r="D16" s="3"/>
      <x:c r="E16" s="3"/>
      <x:c r="F16" s="3"/>
      <x:c r="G16" s="3"/>
      <x:c r="H16" s="3"/>
      <x:c r="I16" s="3"/>
      <x:c r="J16" s="3"/>
      <x:c r="K16" s="3"/>
      <x:c r="L16" s="3"/>
      <x:c r="M16" s="3"/>
      <x:c r="N16" s="2"/>
      <x:c r="O16" s="2"/>
    </x:row>
    <x:row r="17" ht="20" customHeight="1">
      <x:c r="A17" s="2"/>
      <x:c r="B17" s="2"/>
      <x:c r="C17" s="2" t="str">
        <x:v>3Statement + Schedules</x:v>
      </x:c>
      <x:c r="D17" s="3" t="str">
        <x:v>Operating forecast, balance sheet, treasury cash flow, working capital and fixed assets.</x:v>
      </x:c>
      <x:c r="E17" s="3"/>
      <x:c r="F17" s="3"/>
      <x:c r="G17" s="3"/>
      <x:c r="H17" s="3"/>
      <x:c r="I17" s="3"/>
      <x:c r="J17" s="3"/>
      <x:c r="K17" s="3"/>
      <x:c r="L17" s="3"/>
      <x:c r="M17" s="3"/>
      <x:c r="N17" s="2"/>
      <x:c r="O17" s="2"/>
    </x:row>
    <x:row r="18" ht="20" customHeight="1">
      <x:c r="A18" s="2"/>
      <x:c r="B18" s="2"/>
      <x:c r="C18" s="2"/>
      <x:c r="D18" s="3"/>
      <x:c r="E18" s="3"/>
      <x:c r="F18" s="3"/>
      <x:c r="G18" s="3"/>
      <x:c r="H18" s="3"/>
      <x:c r="I18" s="3"/>
      <x:c r="J18" s="3"/>
      <x:c r="K18" s="3"/>
      <x:c r="L18" s="3"/>
      <x:c r="M18" s="3"/>
      <x:c r="N18" s="2"/>
      <x:c r="O18" s="2"/>
    </x:row>
    <x:row r="19" ht="20" customHeight="1">
      <x:c r="A19" s="2"/>
      <x:c r="B19" s="2"/>
      <x:c r="C19" s="2" t="str">
        <x:v>Valuation</x:v>
      </x:c>
      <x:c r="D19" s="3" t="str">
        <x:v>FCFF, EV-to-equity bridge, terminal reinvestment and valuation controls; comps and sensitivity.</x:v>
      </x:c>
      <x:c r="E19" s="3"/>
      <x:c r="F19" s="3"/>
      <x:c r="G19" s="3"/>
      <x:c r="H19" s="3"/>
      <x:c r="I19" s="3"/>
      <x:c r="J19" s="3"/>
      <x:c r="K19" s="3"/>
      <x:c r="L19" s="3"/>
      <x:c r="M19" s="3"/>
      <x:c r="N19" s="2"/>
      <x:c r="O19" s="2"/>
    </x:row>
    <x:row r="20" ht="20" customHeight="1">
      <x:c r="A20" s="2"/>
      <x:c r="B20" s="2"/>
      <x:c r="C20" s="2"/>
      <x:c r="D20" s="3"/>
      <x:c r="E20" s="3"/>
      <x:c r="F20" s="3"/>
      <x:c r="G20" s="3"/>
      <x:c r="H20" s="3"/>
      <x:c r="I20" s="3"/>
      <x:c r="J20" s="3"/>
      <x:c r="K20" s="3"/>
      <x:c r="L20" s="3"/>
      <x:c r="M20" s="3"/>
      <x:c r="N20" s="2"/>
      <x:c r="O20" s="2"/>
    </x:row>
    <x:row r="21" ht="20" customHeight="1">
      <x:c r="A21" s="2"/>
      <x:c r="B21" s="2"/>
      <x:c r="C21" s="2" t="str">
        <x:v>Dashboard</x:v>
      </x:c>
      <x:c r="D21" s="3" t="str">
        <x:v>Linked financial outlook and concise normalization conclusions.</x:v>
      </x:c>
      <x:c r="E21" s="3"/>
      <x:c r="F21" s="3"/>
      <x:c r="G21" s="3"/>
      <x:c r="H21" s="3"/>
      <x:c r="I21" s="3"/>
      <x:c r="J21" s="3"/>
      <x:c r="K21" s="3"/>
      <x:c r="L21" s="3"/>
      <x:c r="M21" s="3"/>
      <x:c r="N21" s="2"/>
      <x:c r="O21" s="2"/>
    </x:row>
    <x:row r="22" ht="20" customHeight="1">
      <x:c r="A22" s="2"/>
      <x:c r="B22" s="2"/>
      <x:c r="C22" s="2"/>
      <x:c r="D22" s="3"/>
      <x:c r="E22" s="3"/>
      <x:c r="F22" s="3"/>
      <x:c r="G22" s="3"/>
      <x:c r="H22" s="3"/>
      <x:c r="I22" s="3"/>
      <x:c r="J22" s="3"/>
      <x:c r="K22" s="3"/>
      <x:c r="L22" s="3"/>
      <x:c r="M22" s="3"/>
      <x:c r="N22" s="2"/>
      <x:c r="O22" s="2"/>
    </x:row>
    <x:row r="23" ht="20" customHeight="1">
      <x:c r="A23" s="2"/>
      <x:c r="B23" s="2"/>
      <x:c r="C23" s="2"/>
      <x:c r="D23" s="3"/>
      <x:c r="E23" s="3"/>
      <x:c r="F23" s="3"/>
      <x:c r="G23" s="3"/>
      <x:c r="H23" s="3"/>
      <x:c r="I23" s="3"/>
      <x:c r="J23" s="3"/>
      <x:c r="K23" s="3"/>
      <x:c r="L23" s="3"/>
      <x:c r="M23" s="3"/>
      <x:c r="N23" s="2"/>
      <x:c r="O23" s="2"/>
    </x:row>
    <x:row r="24" ht="20" customHeight="1">
      <x:c r="A24" s="2"/>
      <x:c r="B24" s="2"/>
      <x:c r="C24" s="2"/>
      <x:c r="D24" s="3"/>
      <x:c r="E24" s="3"/>
      <x:c r="F24" s="3"/>
      <x:c r="G24" s="3"/>
      <x:c r="H24" s="3"/>
      <x:c r="I24" s="3"/>
      <x:c r="J24" s="3"/>
      <x:c r="K24" s="3"/>
      <x:c r="L24" s="3"/>
      <x:c r="M24" s="3"/>
      <x:c r="N24" s="2"/>
      <x:c r="O24" s="2"/>
    </x:row>
    <x:row r="25" ht="50" customHeight="1">
      <x:c r="A25" s="2"/>
      <x:c r="B25" s="2"/>
      <x:c r="C25" s="2" t="str">
        <x:v>Model conventions</x:v>
      </x:c>
      <x:c r="D25" s="148" t="str">
        <x:v>Valuation and peer closes aligned to 11 September 2026. Historical actuals are preserved. September financing claims and share dilution are explicit estimates; the March DCF is retained for attribution.</x:v>
      </x:c>
      <x:c r="E25" s="38"/>
      <x:c r="F25" s="38"/>
      <x:c r="G25" s="38"/>
      <x:c r="H25" s="38"/>
      <x:c r="I25" s="38"/>
      <x:c r="J25" s="38"/>
      <x:c r="K25" s="38"/>
      <x:c r="L25" s="38"/>
      <x:c r="M25" s="38"/>
      <x:c r="N25" s="2"/>
      <x:c r="O25" s="16"/>
    </x:row>
    <x:row r="26" ht="20" customHeight="1">
      <x:c r="A26" s="2"/>
      <x:c r="B26" s="2"/>
      <x:c r="C26" s="2"/>
      <x:c r="D26" s="148"/>
      <x:c r="E26" s="148"/>
      <x:c r="F26" s="148"/>
      <x:c r="G26" s="148"/>
      <x:c r="H26" s="148"/>
      <x:c r="I26" s="148"/>
      <x:c r="J26" s="148"/>
      <x:c r="K26" s="148"/>
      <x:c r="L26" s="148"/>
      <x:c r="M26" s="148"/>
      <x:c r="N26" s="2"/>
      <x:c r="O26" s="2"/>
    </x:row>
    <x:row r="27" ht="50" customHeight="1">
      <x:c r="A27" s="2"/>
      <x:c r="B27" s="2"/>
      <x:c r="C27" s="2" t="str">
        <x:v>Valuation completion</x:v>
      </x:c>
      <x:c r="D27" s="148" t="str">
        <x:v>Integrated forecasts, valuation-gap audit, reverse DCF, growth-duration sensitivities and active-case interpretation. Read Drivers for evidence and calculation explanations; Valuation shows how the market-price requirements are derived.</x:v>
      </x:c>
      <x:c r="E27" s="38"/>
      <x:c r="F27" s="38"/>
      <x:c r="G27" s="38"/>
      <x:c r="H27" s="38"/>
      <x:c r="I27" s="38"/>
      <x:c r="J27" s="38"/>
      <x:c r="K27" s="38"/>
      <x:c r="L27" s="38"/>
      <x:c r="M27" s="38"/>
      <x:c r="N27" s="2"/>
      <x:c r="O27" s="16"/>
    </x:row>
    <x:row r="28" ht="20" customHeight="1">
      <x:c r="A28" s="2"/>
      <x:c r="B28" s="2"/>
      <x:c r="C28" s="2"/>
      <x:c r="D28" s="3"/>
      <x:c r="E28" s="3"/>
      <x:c r="F28" s="3"/>
      <x:c r="G28" s="3"/>
      <x:c r="H28" s="3"/>
      <x:c r="I28" s="3"/>
      <x:c r="J28" s="3"/>
      <x:c r="K28" s="3"/>
      <x:c r="L28" s="3"/>
      <x:c r="M28" s="3"/>
      <x:c r="N28" s="2"/>
      <x:c r="O28" s="2"/>
    </x:row>
    <x:row r="29" ht="20" customHeight="1">
      <x:c r="A29" s="2"/>
      <x:c r="B29" s="2"/>
      <x:c r="C29" s="2"/>
      <x:c r="D29" s="3"/>
      <x:c r="E29" s="3"/>
      <x:c r="F29" s="3"/>
      <x:c r="G29" s="3"/>
      <x:c r="H29" s="3"/>
      <x:c r="I29" s="3"/>
      <x:c r="J29" s="3"/>
      <x:c r="K29" s="3"/>
      <x:c r="L29" s="3"/>
      <x:c r="M29" s="3"/>
      <x:c r="N29" s="2"/>
      <x:c r="O29" s="2"/>
    </x:row>
    <x:row r="30" ht="20" customHeight="1">
      <x:c r="A30" s="2"/>
      <x:c r="B30" s="2"/>
      <x:c r="C30" s="2"/>
      <x:c r="D30" s="3"/>
      <x:c r="E30" s="3"/>
      <x:c r="F30" s="3"/>
      <x:c r="G30" s="3"/>
      <x:c r="H30" s="3"/>
      <x:c r="I30" s="3"/>
      <x:c r="J30" s="3"/>
      <x:c r="K30" s="3"/>
      <x:c r="L30" s="3"/>
      <x:c r="M30" s="3"/>
      <x:c r="N30" s="2"/>
      <x:c r="O30" s="2"/>
    </x:row>
    <x:row r="31" ht="20" customHeight="1">
      <x:c r="A31" s="2"/>
      <x:c r="B31" s="2"/>
      <x:c r="C31" s="2"/>
      <x:c r="D31" s="3"/>
      <x:c r="E31" s="3"/>
      <x:c r="F31" s="3"/>
      <x:c r="G31" s="3"/>
      <x:c r="H31" s="3"/>
      <x:c r="I31" s="3"/>
      <x:c r="J31" s="3"/>
      <x:c r="K31" s="3"/>
      <x:c r="L31" s="3"/>
      <x:c r="M31" s="3"/>
      <x:c r="N31" s="2"/>
      <x:c r="O31" s="2"/>
    </x:row>
    <x:row r="32" ht="24" customHeight="1">
      <x:c r="A32" s="2"/>
      <x:c r="B32" s="2"/>
      <x:c r="C32" s="11" t="str">
        <x:v>Original sources and accounting definitions</x:v>
      </x:c>
      <x:c r="D32" s="19"/>
      <x:c r="E32" s="19"/>
      <x:c r="F32" s="19"/>
      <x:c r="G32" s="19"/>
      <x:c r="H32" s="19"/>
      <x:c r="I32" s="19"/>
      <x:c r="J32" s="19"/>
      <x:c r="K32" s="19"/>
      <x:c r="L32" s="19"/>
      <x:c r="M32" s="19"/>
      <x:c r="N32" s="2"/>
      <x:c r="O32" s="2"/>
    </x:row>
    <x:row r="33" ht="20" customHeight="1">
      <x:c r="A33" s="2"/>
      <x:c r="B33" s="2"/>
      <x:c r="C33" s="2"/>
      <x:c r="D33" s="3"/>
      <x:c r="E33" s="3"/>
      <x:c r="F33" s="3"/>
      <x:c r="G33" s="3"/>
      <x:c r="H33" s="3"/>
      <x:c r="I33" s="3"/>
      <x:c r="J33" s="3"/>
      <x:c r="K33" s="3"/>
      <x:c r="L33" s="3"/>
      <x:c r="M33" s="3"/>
      <x:c r="N33" s="2"/>
      <x:c r="O33" s="2"/>
    </x:row>
    <x:row r="34" ht="20" customHeight="1">
      <x:c r="A34" s="2"/>
      <x:c r="B34" s="2"/>
      <x:c r="C34" s="2" t="str">
        <x:v>Primary company disclosures accessed 14 September 2026. Page references below are printed pages unless marked PDF.</x:v>
      </x:c>
      <x:c r="D34" s="3"/>
      <x:c r="E34" s="3"/>
      <x:c r="F34" s="3"/>
      <x:c r="G34" s="3"/>
      <x:c r="H34" s="3"/>
      <x:c r="I34" s="3"/>
      <x:c r="J34" s="3"/>
      <x:c r="K34" s="3"/>
      <x:c r="L34" s="3"/>
      <x:c r="M34" s="3"/>
      <x:c r="N34" s="2"/>
      <x:c r="O34" s="2"/>
    </x:row>
    <x:row r="35" ht="20" customHeight="1">
      <x:c r="A35" s="2"/>
      <x:c r="B35" s="2"/>
      <x:c r="C35" s="2"/>
      <x:c r="D35" s="3"/>
      <x:c r="E35" s="3"/>
      <x:c r="F35" s="3"/>
      <x:c r="G35" s="3"/>
      <x:c r="H35" s="3"/>
      <x:c r="I35" s="3"/>
      <x:c r="J35" s="3"/>
      <x:c r="K35" s="3"/>
      <x:c r="L35" s="3"/>
      <x:c r="M35" s="3"/>
      <x:c r="N35" s="2"/>
      <x:c r="O35" s="2"/>
    </x:row>
    <x:row r="36" ht="20" customHeight="1">
      <x:c r="A36" s="2"/>
      <x:c r="B36" s="2"/>
      <x:c r="C36" s="2" t="str">
        <x:v>Source ID</x:v>
      </x:c>
      <x:c r="D36" s="21" t="str">
        <x:v>Primary document / accounting basis</x:v>
      </x:c>
      <x:c r="E36" s="21"/>
      <x:c r="F36" s="21"/>
      <x:c r="G36" s="21"/>
      <x:c r="H36" s="21"/>
      <x:c r="I36" s="3"/>
      <x:c r="J36" s="3"/>
      <x:c r="K36" s="3"/>
      <x:c r="L36" s="3"/>
      <x:c r="M36" s="3"/>
      <x:c r="N36" s="2"/>
      <x:c r="O36" s="2"/>
    </x:row>
    <x:row r="37" ht="20" customHeight="1">
      <x:c r="A37" s="2"/>
      <x:c r="B37" s="2"/>
      <x:c r="C37" s="2"/>
      <x:c r="D37" s="3"/>
      <x:c r="E37" s="3"/>
      <x:c r="F37" s="3"/>
      <x:c r="G37" s="3"/>
      <x:c r="H37" s="3"/>
      <x:c r="I37" s="3"/>
      <x:c r="J37" s="3"/>
      <x:c r="K37" s="3"/>
      <x:c r="L37" s="3"/>
      <x:c r="M37" s="3"/>
      <x:c r="N37" s="2"/>
      <x:c r="O37" s="2"/>
    </x:row>
    <x:row r="38" ht="22" customHeight="1">
      <x:c r="A38" s="2"/>
      <x:c r="B38" s="2"/>
      <x:c r="C38" s="2" t="str">
        <x:v>AR22</x:v>
      </x:c>
      <x:c r="D38" s="3" t="str">
        <x:v>Annual report FY22 — https://polycab.com/external/annual-reports/ar2022/pdf/Polycab_IR2021-22.pdf</x:v>
      </x:c>
      <x:c r="E38" s="3"/>
      <x:c r="F38" s="3"/>
      <x:c r="G38" s="3"/>
      <x:c r="H38" s="3"/>
      <x:c r="I38" s="3"/>
      <x:c r="J38" s="3"/>
      <x:c r="K38" s="3"/>
      <x:c r="L38" s="3"/>
      <x:c r="M38" s="3"/>
      <x:c r="N38" s="2"/>
      <x:c r="O38" s="16" t="str">
        <x:v>https://polycab.com/external/annual-reports/ar2022/pdf/Polycab_IR2021-22.pdf</x:v>
      </x:c>
    </x:row>
    <x:row r="39" ht="22" customHeight="1">
      <x:c r="A39" s="2"/>
      <x:c r="B39" s="2"/>
      <x:c r="C39" s="2" t="str">
        <x:v>AR23</x:v>
      </x:c>
      <x:c r="D39" s="3" t="str">
        <x:v>Annual report FY23 — https://polycab.com/external/annual-reports/ar2023/Polycab_IAR%202023.pdf</x:v>
      </x:c>
      <x:c r="E39" s="3"/>
      <x:c r="F39" s="3"/>
      <x:c r="G39" s="3"/>
      <x:c r="H39" s="3"/>
      <x:c r="I39" s="3"/>
      <x:c r="J39" s="3"/>
      <x:c r="K39" s="3"/>
      <x:c r="L39" s="3"/>
      <x:c r="M39" s="3"/>
      <x:c r="N39" s="2"/>
      <x:c r="O39" s="16" t="str">
        <x:v>https://polycab.com/external/annual-reports/ar2023/Polycab_IAR%202023.pdf</x:v>
      </x:c>
    </x:row>
    <x:row r="40" ht="22" customHeight="1">
      <x:c r="A40" s="2"/>
      <x:c r="B40" s="2"/>
      <x:c r="C40" s="2" t="str">
        <x:v>AR24</x:v>
      </x:c>
      <x:c r="D40" s="3" t="str">
        <x:v>Annual report FY24 — https://polycab.com/external/annual-reports/ar2024/pdf/Polycab_IR-2024.pdf</x:v>
      </x:c>
      <x:c r="E40" s="3"/>
      <x:c r="F40" s="3"/>
      <x:c r="G40" s="3"/>
      <x:c r="H40" s="3"/>
      <x:c r="I40" s="3"/>
      <x:c r="J40" s="3"/>
      <x:c r="K40" s="3"/>
      <x:c r="L40" s="3"/>
      <x:c r="M40" s="3"/>
      <x:c r="N40" s="2"/>
      <x:c r="O40" s="16" t="str">
        <x:v>https://polycab.com/external/annual-reports/ar2024/pdf/Polycab_IR-2024.pdf</x:v>
      </x:c>
    </x:row>
    <x:row r="41" ht="22" customHeight="1">
      <x:c r="A41" s="2"/>
      <x:c r="B41" s="2"/>
      <x:c r="C41" s="2" t="str">
        <x:v>AR25</x:v>
      </x:c>
      <x:c r="D41" s="3" t="str">
        <x:v>Annual report FY25 — https://polycab.com/external/annual-reports/ar2025/pdf/Polycab_IAR_2025.pdf</x:v>
      </x:c>
      <x:c r="E41" s="3"/>
      <x:c r="F41" s="3"/>
      <x:c r="G41" s="3"/>
      <x:c r="H41" s="3"/>
      <x:c r="I41" s="3"/>
      <x:c r="J41" s="3"/>
      <x:c r="K41" s="3"/>
      <x:c r="L41" s="3"/>
      <x:c r="M41" s="3"/>
      <x:c r="N41" s="2"/>
      <x:c r="O41" s="16" t="str">
        <x:v>https://polycab.com/external/annual-reports/ar2025/pdf/Polycab_IAR_2025.pdf</x:v>
      </x:c>
    </x:row>
    <x:row r="42" ht="22" customHeight="1">
      <x:c r="A42" s="2"/>
      <x:c r="B42" s="2"/>
      <x:c r="C42" s="2" t="str">
        <x:v>AR26</x:v>
      </x:c>
      <x:c r="D42" s="3" t="str">
        <x:v>Annual report FY26 — https://polycab.com/external/annual-reports/ar2026/pdf/Polycab_IR_2026.pdf</x:v>
      </x:c>
      <x:c r="E42" s="3"/>
      <x:c r="F42" s="3"/>
      <x:c r="G42" s="3"/>
      <x:c r="H42" s="3"/>
      <x:c r="I42" s="3"/>
      <x:c r="J42" s="3"/>
      <x:c r="K42" s="3"/>
      <x:c r="L42" s="3"/>
      <x:c r="M42" s="3"/>
      <x:c r="N42" s="2"/>
      <x:c r="O42" s="16" t="str">
        <x:v>https://polycab.com/external/annual-reports/ar2026/pdf/Polycab_IR_2026.pdf</x:v>
      </x:c>
    </x:row>
    <x:row r="43" ht="22" customHeight="1">
      <x:c r="A43" s="2"/>
      <x:c r="B43" s="2"/>
      <x:c r="C43" s="2" t="str">
        <x:v>P26</x:v>
      </x:c>
      <x:c r="D43" s="3" t="str">
        <x:v>FY26 results presentation — https://cms.polycab.com/media/32ths2yr/q4-fy26-earnings-presentation.pdf</x:v>
      </x:c>
      <x:c r="E43" s="3"/>
      <x:c r="F43" s="3"/>
      <x:c r="G43" s="3"/>
      <x:c r="H43" s="3"/>
      <x:c r="I43" s="3"/>
      <x:c r="J43" s="3"/>
      <x:c r="K43" s="3"/>
      <x:c r="L43" s="3"/>
      <x:c r="M43" s="3"/>
      <x:c r="N43" s="2"/>
      <x:c r="O43" s="16" t="str">
        <x:v>https://cms.polycab.com/media/32ths2yr/q4-fy26-earnings-presentation.pdf</x:v>
      </x:c>
    </x:row>
    <x:row r="44" ht="20" customHeight="1">
      <x:c r="A44" s="2"/>
      <x:c r="B44" s="2"/>
      <x:c r="C44" s="2"/>
      <x:c r="D44" s="3"/>
      <x:c r="E44" s="3"/>
      <x:c r="F44" s="3"/>
      <x:c r="G44" s="3"/>
      <x:c r="H44" s="3"/>
      <x:c r="I44" s="3"/>
      <x:c r="J44" s="3"/>
      <x:c r="K44" s="3"/>
      <x:c r="L44" s="3"/>
      <x:c r="M44" s="3"/>
      <x:c r="N44" s="2"/>
      <x:c r="O44" s="2"/>
    </x:row>
    <x:row r="45" ht="20" customHeight="1">
      <x:c r="A45" s="2"/>
      <x:c r="B45" s="2"/>
      <x:c r="C45" s="2"/>
      <x:c r="D45" s="3"/>
      <x:c r="E45" s="3"/>
      <x:c r="F45" s="3"/>
      <x:c r="G45" s="3"/>
      <x:c r="H45" s="3"/>
      <x:c r="I45" s="3"/>
      <x:c r="J45" s="3"/>
      <x:c r="K45" s="3"/>
      <x:c r="L45" s="3"/>
      <x:c r="M45" s="3"/>
      <x:c r="N45" s="2"/>
      <x:c r="O45" s="2"/>
    </x:row>
    <x:row r="46" ht="32" customHeight="1">
      <x:c r="A46" s="2"/>
      <x:c r="B46" s="2"/>
      <x:c r="C46" s="2" t="str">
        <x:v>FS</x:v>
      </x:c>
      <x:c r="D46" s="3" t="str">
        <x:v>FY22: AR23 pp218–219. FY23: AR24 pp300–301, restated. FY24: AR25 pp265–266. FY25/FY26: AR26 pp314–315, FY25 balance sheet restated.</x:v>
      </x:c>
      <x:c r="E46" s="3"/>
      <x:c r="F46" s="3"/>
      <x:c r="G46" s="3"/>
      <x:c r="H46" s="3"/>
      <x:c r="I46" s="3"/>
      <x:c r="J46" s="3"/>
      <x:c r="K46" s="3"/>
      <x:c r="L46" s="3"/>
      <x:c r="M46" s="3"/>
      <x:c r="N46" s="2"/>
      <x:c r="O46" s="16" t="str">
        <x:v>FY22: AR23 pp218–219. FY23: AR24 pp300–301, restated. FY24: AR25 pp265–266. FY25/FY26: AR26 pp314–315, FY25 balance sheet restated.</x:v>
      </x:c>
    </x:row>
    <x:row r="47" ht="22" customHeight="1">
      <x:c r="A47" s="2"/>
      <x:c r="B47" s="2"/>
      <x:c r="C47" s="2" t="str">
        <x:v>CF</x:v>
      </x:c>
      <x:c r="D47" s="3" t="str">
        <x:v>FY22: AR23 pp221–222. FY23/FY24: AR24 pp304–306. FY25/FY26: AR26 pp316–317.</x:v>
      </x:c>
      <x:c r="E47" s="3"/>
      <x:c r="F47" s="3"/>
      <x:c r="G47" s="3"/>
      <x:c r="H47" s="3"/>
      <x:c r="I47" s="3"/>
      <x:c r="J47" s="3"/>
      <x:c r="K47" s="3"/>
      <x:c r="L47" s="3"/>
      <x:c r="M47" s="3"/>
      <x:c r="N47" s="2"/>
      <x:c r="O47" s="16" t="str">
        <x:v>FY22: AR23 pp221–222. FY23/FY24: AR24 pp304–306. FY25/FY26: AR26 pp316–317.</x:v>
      </x:c>
    </x:row>
    <x:row r="48" ht="22" customHeight="1">
      <x:c r="A48" s="2"/>
      <x:c r="B48" s="2"/>
      <x:c r="C48" s="2" t="str">
        <x:v>SEG</x:v>
      </x:c>
      <x:c r="D48" s="3" t="str">
        <x:v>FY22: AR23 pp295–296. FY23/FY24: AR24 pp378–379. FY25/FY26: AR26 pp386–388.</x:v>
      </x:c>
      <x:c r="E48" s="3"/>
      <x:c r="F48" s="3"/>
      <x:c r="G48" s="3"/>
      <x:c r="H48" s="3"/>
      <x:c r="I48" s="3"/>
      <x:c r="J48" s="3"/>
      <x:c r="K48" s="3"/>
      <x:c r="L48" s="3"/>
      <x:c r="M48" s="3"/>
      <x:c r="N48" s="2"/>
      <x:c r="O48" s="16" t="str">
        <x:v>FY22: AR23 pp295–296. FY23/FY24: AR24 pp378–379. FY25/FY26: AR26 pp386–388.</x:v>
      </x:c>
    </x:row>
    <x:row r="49" ht="32" customHeight="1">
      <x:c r="A49" s="2"/>
      <x:c r="B49" s="2"/>
      <x:c r="C49" s="2" t="str">
        <x:v>KPI</x:v>
      </x:c>
      <x:c r="D49" s="3" t="str">
        <x:v>Capex and finance income: SEG. Days, ROCE, ROE, EPS/dividends and rounded EBITDA: AR26 p520. Net cash: annual report corporate overviews.</x:v>
      </x:c>
      <x:c r="E49" s="3"/>
      <x:c r="F49" s="3"/>
      <x:c r="G49" s="3"/>
      <x:c r="H49" s="3"/>
      <x:c r="I49" s="3"/>
      <x:c r="J49" s="3"/>
      <x:c r="K49" s="3"/>
      <x:c r="L49" s="3"/>
      <x:c r="M49" s="3"/>
      <x:c r="N49" s="2"/>
      <x:c r="O49" s="16" t="str">
        <x:v>Capex and finance income: SEG. Days, ROCE, ROE, EPS/dividends and rounded EBITDA: AR26 p520. Net cash: annual report corporate overviews.</x:v>
      </x:c>
    </x:row>
    <x:row r="50" ht="32" customHeight="1">
      <x:c r="A50" s="2"/>
      <x:c r="B50" s="2"/>
      <x:c r="C50" s="2" t="str">
        <x:v>OPS</x:v>
      </x:c>
      <x:c r="D50" s="3" t="str">
        <x:v>FY22: AR22 pp12–15. FY23: AR23 pp10–12. FY24: AR24 pp18–21. FY25: AR25 pp18–20. FY26: AR26 pp7–9 and p44.</x:v>
      </x:c>
      <x:c r="E50" s="3"/>
      <x:c r="F50" s="3"/>
      <x:c r="G50" s="3"/>
      <x:c r="H50" s="3"/>
      <x:c r="I50" s="3"/>
      <x:c r="J50" s="3"/>
      <x:c r="K50" s="3"/>
      <x:c r="L50" s="3"/>
      <x:c r="M50" s="3"/>
      <x:c r="N50" s="2"/>
      <x:c r="O50" s="16" t="str">
        <x:v>FY22: AR22 pp12–15. FY23: AR23 pp10–12. FY24: AR24 pp18–21. FY25: AR25 pp18–20. FY26: AR26 pp7–9 and p44.</x:v>
      </x:c>
    </x:row>
    <x:row r="51" ht="22" customHeight="1">
      <x:c r="A51" s="2"/>
      <x:c r="B51" s="2"/>
      <x:c r="C51" s="2" t="str">
        <x:v>ADS</x:v>
      </x:c>
      <x:c r="D51" s="3" t="str">
        <x:v>Advertising: AR22 p220–221; AR24 p370–371; P26 p27. Commodity averages: AR24 p124.</x:v>
      </x:c>
      <x:c r="E51" s="3"/>
      <x:c r="F51" s="3"/>
      <x:c r="G51" s="3"/>
      <x:c r="H51" s="3"/>
      <x:c r="I51" s="3"/>
      <x:c r="J51" s="3"/>
      <x:c r="K51" s="3"/>
      <x:c r="L51" s="3"/>
      <x:c r="M51" s="3"/>
      <x:c r="N51" s="2"/>
      <x:c r="O51" s="16" t="str">
        <x:v>Advertising: AR22 p220–221; AR24 p370–371; P26 p27. Commodity averages: AR24 p124.</x:v>
      </x:c>
    </x:row>
    <x:row r="52" ht="32" customHeight="1">
      <x:c r="A52" s="2"/>
      <x:c r="B52" s="2"/>
      <x:c r="C52" s="2" t="str">
        <x:v>P26</x:v>
      </x:c>
      <x:c r="D52" s="3" t="str">
        <x:v>Country history p10; capex, exports, advertising p27; company average/closing days p28; definitions p29.</x:v>
      </x:c>
      <x:c r="E52" s="3"/>
      <x:c r="F52" s="3"/>
      <x:c r="G52" s="3"/>
      <x:c r="H52" s="3"/>
      <x:c r="I52" s="3"/>
      <x:c r="J52" s="3"/>
      <x:c r="K52" s="3"/>
      <x:c r="L52" s="3"/>
      <x:c r="M52" s="3"/>
      <x:c r="N52" s="2"/>
      <x:c r="O52" s="16" t="str">
        <x:v>Country history p10; capex, exports, advertising p27; company average/closing days p28; definitions p29.</x:v>
      </x:c>
    </x:row>
    <x:row r="53" ht="20" customHeight="1">
      <x:c r="A53" s="2"/>
      <x:c r="B53" s="2"/>
      <x:c r="C53" s="2"/>
      <x:c r="D53" s="3"/>
      <x:c r="E53" s="3"/>
      <x:c r="F53" s="3"/>
      <x:c r="G53" s="3"/>
      <x:c r="H53" s="3"/>
      <x:c r="I53" s="3"/>
      <x:c r="J53" s="3"/>
      <x:c r="K53" s="3"/>
      <x:c r="L53" s="3"/>
      <x:c r="M53" s="3"/>
      <x:c r="N53" s="2"/>
      <x:c r="O53" s="2"/>
    </x:row>
    <x:row r="54" ht="20" customHeight="1">
      <x:c r="A54" s="2"/>
      <x:c r="B54" s="2"/>
      <x:c r="C54" s="2"/>
      <x:c r="D54" s="3"/>
      <x:c r="E54" s="3"/>
      <x:c r="F54" s="3"/>
      <x:c r="G54" s="3"/>
      <x:c r="H54" s="3"/>
      <x:c r="I54" s="3"/>
      <x:c r="J54" s="3"/>
      <x:c r="K54" s="3"/>
      <x:c r="L54" s="3"/>
      <x:c r="M54" s="3"/>
      <x:c r="N54" s="2"/>
      <x:c r="O54" s="2"/>
    </x:row>
    <x:row r="55" ht="20" customHeight="1">
      <x:c r="A55" s="2"/>
      <x:c r="B55" s="2"/>
      <x:c r="C55" s="2" t="str">
        <x:v>FY21 OPENING BALANCES FOR HISTORICAL RATIOS</x:v>
      </x:c>
      <x:c r="D55" s="3"/>
      <x:c r="E55" s="3"/>
      <x:c r="F55" s="3"/>
      <x:c r="G55" s="3"/>
      <x:c r="H55" s="3"/>
      <x:c r="I55" s="3"/>
      <x:c r="J55" s="3"/>
      <x:c r="K55" s="3"/>
      <x:c r="L55" s="3"/>
      <x:c r="M55" s="3"/>
      <x:c r="N55" s="2"/>
      <x:c r="O55" s="2"/>
    </x:row>
    <x:row r="56" ht="20" customHeight="1">
      <x:c r="A56" s="2"/>
      <x:c r="B56" s="2"/>
      <x:c r="C56" s="2"/>
      <x:c r="D56" s="3"/>
      <x:c r="E56" s="3"/>
      <x:c r="F56" s="3"/>
      <x:c r="G56" s="3"/>
      <x:c r="H56" s="3"/>
      <x:c r="I56" s="3"/>
      <x:c r="J56" s="3"/>
      <x:c r="K56" s="3"/>
      <x:c r="L56" s="3"/>
      <x:c r="M56" s="3"/>
      <x:c r="N56" s="2"/>
      <x:c r="O56" s="2"/>
    </x:row>
    <x:row r="57" ht="32" customHeight="1">
      <x:c r="A57" s="2"/>
      <x:c r="B57" s="2"/>
      <x:c r="C57" s="2" t="str">
        <x:v>Current receivables at 31 March 2021</x:v>
      </x:c>
      <x:c r="D57" s="17" t="n">
        <x:v>14357.67</x:v>
      </x:c>
      <x:c r="E57" s="3"/>
      <x:c r="F57" s="3"/>
      <x:c r="G57" s="3"/>
      <x:c r="H57" s="3"/>
      <x:c r="I57" s="3"/>
      <x:c r="J57" s="3"/>
      <x:c r="K57" s="3"/>
      <x:c r="L57" s="3"/>
      <x:c r="M57" s="3"/>
      <x:c r="N57" s="2"/>
      <x:c r="O57" s="16" t="str">
        <x:v>AR22 pp162–166. Net fixed assets = PPE 18,261.17 + CWIP 990.50 + ROU 341.00 + intangibles 71.25 + goodwill 22.58.</x:v>
      </x:c>
    </x:row>
    <x:row r="58" ht="20" customHeight="1">
      <x:c r="A58" s="2"/>
      <x:c r="B58" s="2"/>
      <x:c r="C58" s="2" t="str">
        <x:v>Inventories at 31 March 2021</x:v>
      </x:c>
      <x:c r="D58" s="17" t="n">
        <x:v>19879.1</x:v>
      </x:c>
      <x:c r="E58" s="3"/>
      <x:c r="F58" s="3"/>
      <x:c r="G58" s="3"/>
      <x:c r="H58" s="3"/>
      <x:c r="I58" s="3"/>
      <x:c r="J58" s="3"/>
      <x:c r="K58" s="3"/>
      <x:c r="L58" s="3"/>
      <x:c r="M58" s="3"/>
      <x:c r="N58" s="2"/>
      <x:c r="O58" s="2"/>
    </x:row>
    <x:row r="59" ht="20" customHeight="1">
      <x:c r="A59" s="2"/>
      <x:c r="B59" s="2"/>
      <x:c r="C59" s="2" t="str">
        <x:v>Trade payables incl acceptances at 31 March 2021</x:v>
      </x:c>
      <x:c r="D59" s="17" t="n">
        <x:v>13480.32</x:v>
      </x:c>
      <x:c r="E59" s="3"/>
      <x:c r="F59" s="3"/>
      <x:c r="G59" s="3"/>
      <x:c r="H59" s="3"/>
      <x:c r="I59" s="3"/>
      <x:c r="J59" s="3"/>
      <x:c r="K59" s="3"/>
      <x:c r="L59" s="3"/>
      <x:c r="M59" s="3"/>
      <x:c r="N59" s="2"/>
      <x:c r="O59" s="2"/>
    </x:row>
    <x:row r="60" ht="20" customHeight="1">
      <x:c r="A60" s="2"/>
      <x:c r="B60" s="2"/>
      <x:c r="C60" s="2" t="str">
        <x:v>Cash at 31 March 2021, gross</x:v>
      </x:c>
      <x:c r="D60" s="17" t="n">
        <x:v>2378.03</x:v>
      </x:c>
      <x:c r="E60" s="3"/>
      <x:c r="F60" s="3"/>
      <x:c r="G60" s="3"/>
      <x:c r="H60" s="3"/>
      <x:c r="I60" s="3"/>
      <x:c r="J60" s="3"/>
      <x:c r="K60" s="3"/>
      <x:c r="L60" s="3"/>
      <x:c r="M60" s="3"/>
      <x:c r="N60" s="2"/>
      <x:c r="O60" s="2"/>
    </x:row>
    <x:row r="61" ht="20" customHeight="1">
      <x:c r="A61" s="2"/>
      <x:c r="B61" s="2"/>
      <x:c r="C61" s="2" t="str">
        <x:v>Net fixed assets at 31 March 2021</x:v>
      </x:c>
      <x:c r="D61" s="17" t="n">
        <x:v>19686.5</x:v>
      </x:c>
      <x:c r="E61" s="3"/>
      <x:c r="F61" s="3"/>
      <x:c r="G61" s="3"/>
      <x:c r="H61" s="3"/>
      <x:c r="I61" s="3"/>
      <x:c r="J61" s="3"/>
      <x:c r="K61" s="3"/>
      <x:c r="L61" s="3"/>
      <x:c r="M61" s="3"/>
      <x:c r="N61" s="2"/>
      <x:c r="O61" s="2"/>
    </x:row>
    <x:row r="62" ht="20" customHeight="1">
      <x:c r="A62" s="2"/>
      <x:c r="B62" s="2"/>
      <x:c r="C62" s="2" t="str">
        <x:v>Cash credit at 31 March 2021</x:v>
      </x:c>
      <x:c r="D62" s="17" t="n">
        <x:v>0.84</x:v>
      </x:c>
      <x:c r="E62" s="3"/>
      <x:c r="F62" s="3"/>
      <x:c r="G62" s="3"/>
      <x:c r="H62" s="3"/>
      <x:c r="I62" s="3"/>
      <x:c r="J62" s="3"/>
      <x:c r="K62" s="3"/>
      <x:c r="L62" s="3"/>
      <x:c r="M62" s="3"/>
      <x:c r="N62" s="2"/>
      <x:c r="O62" s="2"/>
    </x:row>
    <x:row r="63" ht="20" customHeight="1">
      <x:c r="A63" s="2"/>
      <x:c r="B63" s="2"/>
      <x:c r="C63" s="2"/>
      <x:c r="D63" s="3"/>
      <x:c r="E63" s="3"/>
      <x:c r="F63" s="3"/>
      <x:c r="G63" s="3"/>
      <x:c r="H63" s="3"/>
      <x:c r="I63" s="3"/>
      <x:c r="J63" s="3"/>
      <x:c r="K63" s="3"/>
      <x:c r="L63" s="3"/>
      <x:c r="M63" s="3"/>
      <x:c r="N63" s="2"/>
      <x:c r="O63" s="2"/>
    </x:row>
    <x:row r="64" ht="20" customHeight="1">
      <x:c r="A64" s="2"/>
      <x:c r="B64" s="2"/>
      <x:c r="C64" s="2"/>
      <x:c r="D64" s="3"/>
      <x:c r="E64" s="3"/>
      <x:c r="F64" s="3"/>
      <x:c r="G64" s="3"/>
      <x:c r="H64" s="3"/>
      <x:c r="I64" s="3"/>
      <x:c r="J64" s="3"/>
      <x:c r="K64" s="3"/>
      <x:c r="L64" s="3"/>
      <x:c r="M64" s="3"/>
      <x:c r="N64" s="2"/>
      <x:c r="O64" s="2"/>
    </x:row>
    <x:row r="65" ht="20" customHeight="1">
      <x:c r="A65" s="2"/>
      <x:c r="B65" s="2"/>
      <x:c r="C65" s="2" t="str">
        <x:v>SOURCE DIFFERENCES AND MODEL DEFINITIONS</x:v>
      </x:c>
      <x:c r="D65" s="3"/>
      <x:c r="E65" s="3"/>
      <x:c r="F65" s="3"/>
      <x:c r="G65" s="3"/>
      <x:c r="H65" s="3"/>
      <x:c r="I65" s="3"/>
      <x:c r="J65" s="3"/>
      <x:c r="K65" s="3"/>
      <x:c r="L65" s="3"/>
      <x:c r="M65" s="3"/>
      <x:c r="N65" s="2"/>
      <x:c r="O65" s="2"/>
    </x:row>
    <x:row r="66" ht="20" customHeight="1">
      <x:c r="A66" s="2"/>
      <x:c r="B66" s="2"/>
      <x:c r="C66" s="2"/>
      <x:c r="D66" s="3"/>
      <x:c r="E66" s="3"/>
      <x:c r="F66" s="3"/>
      <x:c r="G66" s="3"/>
      <x:c r="H66" s="3"/>
      <x:c r="I66" s="3"/>
      <x:c r="J66" s="3"/>
      <x:c r="K66" s="3"/>
      <x:c r="L66" s="3"/>
      <x:c r="M66" s="3"/>
      <x:c r="N66" s="2"/>
      <x:c r="O66" s="2"/>
    </x:row>
    <x:row r="67" ht="44" customHeight="1">
      <x:c r="A67" s="2"/>
      <x:c r="B67" s="2"/>
      <x:c r="C67" s="2" t="str">
        <x:v>FY23 restatement</x:v>
      </x:c>
      <x:c r="D67" s="3" t="str">
        <x:v>FY24 audited comparatives report PAT 12,830.86 and parent equity 66,372.07. Earlier FY23 report had PAT 12,822.53 and parent equity 66,311.37. Latest audited comparative used.</x:v>
      </x:c>
      <x:c r="E67" s="3"/>
      <x:c r="F67" s="3"/>
      <x:c r="G67" s="3"/>
      <x:c r="H67" s="3"/>
      <x:c r="I67" s="3"/>
      <x:c r="J67" s="3"/>
      <x:c r="K67" s="3"/>
      <x:c r="L67" s="3"/>
      <x:c r="M67" s="3"/>
      <x:c r="N67" s="2"/>
      <x:c r="O67" s="16" t="str">
        <x:v>FY24 audited comparatives report PAT 12,830.86 and parent equity 66,372.07. Earlier FY23 report had PAT 12,822.53 and parent equity 66,311.37. Latest audited comparative used.</x:v>
      </x:c>
    </x:row>
    <x:row r="68" ht="44" customHeight="1">
      <x:c r="A68" s="2"/>
      <x:c r="B68" s="2"/>
      <x:c r="C68" s="2" t="str">
        <x:v>FY24 liability reclassification</x:v>
      </x:c>
      <x:c r="D68" s="3" t="str">
        <x:v>FY25 comparative reclassifies provisions between current and non-current by 162.48, with no change to total liabilities. Used consistently in historical balance sheet.</x:v>
      </x:c>
      <x:c r="E68" s="3"/>
      <x:c r="F68" s="3"/>
      <x:c r="G68" s="3"/>
      <x:c r="H68" s="3"/>
      <x:c r="I68" s="3"/>
      <x:c r="J68" s="3"/>
      <x:c r="K68" s="3"/>
      <x:c r="L68" s="3"/>
      <x:c r="M68" s="3"/>
      <x:c r="N68" s="2"/>
      <x:c r="O68" s="16" t="str">
        <x:v>FY25 comparative reclassifies provisions between current and non-current by 162.48, with no change to total liabilities. Used consistently in historical balance sheet.</x:v>
      </x:c>
    </x:row>
    <x:row r="69" ht="44" customHeight="1">
      <x:c r="A69" s="2"/>
      <x:c r="B69" s="2"/>
      <x:c r="C69" s="2" t="str">
        <x:v>FY25 merger restatement</x:v>
      </x:c>
      <x:c r="D69" s="3" t="str">
        <x:v>AR26 records deferred-tax asset and retained-earnings uplift of 30.30 from UEEPL merger. FY25 assets 137,757.66 and parent equity 98,280.55 replace older summary-table values. AR26 p406.</x:v>
      </x:c>
      <x:c r="E69" s="3"/>
      <x:c r="F69" s="3"/>
      <x:c r="G69" s="3"/>
      <x:c r="H69" s="3"/>
      <x:c r="I69" s="3"/>
      <x:c r="J69" s="3"/>
      <x:c r="K69" s="3"/>
      <x:c r="L69" s="3"/>
      <x:c r="M69" s="3"/>
      <x:c r="N69" s="2"/>
      <x:c r="O69" s="16" t="str">
        <x:v>AR26 records deferred-tax asset and retained-earnings uplift of 30.30 from UEEPL merger. FY25 assets 137,757.66 and parent equity 98,280.55 replace older summary-table values. AR26 p406.</x:v>
      </x:c>
    </x:row>
    <x:row r="70" ht="44" customHeight="1">
      <x:c r="A70" s="2"/>
      <x:c r="B70" s="2"/>
      <x:c r="C70" s="2" t="str">
        <x:v>FY24 opening-equity boundary</x:v>
      </x:c>
      <x:c r="D70" s="3" t="str">
        <x:v>FY24 remains the published FY25 comparative. AR26 restates 1 April 2024 equity by 30.30; this is an opening adjustment when analysing FY25 equity changes, not FY25 profit.</x:v>
      </x:c>
      <x:c r="E70" s="3"/>
      <x:c r="F70" s="3"/>
      <x:c r="G70" s="3"/>
      <x:c r="H70" s="3"/>
      <x:c r="I70" s="3"/>
      <x:c r="J70" s="3"/>
      <x:c r="K70" s="3"/>
      <x:c r="L70" s="3"/>
      <x:c r="M70" s="3"/>
      <x:c r="N70" s="2"/>
      <x:c r="O70" s="16" t="str">
        <x:v>FY24 remains the published FY25 comparative. AR26 restates 1 April 2024 equity by 30.30; this is an opening adjustment when analysing FY25 equity changes, not FY25 profit.</x:v>
      </x:c>
    </x:row>
    <x:row r="71" ht="44" customHeight="1">
      <x:c r="A71" s="2"/>
      <x:c r="B71" s="2"/>
      <x:c r="C71" s="2" t="str">
        <x:v>Segment revenue basis</x:v>
      </x:c>
      <x:c r="D71" s="3" t="str">
        <x:v>External segment income = consolidated operating revenue + allocated non-finance other income. Intersegment income is disclosed separately and is not added to consolidated revenue.</x:v>
      </x:c>
      <x:c r="E71" s="3"/>
      <x:c r="F71" s="3"/>
      <x:c r="G71" s="3"/>
      <x:c r="H71" s="3"/>
      <x:c r="I71" s="3"/>
      <x:c r="J71" s="3"/>
      <x:c r="K71" s="3"/>
      <x:c r="L71" s="3"/>
      <x:c r="M71" s="3"/>
      <x:c r="N71" s="2"/>
      <x:c r="O71" s="16" t="str">
        <x:v>External segment income = consolidated operating revenue + allocated non-finance other income. Intersegment income is disclosed separately and is not added to consolidated revenue.</x:v>
      </x:c>
    </x:row>
    <x:row r="72" ht="44" customHeight="1">
      <x:c r="A72" s="2"/>
      <x:c r="B72" s="2"/>
      <x:c r="C72" s="2" t="str">
        <x:v>FY22 discontinued operation</x:v>
      </x:c>
      <x:c r="D72" s="3" t="str">
        <x:v>Copper business disposed in FY22. PAT contribution 720.53 retained separately. Historical CFO and D&amp;A cash-flow add-back include discontinued operations.</x:v>
      </x:c>
      <x:c r="E72" s="3"/>
      <x:c r="F72" s="3"/>
      <x:c r="G72" s="3"/>
      <x:c r="H72" s="3"/>
      <x:c r="I72" s="3"/>
      <x:c r="J72" s="3"/>
      <x:c r="K72" s="3"/>
      <x:c r="L72" s="3"/>
      <x:c r="M72" s="3"/>
      <x:c r="N72" s="2"/>
      <x:c r="O72" s="16" t="str">
        <x:v>Copper business disposed in FY22. PAT contribution 720.53 retained separately. Historical CFO and D&amp;A cash-flow add-back include discontinued operations.</x:v>
      </x:c>
    </x:row>
    <x:row r="73" ht="44" customHeight="1">
      <x:c r="A73" s="2"/>
      <x:c r="B73" s="2"/>
      <x:c r="C73" s="2" t="str">
        <x:v>Working-capital days conflict</x:v>
      </x:c>
      <x:c r="D73" s="3" t="str">
        <x:v>AR26 p520 FY25 closing DSO/DIO/DPO/CCC = 42/79/72/49. P26 p28 shows FY25 41/101/94/48. Workbook retains AR26 series and separately calculates consistent model days.</x:v>
      </x:c>
      <x:c r="E73" s="3"/>
      <x:c r="F73" s="3"/>
      <x:c r="G73" s="3"/>
      <x:c r="H73" s="3"/>
      <x:c r="I73" s="3"/>
      <x:c r="J73" s="3"/>
      <x:c r="K73" s="3"/>
      <x:c r="L73" s="3"/>
      <x:c r="M73" s="3"/>
      <x:c r="N73" s="2"/>
      <x:c r="O73" s="16" t="str">
        <x:v>AR26 p520 FY25 closing DSO/DIO/DPO/CCC = 42/79/72/49. P26 p28 shows FY25 41/101/94/48. Workbook retains AR26 series and separately calculates consistent model days.</x:v>
      </x:c>
    </x:row>
    <x:row r="74" ht="32" customHeight="1">
      <x:c r="A74" s="2"/>
      <x:c r="B74" s="2"/>
      <x:c r="C74" s="2" t="str">
        <x:v>FY26 company average days</x:v>
      </x:c>
      <x:c r="D74" s="3" t="str">
        <x:v>P26 p28 FY26 average DSO/DIO/DPO/CCC = 40/78/93/25. These are not the workbook simple two-point average ratios.</x:v>
      </x:c>
      <x:c r="E74" s="3"/>
      <x:c r="F74" s="3"/>
      <x:c r="G74" s="3"/>
      <x:c r="H74" s="3"/>
      <x:c r="I74" s="3"/>
      <x:c r="J74" s="3"/>
      <x:c r="K74" s="3"/>
      <x:c r="L74" s="3"/>
      <x:c r="M74" s="3"/>
      <x:c r="N74" s="2"/>
      <x:c r="O74" s="16" t="str">
        <x:v>P26 p28 FY26 average DSO/DIO/DPO/CCC = 40/78/93/25. These are not the workbook simple two-point average ratios.</x:v>
      </x:c>
    </x:row>
    <x:row r="75" ht="44" customHeight="1">
      <x:c r="A75" s="2"/>
      <x:c r="B75" s="2"/>
      <x:c r="C75" s="2" t="str">
        <x:v>Capex definitions</x:v>
      </x:c>
      <x:c r="D75" s="3" t="str">
        <x:v>Reported capex is net of disposals. Gross cash capex includes PPE/CWIP, intangibles and separately disclosed investment property. Non-cash grants and ROU additions do not equal cash capex.</x:v>
      </x:c>
      <x:c r="E75" s="3"/>
      <x:c r="F75" s="3"/>
      <x:c r="G75" s="3"/>
      <x:c r="H75" s="3"/>
      <x:c r="I75" s="3"/>
      <x:c r="J75" s="3"/>
      <x:c r="K75" s="3"/>
      <x:c r="L75" s="3"/>
      <x:c r="M75" s="3"/>
      <x:c r="N75" s="2"/>
      <x:c r="O75" s="16" t="str">
        <x:v>Reported capex is net of disposals. Gross cash capex includes PPE/CWIP, intangibles and separately disclosed investment property. Non-cash grants and ROU additions do not equal cash capex.</x:v>
      </x:c>
    </x:row>
    <x:row r="76" ht="44" customHeight="1">
      <x:c r="A76" s="2"/>
      <x:c r="B76" s="2"/>
      <x:c r="C76" s="2" t="str">
        <x:v>Forecast domestic W&amp;C proxy</x:v>
      </x:c>
      <x:c r="D76" s="3" t="str">
        <x:v>W&amp;C external segment income minus group exports. Separate audited domestic/export W&amp;C margins and allocations are not disclosed here. Requires analyst validation before forecasting.</x:v>
      </x:c>
      <x:c r="E76" s="3"/>
      <x:c r="F76" s="3"/>
      <x:c r="G76" s="3"/>
      <x:c r="H76" s="3"/>
      <x:c r="I76" s="3"/>
      <x:c r="J76" s="3"/>
      <x:c r="K76" s="3"/>
      <x:c r="L76" s="3"/>
      <x:c r="M76" s="3"/>
      <x:c r="N76" s="2"/>
      <x:c r="O76" s="16" t="str">
        <x:v>W&amp;C external segment income minus group exports. Separate audited domestic/export W&amp;C margins and allocations are not disclosed here. Requires analyst validation before forecasting.</x:v>
      </x:c>
    </x:row>
    <x:row r="77" ht="44" customHeight="1">
      <x:c r="A77" s="2"/>
      <x:c r="B77" s="2"/>
      <x:c r="C77" s="2" t="str">
        <x:v>Supplier acceptances</x:v>
      </x:c>
      <x:c r="D77" s="3" t="str">
        <x:v>FY22 acceptances separated using AR23 note20; FY23 onward uses balance-sheet disclosure. They are operating liabilities in company accounts but interest-bearing; DCF treatment requires explicit review.</x:v>
      </x:c>
      <x:c r="E77" s="3"/>
      <x:c r="F77" s="3"/>
      <x:c r="G77" s="3"/>
      <x:c r="H77" s="3"/>
      <x:c r="I77" s="3"/>
      <x:c r="J77" s="3"/>
      <x:c r="K77" s="3"/>
      <x:c r="L77" s="3"/>
      <x:c r="M77" s="3"/>
      <x:c r="N77" s="2"/>
      <x:c r="O77" s="16" t="str">
        <x:v>FY22 acceptances separated using AR23 note20; FY23 onward uses balance-sheet disclosure. They are operating liabilities in company accounts but interest-bearing; DCF treatment requires explicit review.</x:v>
      </x:c>
    </x:row>
    <x:row r="78" ht="44" customHeight="1">
      <x:c r="A78" s="2"/>
      <x:c r="B78" s="2"/>
      <x:c r="C78" s="2" t="str">
        <x:v>Historical net cash</x:v>
      </x:c>
      <x:c r="D78" s="3" t="str">
        <x:v>Reported net cash can include non-current deposits and historic borrowing classification. FY23 original debt 1,551.43 differs from restated borrowings 730.18. Liquidity proxy is labelled separately.</x:v>
      </x:c>
      <x:c r="E78" s="3"/>
      <x:c r="F78" s="3"/>
      <x:c r="G78" s="3"/>
      <x:c r="H78" s="3"/>
      <x:c r="I78" s="3"/>
      <x:c r="J78" s="3"/>
      <x:c r="K78" s="3"/>
      <x:c r="L78" s="3"/>
      <x:c r="M78" s="3"/>
      <x:c r="N78" s="2"/>
      <x:c r="O78" s="16" t="str">
        <x:v>Reported net cash can include non-current deposits and historic borrowing classification. FY23 original debt 1,551.43 differs from restated borrowings 730.18. Liquidity proxy is labelled separately.</x:v>
      </x:c>
    </x:row>
    <x:row r="79" ht="44" customHeight="1">
      <x:c r="A79" s="2"/>
      <x:c r="B79" s="2"/>
      <x:c r="C79" s="2" t="str">
        <x:v>Unavailable operating detail</x:v>
      </x:c>
      <x:c r="D79" s="3" t="str">
        <x:v>n.a. means a comparable quantified annual observation was not verified. No interpolation of volumes, capacity utilisation or commodity averages. Lower-bound network counts preserve company qualifiers.</x:v>
      </x:c>
      <x:c r="E79" s="3"/>
      <x:c r="F79" s="3"/>
      <x:c r="G79" s="3"/>
      <x:c r="H79" s="3"/>
      <x:c r="I79" s="3"/>
      <x:c r="J79" s="3"/>
      <x:c r="K79" s="3"/>
      <x:c r="L79" s="3"/>
      <x:c r="M79" s="3"/>
      <x:c r="N79" s="2"/>
      <x:c r="O79" s="16" t="str">
        <x:v>n.a. means a comparable quantified annual observation was not verified. No interpolation of volumes, capacity utilisation or commodity averages. Lower-bound network counts preserve company qualifiers.</x:v>
      </x:c>
    </x:row>
    <x:row r="80" ht="44" customHeight="1">
      <x:c r="A80" s="2"/>
      <x:c r="B80" s="2"/>
      <x:c r="C80" s="2" t="str">
        <x:v>Forecast state</x:v>
      </x:c>
      <x:c r="D80" s="3" t="str">
        <x:v>All Base/Bull/Bear economic assumptions are blank. Amber inputs must be populated with evidence, including explicit zeros. 3-statement balance-sheet check must reconcile before valuation use.</x:v>
      </x:c>
      <x:c r="E80" s="3"/>
      <x:c r="F80" s="3"/>
      <x:c r="G80" s="3"/>
      <x:c r="H80" s="3"/>
      <x:c r="I80" s="3"/>
      <x:c r="J80" s="3"/>
      <x:c r="K80" s="3"/>
      <x:c r="L80" s="3"/>
      <x:c r="M80" s="3"/>
      <x:c r="N80" s="2"/>
      <x:c r="O80" s="16" t="str">
        <x:v>All Base/Bull/Bear economic assumptions are blank. Amber inputs must be populated with evidence, including explicit zeros. 3-statement balance-sheet check must reconcile before valuation use.</x:v>
      </x:c>
    </x:row>
    <x:row r="81" ht="44" customHeight="1">
      <x:c r="A81" s="2"/>
      <x:c r="B81" s="2"/>
      <x:c r="C81" s="2" t="str">
        <x:v>Units and signs</x:v>
      </x:c>
      <x:c r="D81" s="3" t="str">
        <x:v>INR million throughout, except marked shares, days, ratios and USD/MT. Historical expenses generally positive; cash inflows positive and outflows negative. Display rounding does not change source precision.</x:v>
      </x:c>
      <x:c r="E81" s="3"/>
      <x:c r="F81" s="3"/>
      <x:c r="G81" s="3"/>
      <x:c r="H81" s="3"/>
      <x:c r="I81" s="3"/>
      <x:c r="J81" s="3"/>
      <x:c r="K81" s="3"/>
      <x:c r="L81" s="3"/>
      <x:c r="M81" s="3"/>
      <x:c r="N81" s="2"/>
      <x:c r="O81" s="16" t="str">
        <x:v>INR million throughout, except marked shares, days, ratios and USD/MT. Historical expenses generally positive; cash inflows positive and outflows negative. Display rounding does not change source precision.</x:v>
      </x:c>
    </x:row>
    <x:row r="82" ht="20" customHeight="1">
      <x:c r="A82" s="2"/>
      <x:c r="B82" s="2"/>
      <x:c r="C82" s="2"/>
      <x:c r="D82" s="3"/>
      <x:c r="E82" s="3"/>
      <x:c r="F82" s="3"/>
      <x:c r="G82" s="3"/>
      <x:c r="H82" s="3"/>
      <x:c r="I82" s="3"/>
      <x:c r="J82" s="3"/>
      <x:c r="K82" s="3"/>
      <x:c r="L82" s="3"/>
      <x:c r="M82" s="3"/>
      <x:c r="N82" s="2"/>
      <x:c r="O82" s="2"/>
    </x:row>
    <x:row r="83" ht="20" customHeight="1">
      <x:c r="A83" s="2"/>
      <x:c r="B83" s="2"/>
      <x:c r="C83" s="2"/>
      <x:c r="D83" s="3"/>
      <x:c r="E83" s="3"/>
      <x:c r="F83" s="3"/>
      <x:c r="G83" s="3"/>
      <x:c r="H83" s="3"/>
      <x:c r="I83" s="3"/>
      <x:c r="J83" s="3"/>
      <x:c r="K83" s="3"/>
      <x:c r="L83" s="3"/>
      <x:c r="M83" s="3"/>
      <x:c r="N83" s="2"/>
      <x:c r="O83" s="2"/>
    </x:row>
    <x:row r="84" ht="20" customHeight="1">
      <x:c r="A84" s="2"/>
      <x:c r="B84" s="2"/>
      <x:c r="C84" s="2"/>
      <x:c r="D84" s="3"/>
      <x:c r="E84" s="3"/>
      <x:c r="F84" s="3"/>
      <x:c r="G84" s="3"/>
      <x:c r="H84" s="3"/>
      <x:c r="I84" s="3"/>
      <x:c r="J84" s="3"/>
      <x:c r="K84" s="3"/>
      <x:c r="L84" s="3"/>
      <x:c r="M84" s="3"/>
      <x:c r="N84" s="2"/>
      <x:c r="O84" s="2"/>
    </x:row>
    <x:row r="85" ht="20" customHeight="1">
      <x:c r="A85" s="2"/>
      <x:c r="B85" s="2"/>
      <x:c r="C85" s="2"/>
      <x:c r="D85" s="3"/>
      <x:c r="E85" s="3"/>
      <x:c r="F85" s="3"/>
      <x:c r="G85" s="3"/>
      <x:c r="H85" s="3"/>
      <x:c r="I85" s="3"/>
      <x:c r="J85" s="3"/>
      <x:c r="K85" s="3"/>
      <x:c r="L85" s="3"/>
      <x:c r="M85" s="3"/>
      <x:c r="N85" s="2"/>
      <x:c r="O85" s="2"/>
    </x:row>
    <x:row r="86" ht="24" customHeight="1">
      <x:c r="A86" s="2"/>
      <x:c r="B86" s="2"/>
      <x:c r="C86" s="11" t="str">
        <x:v>Additional evidence reviewed</x:v>
      </x:c>
      <x:c r="D86" s="19"/>
      <x:c r="E86" s="19"/>
      <x:c r="F86" s="19"/>
      <x:c r="G86" s="19"/>
      <x:c r="H86" s="19"/>
      <x:c r="I86" s="19"/>
      <x:c r="J86" s="19"/>
      <x:c r="K86" s="19"/>
      <x:c r="L86" s="19"/>
      <x:c r="M86" s="19"/>
      <x:c r="N86" s="2"/>
      <x:c r="O86" s="2"/>
    </x:row>
    <x:row r="87" ht="20" customHeight="1">
      <x:c r="A87" s="2"/>
      <x:c r="B87" s="2"/>
      <x:c r="C87" s="2"/>
      <x:c r="D87" s="3"/>
      <x:c r="E87" s="3"/>
      <x:c r="F87" s="3"/>
      <x:c r="G87" s="3"/>
      <x:c r="H87" s="3"/>
      <x:c r="I87" s="3"/>
      <x:c r="J87" s="3"/>
      <x:c r="K87" s="3"/>
      <x:c r="L87" s="3"/>
      <x:c r="M87" s="3"/>
      <x:c r="N87" s="2"/>
      <x:c r="O87" s="2"/>
    </x:row>
    <x:row r="88" ht="32" customHeight="1">
      <x:c r="A88" s="2"/>
      <x:c r="B88" s="2"/>
      <x:c r="C88" s="2" t="str">
        <x:v>S06</x:v>
      </x:c>
      <x:c r="D88" s="3" t="str">
        <x:v>Polycab Q4FY26 call, 6 May 2026</x:v>
      </x:c>
      <x:c r="E88" s="3"/>
      <x:c r="F88" s="3"/>
      <x:c r="G88" s="3"/>
      <x:c r="H88" s="3"/>
      <x:c r="I88" s="3"/>
      <x:c r="J88" s="3"/>
      <x:c r="K88" s="3"/>
      <x:c r="L88" s="3"/>
      <x:c r="M88" s="3"/>
      <x:c r="N88" s="2"/>
      <x:c r="O88" s="16" t="str">
        <x:v>https://nsearchives.nseindia.com/corporate/POLYCAB_08052026185934_Intimation_of_Earnings_Call_Transcript.pdf</x:v>
      </x:c>
    </x:row>
    <x:row r="89" ht="20" customHeight="1">
      <x:c r="A89" s="2"/>
      <x:c r="B89" s="2"/>
      <x:c r="C89" s="2"/>
      <x:c r="D89" s="3" t="str">
        <x:v>pp4, 7–8, 10–12, 14: WC 45–50 days; Spring targets and growth basis.</x:v>
      </x:c>
      <x:c r="E89" s="3"/>
      <x:c r="F89" s="3"/>
      <x:c r="G89" s="3"/>
      <x:c r="H89" s="3"/>
      <x:c r="I89" s="3"/>
      <x:c r="J89" s="3"/>
      <x:c r="K89" s="3"/>
      <x:c r="L89" s="3"/>
      <x:c r="M89" s="3"/>
      <x:c r="N89" s="2"/>
      <x:c r="O89" s="2"/>
    </x:row>
    <x:row r="90" ht="20" customHeight="1">
      <x:c r="A90" s="2"/>
      <x:c r="B90" s="2"/>
      <x:c r="C90" s="2"/>
      <x:c r="D90" s="3"/>
      <x:c r="E90" s="3"/>
      <x:c r="F90" s="3"/>
      <x:c r="G90" s="3"/>
      <x:c r="H90" s="3"/>
      <x:c r="I90" s="3"/>
      <x:c r="J90" s="3"/>
      <x:c r="K90" s="3"/>
      <x:c r="L90" s="3"/>
      <x:c r="M90" s="3"/>
      <x:c r="N90" s="2"/>
      <x:c r="O90" s="2"/>
    </x:row>
    <x:row r="91" ht="20" customHeight="1">
      <x:c r="A91" s="2"/>
      <x:c r="B91" s="2"/>
      <x:c r="C91" s="2"/>
      <x:c r="D91" s="3"/>
      <x:c r="E91" s="3"/>
      <x:c r="F91" s="3"/>
      <x:c r="G91" s="3"/>
      <x:c r="H91" s="3"/>
      <x:c r="I91" s="3"/>
      <x:c r="J91" s="3"/>
      <x:c r="K91" s="3"/>
      <x:c r="L91" s="3"/>
      <x:c r="M91" s="3"/>
      <x:c r="N91" s="2"/>
      <x:c r="O91" s="2"/>
    </x:row>
    <x:row r="92" ht="44" customHeight="1">
      <x:c r="A92" s="2"/>
      <x:c r="B92" s="2"/>
      <x:c r="C92" s="2" t="str">
        <x:v>S07</x:v>
      </x:c>
      <x:c r="D92" s="3" t="str">
        <x:v>CRISIL sector outlook, May 2025</x:v>
      </x:c>
      <x:c r="E92" s="3"/>
      <x:c r="F92" s="3"/>
      <x:c r="G92" s="3"/>
      <x:c r="H92" s="3"/>
      <x:c r="I92" s="3"/>
      <x:c r="J92" s="3"/>
      <x:c r="K92" s="3"/>
      <x:c r="L92" s="3"/>
      <x:c r="M92" s="3"/>
      <x:c r="N92" s="2"/>
      <x:c r="O92" s="16" t="str">
        <x:v>https://www.crisilratings.com/en/home/our-business/ratings/newsletters/2025/may/other-sectors/revenue-of-cables-and-wires-makers-to-rise-15-16percent-in-fiscal-2026.html</x:v>
      </x:c>
    </x:row>
    <x:row r="93" ht="20" customHeight="1">
      <x:c r="A93" s="2"/>
      <x:c r="B93" s="2"/>
      <x:c r="C93" s="2"/>
      <x:c r="D93" s="3" t="str">
        <x:v>FY26 sector revenue 15–16%, exports 20–22%; competition/capacity risks. Historical outlook, not FY27 guidance.</x:v>
      </x:c>
      <x:c r="E93" s="3"/>
      <x:c r="F93" s="3"/>
      <x:c r="G93" s="3"/>
      <x:c r="H93" s="3"/>
      <x:c r="I93" s="3"/>
      <x:c r="J93" s="3"/>
      <x:c r="K93" s="3"/>
      <x:c r="L93" s="3"/>
      <x:c r="M93" s="3"/>
      <x:c r="N93" s="2"/>
      <x:c r="O93" s="2"/>
    </x:row>
    <x:row r="94" ht="20" customHeight="1">
      <x:c r="A94" s="2"/>
      <x:c r="B94" s="2"/>
      <x:c r="C94" s="2"/>
      <x:c r="D94" s="3"/>
      <x:c r="E94" s="3"/>
      <x:c r="F94" s="3"/>
      <x:c r="G94" s="3"/>
      <x:c r="H94" s="3"/>
      <x:c r="I94" s="3"/>
      <x:c r="J94" s="3"/>
      <x:c r="K94" s="3"/>
      <x:c r="L94" s="3"/>
      <x:c r="M94" s="3"/>
      <x:c r="N94" s="2"/>
      <x:c r="O94" s="2"/>
    </x:row>
    <x:row r="95" ht="20" customHeight="1">
      <x:c r="A95" s="2"/>
      <x:c r="B95" s="2"/>
      <x:c r="C95" s="2"/>
      <x:c r="D95" s="3"/>
      <x:c r="E95" s="3"/>
      <x:c r="F95" s="3"/>
      <x:c r="G95" s="3"/>
      <x:c r="H95" s="3"/>
      <x:c r="I95" s="3"/>
      <x:c r="J95" s="3"/>
      <x:c r="K95" s="3"/>
      <x:c r="L95" s="3"/>
      <x:c r="M95" s="3"/>
      <x:c r="N95" s="2"/>
      <x:c r="O95" s="2"/>
    </x:row>
    <x:row r="96" ht="22" customHeight="1">
      <x:c r="A96" s="2"/>
      <x:c r="B96" s="2"/>
      <x:c r="C96" s="2" t="str">
        <x:v>S08</x:v>
      </x:c>
      <x:c r="D96" s="3" t="str">
        <x:v>Polycab Q1FY27 presentation, 16 July 2026</x:v>
      </x:c>
      <x:c r="E96" s="3"/>
      <x:c r="F96" s="3"/>
      <x:c r="G96" s="3"/>
      <x:c r="H96" s="3"/>
      <x:c r="I96" s="3"/>
      <x:c r="J96" s="3"/>
      <x:c r="K96" s="3"/>
      <x:c r="L96" s="3"/>
      <x:c r="M96" s="3"/>
      <x:c r="N96" s="2"/>
      <x:c r="O96" s="16" t="str">
        <x:v>https://cms.polycab.com/media/splp1iy2/q1fy27-earnings-presentation.pdf</x:v>
      </x:c>
    </x:row>
    <x:row r="97" ht="20" customHeight="1">
      <x:c r="A97" s="2"/>
      <x:c r="B97" s="2"/>
      <x:c r="C97" s="2"/>
      <x:c r="D97" s="3" t="str">
        <x:v>pp4,6,8,10,14,16: quarterly growth, margins and export data.</x:v>
      </x:c>
      <x:c r="E97" s="3"/>
      <x:c r="F97" s="3"/>
      <x:c r="G97" s="3"/>
      <x:c r="H97" s="3"/>
      <x:c r="I97" s="3"/>
      <x:c r="J97" s="3"/>
      <x:c r="K97" s="3"/>
      <x:c r="L97" s="3"/>
      <x:c r="M97" s="3"/>
      <x:c r="N97" s="2"/>
      <x:c r="O97" s="2"/>
    </x:row>
    <x:row r="98" ht="20" customHeight="1">
      <x:c r="A98" s="2"/>
      <x:c r="B98" s="2"/>
      <x:c r="C98" s="2"/>
      <x:c r="D98" s="3"/>
      <x:c r="E98" s="3"/>
      <x:c r="F98" s="3"/>
      <x:c r="G98" s="3"/>
      <x:c r="H98" s="3"/>
      <x:c r="I98" s="3"/>
      <x:c r="J98" s="3"/>
      <x:c r="K98" s="3"/>
      <x:c r="L98" s="3"/>
      <x:c r="M98" s="3"/>
      <x:c r="N98" s="2"/>
      <x:c r="O98" s="2"/>
    </x:row>
    <x:row r="99" ht="20" customHeight="1">
      <x:c r="A99" s="2"/>
      <x:c r="B99" s="2"/>
      <x:c r="C99" s="2"/>
      <x:c r="D99" s="3"/>
      <x:c r="E99" s="3"/>
      <x:c r="F99" s="3"/>
      <x:c r="G99" s="3"/>
      <x:c r="H99" s="3"/>
      <x:c r="I99" s="3"/>
      <x:c r="J99" s="3"/>
      <x:c r="K99" s="3"/>
      <x:c r="L99" s="3"/>
      <x:c r="M99" s="3"/>
      <x:c r="N99" s="2"/>
      <x:c r="O99" s="2"/>
    </x:row>
    <x:row r="100" ht="22" customHeight="1">
      <x:c r="A100" s="2"/>
      <x:c r="B100" s="2"/>
      <x:c r="C100" s="2" t="str">
        <x:v>S09</x:v>
      </x:c>
      <x:c r="D100" s="3" t="str">
        <x:v>Polycab Q1FY27 call, 16 July 2026</x:v>
      </x:c>
      <x:c r="E100" s="3"/>
      <x:c r="F100" s="3"/>
      <x:c r="G100" s="3"/>
      <x:c r="H100" s="3"/>
      <x:c r="I100" s="3"/>
      <x:c r="J100" s="3"/>
      <x:c r="K100" s="3"/>
      <x:c r="L100" s="3"/>
      <x:c r="M100" s="3"/>
      <x:c r="N100" s="2"/>
      <x:c r="O100" s="16" t="str">
        <x:v>https://cms.polycab.com/media/1gmeqmrs/q1fy27-earnings-call-transcript-1.pdf</x:v>
      </x:c>
    </x:row>
    <x:row r="101" ht="20" customHeight="1">
      <x:c r="A101" s="2"/>
      <x:c r="B101" s="2"/>
      <x:c r="C101" s="2"/>
      <x:c r="D101" s="3" t="str">
        <x:v>pp3–7,11,17: 1.5x growth is volume plus value; temporary supplier funding.</x:v>
      </x:c>
      <x:c r="E101" s="3"/>
      <x:c r="F101" s="3"/>
      <x:c r="G101" s="3"/>
      <x:c r="H101" s="3"/>
      <x:c r="I101" s="3"/>
      <x:c r="J101" s="3"/>
      <x:c r="K101" s="3"/>
      <x:c r="L101" s="3"/>
      <x:c r="M101" s="3"/>
      <x:c r="N101" s="2"/>
      <x:c r="O101" s="2"/>
    </x:row>
    <x:row r="102" ht="20" customHeight="1">
      <x:c r="A102" s="2"/>
      <x:c r="B102" s="2"/>
      <x:c r="C102" s="2"/>
      <x:c r="D102" s="3"/>
      <x:c r="E102" s="3"/>
      <x:c r="F102" s="3"/>
      <x:c r="G102" s="3"/>
      <x:c r="H102" s="3"/>
      <x:c r="I102" s="3"/>
      <x:c r="J102" s="3"/>
      <x:c r="K102" s="3"/>
      <x:c r="L102" s="3"/>
      <x:c r="M102" s="3"/>
      <x:c r="N102" s="2"/>
      <x:c r="O102" s="2"/>
    </x:row>
    <x:row r="103" ht="20" customHeight="1">
      <x:c r="A103" s="2"/>
      <x:c r="B103" s="2"/>
      <x:c r="C103" s="2"/>
      <x:c r="D103" s="3"/>
      <x:c r="E103" s="3"/>
      <x:c r="F103" s="3"/>
      <x:c r="G103" s="3"/>
      <x:c r="H103" s="3"/>
      <x:c r="I103" s="3"/>
      <x:c r="J103" s="3"/>
      <x:c r="K103" s="3"/>
      <x:c r="L103" s="3"/>
      <x:c r="M103" s="3"/>
      <x:c r="N103" s="2"/>
      <x:c r="O103" s="2"/>
    </x:row>
    <x:row r="104" ht="22" customHeight="1">
      <x:c r="A104" s="2"/>
      <x:c r="B104" s="2"/>
      <x:c r="C104" s="2" t="str">
        <x:v>S10</x:v>
      </x:c>
      <x:c r="D104" s="3" t="str">
        <x:v>KEI Q4FY26 presentation, May 2026</x:v>
      </x:c>
      <x:c r="E104" s="3"/>
      <x:c r="F104" s="3"/>
      <x:c r="G104" s="3"/>
      <x:c r="H104" s="3"/>
      <x:c r="I104" s="3"/>
      <x:c r="J104" s="3"/>
      <x:c r="K104" s="3"/>
      <x:c r="L104" s="3"/>
      <x:c r="M104" s="3"/>
      <x:c r="N104" s="2"/>
      <x:c r="O104" s="16" t="str">
        <x:v>https://www.kei-ind.com/wp-content/uploads/2026/05/earning-presentation-q4.pdf</x:v>
      </x:c>
    </x:row>
    <x:row r="105" ht="20" customHeight="1">
      <x:c r="A105" s="2"/>
      <x:c r="B105" s="2"/>
      <x:c r="C105" s="2"/>
      <x:c r="D105" s="3" t="str">
        <x:v>p3: FY26 revenue +20.66%, EBITDA 11.81%. Peer operating context; not like-for-like segment margin.</x:v>
      </x:c>
      <x:c r="E105" s="3"/>
      <x:c r="F105" s="3"/>
      <x:c r="G105" s="3"/>
      <x:c r="H105" s="3"/>
      <x:c r="I105" s="3"/>
      <x:c r="J105" s="3"/>
      <x:c r="K105" s="3"/>
      <x:c r="L105" s="3"/>
      <x:c r="M105" s="3"/>
      <x:c r="N105" s="2"/>
      <x:c r="O105" s="2"/>
    </x:row>
    <x:row r="106" ht="20" customHeight="1">
      <x:c r="A106" s="2"/>
      <x:c r="B106" s="2"/>
      <x:c r="C106" s="2"/>
      <x:c r="D106" s="3"/>
      <x:c r="E106" s="3"/>
      <x:c r="F106" s="3"/>
      <x:c r="G106" s="3"/>
      <x:c r="H106" s="3"/>
      <x:c r="I106" s="3"/>
      <x:c r="J106" s="3"/>
      <x:c r="K106" s="3"/>
      <x:c r="L106" s="3"/>
      <x:c r="M106" s="3"/>
      <x:c r="N106" s="2"/>
      <x:c r="O106" s="2"/>
    </x:row>
    <x:row r="107" ht="20" customHeight="1">
      <x:c r="A107" s="2"/>
      <x:c r="B107" s="2"/>
      <x:c r="C107" s="2"/>
      <x:c r="D107" s="3"/>
      <x:c r="E107" s="3"/>
      <x:c r="F107" s="3"/>
      <x:c r="G107" s="3"/>
      <x:c r="H107" s="3"/>
      <x:c r="I107" s="3"/>
      <x:c r="J107" s="3"/>
      <x:c r="K107" s="3"/>
      <x:c r="L107" s="3"/>
      <x:c r="M107" s="3"/>
      <x:c r="N107" s="2"/>
      <x:c r="O107" s="2"/>
    </x:row>
    <x:row r="108" ht="24" customHeight="1">
      <x:c r="A108" s="2"/>
      <x:c r="B108" s="2"/>
      <x:c r="C108" s="11" t="str">
        <x:v>Quarterly source observations used to challenge FY27 estimates</x:v>
      </x:c>
      <x:c r="D108" s="19"/>
      <x:c r="E108" s="19"/>
      <x:c r="F108" s="19"/>
      <x:c r="G108" s="19"/>
      <x:c r="H108" s="19"/>
      <x:c r="I108" s="19"/>
      <x:c r="J108" s="19"/>
      <x:c r="K108" s="19"/>
      <x:c r="L108" s="19"/>
      <x:c r="M108" s="19"/>
      <x:c r="N108" s="2"/>
      <x:c r="O108" s="2"/>
    </x:row>
    <x:row r="109" ht="20" customHeight="1">
      <x:c r="A109" s="2"/>
      <x:c r="B109" s="2"/>
      <x:c r="C109" s="2"/>
      <x:c r="D109" s="3"/>
      <x:c r="E109" s="3"/>
      <x:c r="F109" s="3"/>
      <x:c r="G109" s="3"/>
      <x:c r="H109" s="3"/>
      <x:c r="I109" s="3"/>
      <x:c r="J109" s="3"/>
      <x:c r="K109" s="3"/>
      <x:c r="L109" s="3"/>
      <x:c r="M109" s="3"/>
      <x:c r="N109" s="2"/>
      <x:c r="O109" s="2"/>
    </x:row>
    <x:row r="110" ht="20" customHeight="1">
      <x:c r="A110" s="2"/>
      <x:c r="B110" s="2"/>
      <x:c r="C110" s="2"/>
      <x:c r="D110" s="3" t="str">
        <x:v>Q1FY26A</x:v>
      </x:c>
      <x:c r="E110" s="3" t="str">
        <x:v>Q1FY27A</x:v>
      </x:c>
      <x:c r="F110" s="3"/>
      <x:c r="G110" s="3"/>
      <x:c r="H110" s="3"/>
      <x:c r="I110" s="3"/>
      <x:c r="J110" s="3"/>
      <x:c r="K110" s="3"/>
      <x:c r="L110" s="3"/>
      <x:c r="M110" s="3"/>
      <x:c r="N110" s="2"/>
      <x:c r="O110" s="2"/>
    </x:row>
    <x:row r="111" ht="22" customHeight="1">
      <x:c r="A111" s="2"/>
      <x:c r="B111" s="2"/>
      <x:c r="C111" s="2" t="str">
        <x:v>Group revenue</x:v>
      </x:c>
      <x:c r="D111" s="17" t="n">
        <x:v>59060</x:v>
      </x:c>
      <x:c r="E111" s="17" t="n">
        <x:v>82097</x:v>
      </x:c>
      <x:c r="F111" s="3"/>
      <x:c r="G111" s="3"/>
      <x:c r="H111" s="3"/>
      <x:c r="I111" s="3"/>
      <x:c r="J111" s="3"/>
      <x:c r="K111" s="3"/>
      <x:c r="L111" s="3"/>
      <x:c r="M111" s="3"/>
      <x:c r="N111" s="2"/>
      <x:c r="O111" s="16" t="str">
        <x:v>S08: company presentation, rounded INR million. Annual input values retain audited precision.</x:v>
      </x:c>
    </x:row>
    <x:row r="112" ht="22" customHeight="1">
      <x:c r="A112" s="2"/>
      <x:c r="B112" s="2"/>
      <x:c r="C112" s="2" t="str">
        <x:v>FMEG income</x:v>
      </x:c>
      <x:c r="D112" s="17" t="n">
        <x:v>4459</x:v>
      </x:c>
      <x:c r="E112" s="17" t="n">
        <x:v>7612</x:v>
      </x:c>
      <x:c r="F112" s="3"/>
      <x:c r="G112" s="3"/>
      <x:c r="H112" s="3"/>
      <x:c r="I112" s="3"/>
      <x:c r="J112" s="3"/>
      <x:c r="K112" s="3"/>
      <x:c r="L112" s="3"/>
      <x:c r="M112" s="3"/>
      <x:c r="N112" s="2"/>
      <x:c r="O112" s="16" t="str">
        <x:v>S08: company presentation, rounded INR million. Annual input values retain audited precision.</x:v>
      </x:c>
    </x:row>
    <x:row r="113" ht="22" customHeight="1">
      <x:c r="A113" s="2"/>
      <x:c r="B113" s="2"/>
      <x:c r="C113" s="2" t="str">
        <x:v>Exports</x:v>
      </x:c>
      <x:c r="D113" s="17" t="n">
        <x:v>3061</x:v>
      </x:c>
      <x:c r="E113" s="17" t="n">
        <x:v>2671</x:v>
      </x:c>
      <x:c r="F113" s="3"/>
      <x:c r="G113" s="3"/>
      <x:c r="H113" s="3"/>
      <x:c r="I113" s="3"/>
      <x:c r="J113" s="3"/>
      <x:c r="K113" s="3"/>
      <x:c r="L113" s="3"/>
      <x:c r="M113" s="3"/>
      <x:c r="N113" s="2"/>
      <x:c r="O113" s="16" t="str">
        <x:v>S08: company presentation, rounded INR million. Annual input values retain audited precision.</x:v>
      </x:c>
    </x:row>
    <x:row r="114" ht="22" customHeight="1">
      <x:c r="A114" s="2"/>
      <x:c r="B114" s="2"/>
      <x:c r="C114" s="2" t="str">
        <x:v>FMEG EBIT</x:v>
      </x:c>
      <x:c r="D114" s="17" t="n">
        <x:v>96</x:v>
      </x:c>
      <x:c r="E114" s="17" t="n">
        <x:v>606</x:v>
      </x:c>
      <x:c r="F114" s="3"/>
      <x:c r="G114" s="3"/>
      <x:c r="H114" s="3"/>
      <x:c r="I114" s="3"/>
      <x:c r="J114" s="3"/>
      <x:c r="K114" s="3"/>
      <x:c r="L114" s="3"/>
      <x:c r="M114" s="3"/>
      <x:c r="N114" s="2"/>
      <x:c r="O114" s="16" t="str">
        <x:v>S08: company presentation, rounded INR million. Annual input values retain audited precision.</x:v>
      </x:c>
    </x:row>
    <x:row r="115" ht="22" customHeight="1">
      <x:c r="A115" s="2"/>
      <x:c r="B115" s="2"/>
      <x:c r="C115" s="2" t="str">
        <x:v>Group EBITDA</x:v>
      </x:c>
      <x:c r="D115" s="17" t="n">
        <x:v>8576</x:v>
      </x:c>
      <x:c r="E115" s="17" t="n">
        <x:v>11362</x:v>
      </x:c>
      <x:c r="F115" s="3"/>
      <x:c r="G115" s="3"/>
      <x:c r="H115" s="3"/>
      <x:c r="I115" s="3"/>
      <x:c r="J115" s="3"/>
      <x:c r="K115" s="3"/>
      <x:c r="L115" s="3"/>
      <x:c r="M115" s="3"/>
      <x:c r="N115" s="2"/>
      <x:c r="O115" s="16" t="str">
        <x:v>S08: company presentation, rounded INR million. Annual input values retain audited precision.</x:v>
      </x:c>
    </x:row>
    <x:row r="116" ht="20" customHeight="1">
      <x:c r="A116" s="2"/>
      <x:c r="B116" s="2"/>
      <x:c r="C116" s="2"/>
      <x:c r="D116" s="3"/>
      <x:c r="E116" s="3"/>
      <x:c r="F116" s="3"/>
      <x:c r="G116" s="3"/>
      <x:c r="H116" s="3"/>
      <x:c r="I116" s="3"/>
      <x:c r="J116" s="3"/>
      <x:c r="K116" s="3"/>
      <x:c r="L116" s="3"/>
      <x:c r="M116" s="3"/>
      <x:c r="N116" s="2"/>
      <x:c r="O116" s="2"/>
    </x:row>
    <x:row r="117" ht="20" customHeight="1">
      <x:c r="A117" s="2"/>
      <x:c r="B117" s="2"/>
      <x:c r="C117" s="2"/>
      <x:c r="D117" s="3"/>
      <x:c r="E117" s="3"/>
      <x:c r="F117" s="3"/>
      <x:c r="G117" s="3"/>
      <x:c r="H117" s="3"/>
      <x:c r="I117" s="3"/>
      <x:c r="J117" s="3"/>
      <x:c r="K117" s="3"/>
      <x:c r="L117" s="3"/>
      <x:c r="M117" s="3"/>
      <x:c r="N117" s="2"/>
      <x:c r="O117" s="2"/>
    </x:row>
    <x:row r="118" ht="44" customHeight="1">
      <x:c r="A118" s="2"/>
      <x:c r="B118" s="2"/>
      <x:c r="C118" s="2" t="str">
        <x:v>Consolidation audit</x:v>
      </x:c>
      <x:c r="D118" s="3"/>
      <x:c r="E118" s="3"/>
      <x:c r="F118" s="3"/>
      <x:c r="G118" s="3"/>
      <x:c r="H118" s="3"/>
      <x:c r="I118" s="3"/>
      <x:c r="J118" s="3"/>
      <x:c r="K118" s="3"/>
      <x:c r="L118" s="3"/>
      <x:c r="M118" s="3"/>
      <x:c r="N118" s="2"/>
      <x:c r="O118" s="16" t="str">
        <x:v>Original 14 tabs consolidated to six. Historical FS, segment source inputs, working-capital definitions, fixed-asset history and all source exceptions retained. Forecast/valuation scaffolds rebuilt with linked calculations.</x:v>
      </x:c>
    </x:row>
    <x:row r="119" ht="20" customHeight="1">
      <x:c r="A119" s="2"/>
      <x:c r="B119" s="2"/>
      <x:c r="C119" s="2"/>
      <x:c r="D119" s="3"/>
      <x:c r="E119" s="3"/>
      <x:c r="F119" s="3"/>
      <x:c r="G119" s="3"/>
      <x:c r="H119" s="3"/>
      <x:c r="I119" s="3"/>
      <x:c r="J119" s="3"/>
      <x:c r="K119" s="3"/>
      <x:c r="L119" s="3"/>
      <x:c r="M119" s="3"/>
      <x:c r="N119" s="2"/>
      <x:c r="O119" s="2"/>
    </x:row>
    <x:row r="120" ht="44" customHeight="1">
      <x:c r="A120" s="2"/>
      <x:c r="B120" s="2"/>
      <x:c r="C120" s="2" t="str">
        <x:v>Assumptions and evidence</x:v>
      </x:c>
      <x:c r="D120" s="3"/>
      <x:c r="E120" s="3"/>
      <x:c r="F120" s="3"/>
      <x:c r="G120" s="3"/>
      <x:c r="H120" s="3"/>
      <x:c r="I120" s="3"/>
      <x:c r="J120" s="3"/>
      <x:c r="K120" s="3"/>
      <x:c r="L120" s="3"/>
      <x:c r="M120" s="3"/>
      <x:c r="N120" s="2"/>
      <x:c r="O120" s="16" t="str">
        <x:v>Analyst choices are explicitly distinguished from management guidance. Historical calibrations are formulas. Zero transaction assumptions mean no announced programme modelled, not certainty of no future activity.</x:v>
      </x:c>
    </x:row>
    <x:row r="121" ht="20" customHeight="1">
      <x:c r="A121" s="2"/>
      <x:c r="B121" s="2"/>
      <x:c r="C121" s="2"/>
      <x:c r="D121" s="3"/>
      <x:c r="E121" s="3"/>
      <x:c r="F121" s="3"/>
      <x:c r="G121" s="3"/>
      <x:c r="H121" s="3"/>
      <x:c r="I121" s="3"/>
      <x:c r="J121" s="3"/>
      <x:c r="K121" s="3"/>
      <x:c r="L121" s="3"/>
      <x:c r="M121" s="3"/>
      <x:c r="N121" s="2"/>
      <x:c r="O121" s="2"/>
    </x:row>
    <x:row r="122" ht="20" customHeight="1">
      <x:c r="A122" s="2"/>
      <x:c r="B122" s="2"/>
      <x:c r="C122" s="2"/>
      <x:c r="D122" s="3"/>
      <x:c r="E122" s="3"/>
      <x:c r="F122" s="3"/>
      <x:c r="G122" s="3"/>
      <x:c r="H122" s="3"/>
      <x:c r="I122" s="3"/>
      <x:c r="J122" s="3"/>
      <x:c r="K122" s="3"/>
      <x:c r="L122" s="3"/>
      <x:c r="M122" s="3"/>
      <x:c r="N122" s="2"/>
      <x:c r="O122" s="2"/>
    </x:row>
    <x:row r="123" ht="20" customHeight="1">
      <x:c r="A123" s="2"/>
      <x:c r="B123" s="2"/>
      <x:c r="C123" s="2"/>
      <x:c r="D123" s="3"/>
      <x:c r="E123" s="3"/>
      <x:c r="F123" s="3"/>
      <x:c r="G123" s="3"/>
      <x:c r="H123" s="3"/>
      <x:c r="I123" s="3"/>
      <x:c r="J123" s="3"/>
      <x:c r="K123" s="3"/>
      <x:c r="L123" s="3"/>
      <x:c r="M123" s="3"/>
      <x:c r="N123" s="2"/>
      <x:c r="O123" s="2"/>
    </x:row>
    <x:row r="124" ht="20" customHeight="1">
      <x:c r="A124" s="2"/>
      <x:c r="B124" s="2"/>
      <x:c r="C124" s="2"/>
      <x:c r="D124" s="3"/>
      <x:c r="E124" s="3"/>
      <x:c r="F124" s="3"/>
      <x:c r="G124" s="3"/>
      <x:c r="H124" s="3"/>
      <x:c r="I124" s="3"/>
      <x:c r="J124" s="3"/>
      <x:c r="K124" s="3"/>
      <x:c r="L124" s="3"/>
      <x:c r="M124" s="3"/>
      <x:c r="N124" s="2"/>
      <x:c r="O124" s="2"/>
    </x:row>
    <x:row r="125" ht="20" customHeight="1">
      <x:c r="A125" s="2"/>
      <x:c r="B125" s="2"/>
      <x:c r="C125" s="2"/>
      <x:c r="D125" s="3"/>
      <x:c r="E125" s="3"/>
      <x:c r="F125" s="3"/>
      <x:c r="G125" s="3"/>
      <x:c r="H125" s="3"/>
      <x:c r="I125" s="3"/>
      <x:c r="J125" s="3"/>
      <x:c r="K125" s="3"/>
      <x:c r="L125" s="3"/>
      <x:c r="M125" s="3"/>
      <x:c r="N125" s="2"/>
      <x:c r="O125" s="2"/>
    </x:row>
    <x:row r="126" ht="20" customHeight="1">
      <x:c r="A126" s="2"/>
      <x:c r="B126" s="2"/>
      <x:c r="C126" s="2"/>
      <x:c r="D126" s="3"/>
      <x:c r="E126" s="3"/>
      <x:c r="F126" s="3"/>
      <x:c r="G126" s="3"/>
      <x:c r="H126" s="3"/>
      <x:c r="I126" s="3"/>
      <x:c r="J126" s="3"/>
      <x:c r="K126" s="3"/>
      <x:c r="L126" s="3"/>
      <x:c r="M126" s="3"/>
      <x:c r="N126" s="2"/>
      <x:c r="O126" s="2"/>
    </x:row>
    <x:row r="127" ht="20" customHeight="1">
      <x:c r="A127" s="2"/>
      <x:c r="B127" s="2"/>
      <x:c r="C127" s="2"/>
      <x:c r="D127" s="3"/>
      <x:c r="E127" s="3"/>
      <x:c r="F127" s="3"/>
      <x:c r="G127" s="3"/>
      <x:c r="H127" s="3"/>
      <x:c r="I127" s="3"/>
      <x:c r="J127" s="3"/>
      <x:c r="K127" s="3"/>
      <x:c r="L127" s="3"/>
      <x:c r="M127" s="3"/>
      <x:c r="N127" s="2"/>
      <x:c r="O127" s="2"/>
    </x:row>
    <x:row r="128" ht="20" customHeight="1">
      <x:c r="A128" s="2"/>
      <x:c r="B128" s="2"/>
      <x:c r="C128" s="2"/>
      <x:c r="D128" s="3"/>
      <x:c r="E128" s="3"/>
      <x:c r="F128" s="3"/>
      <x:c r="G128" s="3"/>
      <x:c r="H128" s="3"/>
      <x:c r="I128" s="3"/>
      <x:c r="J128" s="3"/>
      <x:c r="K128" s="3"/>
      <x:c r="L128" s="3"/>
      <x:c r="M128" s="3"/>
      <x:c r="N128" s="2"/>
      <x:c r="O128" s="2"/>
    </x:row>
    <x:row r="129" ht="20" customHeight="1">
      <x:c r="A129" s="2"/>
      <x:c r="B129" s="2"/>
      <x:c r="C129" s="2"/>
      <x:c r="D129" s="3"/>
      <x:c r="E129" s="3"/>
      <x:c r="F129" s="3"/>
      <x:c r="G129" s="3"/>
      <x:c r="H129" s="3"/>
      <x:c r="I129" s="3"/>
      <x:c r="J129" s="3"/>
      <x:c r="K129" s="3"/>
      <x:c r="L129" s="3"/>
      <x:c r="M129" s="3"/>
      <x:c r="N129" s="2"/>
      <x:c r="O129" s="2"/>
    </x:row>
    <x:row r="130" ht="20" customHeight="1">
      <x:c r="A130" s="2"/>
      <x:c r="B130" s="2"/>
      <x:c r="C130" s="2"/>
      <x:c r="D130" s="3"/>
      <x:c r="E130" s="3"/>
      <x:c r="F130" s="3"/>
      <x:c r="G130" s="3"/>
      <x:c r="H130" s="3"/>
      <x:c r="I130" s="3"/>
      <x:c r="J130" s="3"/>
      <x:c r="K130" s="3"/>
      <x:c r="L130" s="3"/>
      <x:c r="M130" s="3"/>
      <x:c r="N130" s="2"/>
      <x:c r="O130" s="2"/>
    </x:row>
    <x:row r="131" ht="20" customHeight="1">
      <x:c r="A131" s="2"/>
      <x:c r="B131" s="2"/>
      <x:c r="C131" s="2"/>
      <x:c r="D131" s="3"/>
      <x:c r="E131" s="3"/>
      <x:c r="F131" s="3"/>
      <x:c r="G131" s="3"/>
      <x:c r="H131" s="3"/>
      <x:c r="I131" s="3"/>
      <x:c r="J131" s="3"/>
      <x:c r="K131" s="3"/>
      <x:c r="L131" s="3"/>
      <x:c r="M131" s="3"/>
      <x:c r="N131" s="2"/>
      <x:c r="O131" s="2"/>
    </x:row>
    <x:row r="132" ht="20" customHeight="1">
      <x:c r="A132" s="2"/>
      <x:c r="B132" s="2"/>
      <x:c r="C132" s="2"/>
      <x:c r="D132" s="3"/>
      <x:c r="E132" s="3"/>
      <x:c r="F132" s="3"/>
      <x:c r="G132" s="3"/>
      <x:c r="H132" s="3"/>
      <x:c r="I132" s="3"/>
      <x:c r="J132" s="3"/>
      <x:c r="K132" s="3"/>
      <x:c r="L132" s="3"/>
      <x:c r="M132" s="3"/>
      <x:c r="N132" s="2"/>
      <x:c r="O132" s="2"/>
    </x:row>
    <x:row r="133" ht="20" customHeight="1">
      <x:c r="A133" s="2"/>
      <x:c r="B133" s="2"/>
      <x:c r="C133" s="2"/>
      <x:c r="D133" s="3"/>
      <x:c r="E133" s="3"/>
      <x:c r="F133" s="3"/>
      <x:c r="G133" s="3"/>
      <x:c r="H133" s="3"/>
      <x:c r="I133" s="3"/>
      <x:c r="J133" s="3"/>
      <x:c r="K133" s="3"/>
      <x:c r="L133" s="3"/>
      <x:c r="M133" s="3"/>
      <x:c r="N133" s="2"/>
      <x:c r="O133" s="2"/>
    </x:row>
    <x:row r="134" ht="20" customHeight="1">
      <x:c r="A134" s="2"/>
      <x:c r="B134" s="2"/>
      <x:c r="C134" s="2"/>
      <x:c r="D134" s="3"/>
      <x:c r="E134" s="3"/>
      <x:c r="F134" s="3"/>
      <x:c r="G134" s="3"/>
      <x:c r="H134" s="3"/>
      <x:c r="I134" s="3"/>
      <x:c r="J134" s="3"/>
      <x:c r="K134" s="3"/>
      <x:c r="L134" s="3"/>
      <x:c r="M134" s="3"/>
      <x:c r="N134" s="2"/>
      <x:c r="O134" s="2"/>
    </x:row>
    <x:row r="135" ht="20" customHeight="1">
      <x:c r="A135" s="2"/>
      <x:c r="B135" s="2"/>
      <x:c r="C135" s="2"/>
      <x:c r="D135" s="3"/>
      <x:c r="E135" s="3"/>
      <x:c r="F135" s="3"/>
      <x:c r="G135" s="3"/>
      <x:c r="H135" s="3"/>
      <x:c r="I135" s="3"/>
      <x:c r="J135" s="3"/>
      <x:c r="K135" s="3"/>
      <x:c r="L135" s="3"/>
      <x:c r="M135" s="3"/>
      <x:c r="N135" s="2"/>
      <x:c r="O135" s="2"/>
    </x:row>
    <x:row r="136" ht="20" customHeight="1">
      <x:c r="A136" s="2"/>
      <x:c r="B136" s="2"/>
      <x:c r="C136" s="2"/>
      <x:c r="D136" s="3"/>
      <x:c r="E136" s="3"/>
      <x:c r="F136" s="3"/>
      <x:c r="G136" s="3"/>
      <x:c r="H136" s="3"/>
      <x:c r="I136" s="3"/>
      <x:c r="J136" s="3"/>
      <x:c r="K136" s="3"/>
      <x:c r="L136" s="3"/>
      <x:c r="M136" s="3"/>
      <x:c r="N136" s="2"/>
      <x:c r="O136" s="2"/>
    </x:row>
    <x:row r="137" ht="20" customHeight="1">
      <x:c r="A137" s="2"/>
      <x:c r="B137" s="2"/>
      <x:c r="C137" s="2"/>
      <x:c r="D137" s="3"/>
      <x:c r="E137" s="3"/>
      <x:c r="F137" s="3"/>
      <x:c r="G137" s="3"/>
      <x:c r="H137" s="3"/>
      <x:c r="I137" s="3"/>
      <x:c r="J137" s="3"/>
      <x:c r="K137" s="3"/>
      <x:c r="L137" s="3"/>
      <x:c r="M137" s="3"/>
      <x:c r="N137" s="2"/>
      <x:c r="O137" s="2"/>
    </x:row>
    <x:row r="138" ht="20" customHeight="1">
      <x:c r="A138" s="2"/>
      <x:c r="B138" s="2"/>
      <x:c r="C138" s="2"/>
      <x:c r="D138" s="3"/>
      <x:c r="E138" s="3"/>
      <x:c r="F138" s="3"/>
      <x:c r="G138" s="3"/>
      <x:c r="H138" s="3"/>
      <x:c r="I138" s="3"/>
      <x:c r="J138" s="3"/>
      <x:c r="K138" s="3"/>
      <x:c r="L138" s="3"/>
      <x:c r="M138" s="3"/>
      <x:c r="N138" s="2"/>
      <x:c r="O138" s="2"/>
    </x:row>
    <x:row r="139" ht="20" customHeight="1">
      <x:c r="A139" s="2"/>
      <x:c r="B139" s="2"/>
      <x:c r="C139" s="2"/>
      <x:c r="D139" s="3"/>
      <x:c r="E139" s="3"/>
      <x:c r="F139" s="3"/>
      <x:c r="G139" s="3"/>
      <x:c r="H139" s="3"/>
      <x:c r="I139" s="3"/>
      <x:c r="J139" s="3"/>
      <x:c r="K139" s="3"/>
      <x:c r="L139" s="3"/>
      <x:c r="M139" s="3"/>
      <x:c r="N139" s="2"/>
      <x:c r="O139" s="2"/>
    </x:row>
    <x:row r="140" ht="20" customHeight="1">
      <x:c r="A140" s="2"/>
      <x:c r="B140" s="2"/>
      <x:c r="C140" s="2"/>
      <x:c r="D140" s="3"/>
      <x:c r="E140" s="3"/>
      <x:c r="F140" s="3"/>
      <x:c r="G140" s="3"/>
      <x:c r="H140" s="3"/>
      <x:c r="I140" s="3"/>
      <x:c r="J140" s="3"/>
      <x:c r="K140" s="3"/>
      <x:c r="L140" s="3"/>
      <x:c r="M140" s="3"/>
      <x:c r="N140" s="2"/>
      <x:c r="O140" s="2"/>
    </x:row>
    <x:row r="141" ht="20" customHeight="1">
      <x:c r="A141" s="2"/>
      <x:c r="B141" s="2"/>
      <x:c r="C141" s="2"/>
      <x:c r="D141" s="3"/>
      <x:c r="E141" s="3"/>
      <x:c r="F141" s="3"/>
      <x:c r="G141" s="3"/>
      <x:c r="H141" s="3"/>
      <x:c r="I141" s="3"/>
      <x:c r="J141" s="3"/>
      <x:c r="K141" s="3"/>
      <x:c r="L141" s="3"/>
      <x:c r="M141" s="3"/>
      <x:c r="N141" s="2"/>
      <x:c r="O141" s="2"/>
    </x:row>
    <x:row r="142" ht="20" customHeight="1">
      <x:c r="A142" s="2"/>
      <x:c r="B142" s="2"/>
      <x:c r="C142" s="2"/>
      <x:c r="D142" s="3"/>
      <x:c r="E142" s="3"/>
      <x:c r="F142" s="3"/>
      <x:c r="G142" s="3"/>
      <x:c r="H142" s="3"/>
      <x:c r="I142" s="3"/>
      <x:c r="J142" s="3"/>
      <x:c r="K142" s="3"/>
      <x:c r="L142" s="3"/>
      <x:c r="M142" s="3"/>
      <x:c r="N142" s="2"/>
      <x:c r="O142" s="2"/>
    </x:row>
    <x:row r="143" ht="20" customHeight="1">
      <x:c r="A143" s="2"/>
      <x:c r="B143" s="2"/>
      <x:c r="C143" s="2"/>
      <x:c r="D143" s="3"/>
      <x:c r="E143" s="3"/>
      <x:c r="F143" s="3"/>
      <x:c r="G143" s="3"/>
      <x:c r="H143" s="3"/>
      <x:c r="I143" s="3"/>
      <x:c r="J143" s="3"/>
      <x:c r="K143" s="3"/>
      <x:c r="L143" s="3"/>
      <x:c r="M143" s="3"/>
      <x:c r="N143" s="2"/>
      <x:c r="O143" s="2"/>
    </x:row>
    <x:row r="144" ht="20" customHeight="1">
      <x:c r="A144" s="2"/>
      <x:c r="B144" s="2"/>
      <x:c r="C144" s="2"/>
      <x:c r="D144" s="3"/>
      <x:c r="E144" s="3"/>
      <x:c r="F144" s="3"/>
      <x:c r="G144" s="3"/>
      <x:c r="H144" s="3"/>
      <x:c r="I144" s="3"/>
      <x:c r="J144" s="3"/>
      <x:c r="K144" s="3"/>
      <x:c r="L144" s="3"/>
      <x:c r="M144" s="3"/>
      <x:c r="N144" s="2"/>
      <x:c r="O144" s="2"/>
    </x:row>
    <x:row r="145" ht="24" customHeight="1">
      <x:c r="A145" s="2"/>
      <x:c r="B145" s="2"/>
      <x:c r="C145" s="80" t="str">
        <x:v>Peer input data and market observations</x:v>
      </x:c>
      <x:c r="D145" s="81"/>
      <x:c r="E145" s="81"/>
      <x:c r="F145" s="81"/>
      <x:c r="G145" s="81"/>
      <x:c r="H145" s="81"/>
      <x:c r="I145" s="81"/>
      <x:c r="J145" s="81"/>
      <x:c r="K145" s="81"/>
      <x:c r="L145" s="81"/>
      <x:c r="M145" s="81"/>
      <x:c r="N145" s="2"/>
      <x:c r="O145" s="2"/>
    </x:row>
    <x:row r="146" ht="44" customHeight="1">
      <x:c r="A146" s="2"/>
      <x:c r="B146" s="2"/>
      <x:c r="C146" s="16" t="str">
        <x:v>Prices: 11 September 2026 close for all six companies. Financials: FY26 and TTM to June 2026. Peer balance-sheet claims: FY26. September Polycab DCF uses an explicitly estimated financing bridge.</x:v>
      </x:c>
      <x:c r="D146" s="38"/>
      <x:c r="E146" s="38"/>
      <x:c r="F146" s="38"/>
      <x:c r="G146" s="38"/>
      <x:c r="H146" s="38"/>
      <x:c r="I146" s="38"/>
      <x:c r="J146" s="38"/>
      <x:c r="K146" s="38"/>
      <x:c r="L146" s="38"/>
      <x:c r="M146" s="38"/>
      <x:c r="N146" s="2"/>
      <x:c r="O146" s="2"/>
    </x:row>
    <x:row r="147" ht="20" customHeight="1">
      <x:c r="A147" s="2"/>
      <x:c r="B147" s="2"/>
      <x:c r="C147" s="2"/>
      <x:c r="D147" s="3"/>
      <x:c r="E147" s="3"/>
      <x:c r="F147" s="3"/>
      <x:c r="G147" s="3"/>
      <x:c r="H147" s="3"/>
      <x:c r="I147" s="3"/>
      <x:c r="J147" s="3"/>
      <x:c r="K147" s="3"/>
      <x:c r="L147" s="3"/>
      <x:c r="M147" s="3"/>
      <x:c r="N147" s="2"/>
      <x:c r="O147" s="2"/>
    </x:row>
    <x:row r="148" ht="32" customHeight="1">
      <x:c r="A148" s="2"/>
      <x:c r="B148" s="2"/>
      <x:c r="C148" s="102"/>
      <x:c r="D148" s="103" t="str">
        <x:v>Polycab</x:v>
      </x:c>
      <x:c r="E148" s="103" t="str">
        <x:v>KEI Industries</x:v>
      </x:c>
      <x:c r="F148" s="103" t="str">
        <x:v>Havells</x:v>
      </x:c>
      <x:c r="G148" s="103" t="str">
        <x:v>RR Kabel</x:v>
      </x:c>
      <x:c r="H148" s="103" t="str">
        <x:v>Finolex Cables</x:v>
      </x:c>
      <x:c r="I148" s="103" t="str">
        <x:v>V-Guard</x:v>
      </x:c>
      <x:c r="J148" s="3"/>
      <x:c r="K148" s="3"/>
      <x:c r="L148" s="3"/>
      <x:c r="M148" s="3"/>
      <x:c r="N148" s="2"/>
      <x:c r="O148" s="2"/>
    </x:row>
    <x:row r="149" ht="20" customHeight="1">
      <x:c r="A149" s="2"/>
      <x:c r="B149" s="2"/>
      <x:c r="C149" s="2"/>
      <x:c r="D149" s="3"/>
      <x:c r="E149" s="3"/>
      <x:c r="F149" s="3"/>
      <x:c r="G149" s="3"/>
      <x:c r="H149" s="3"/>
      <x:c r="I149" s="3"/>
      <x:c r="J149" s="3"/>
      <x:c r="K149" s="3"/>
      <x:c r="L149" s="3"/>
      <x:c r="M149" s="3"/>
      <x:c r="N149" s="2"/>
      <x:c r="O149" s="2"/>
    </x:row>
    <x:row r="150" ht="20" customHeight="1">
      <x:c r="A150" s="2"/>
      <x:c r="B150" s="2"/>
      <x:c r="C150" s="2" t="str">
        <x:v>Price (INR)</x:v>
      </x:c>
      <x:c r="D150" s="105" t="n">
        <x:v>8241</x:v>
      </x:c>
      <x:c r="E150" s="105" t="n">
        <x:v>4578</x:v>
      </x:c>
      <x:c r="F150" s="105" t="n">
        <x:v>1111</x:v>
      </x:c>
      <x:c r="G150" s="105" t="n">
        <x:v>2424.4</x:v>
      </x:c>
      <x:c r="H150" s="105" t="n">
        <x:v>1424</x:v>
      </x:c>
      <x:c r="I150" s="105" t="n">
        <x:v>323.7</x:v>
      </x:c>
      <x:c r="J150" s="104"/>
      <x:c r="K150" s="104"/>
      <x:c r="L150" s="104"/>
      <x:c r="M150" s="104"/>
      <x:c r="N150" s="2"/>
      <x:c r="O150" s="2"/>
    </x:row>
    <x:row r="151" ht="20" customHeight="1">
      <x:c r="C151" s="2" t="str">
        <x:v>Market capitalisation</x:v>
      </x:c>
      <x:c r="D151" s="14" t="n">
        <x:f>D150*D322</x:f>
        <x:v>1241769.7759376522</x:v>
      </x:c>
      <x:c r="E151" s="14" t="n">
        <x:f>E150*E322</x:f>
        <x:v>437676.59020732244</x:v>
      </x:c>
      <x:c r="F151" s="14" t="n">
        <x:f>F150*F322</x:f>
        <x:v>697220</x:v>
      </x:c>
      <x:c r="G151" s="14" t="n">
        <x:f>G150*G322</x:f>
        <x:v>274255.2491749175</x:v>
      </x:c>
      <x:c r="H151" s="14" t="n">
        <x:f>H150*H322</x:f>
        <x:v>217790</x:v>
      </x:c>
      <x:c r="I151" s="14" t="n">
        <x:f>I150*I322</x:f>
        <x:v>141299.0462962963</x:v>
      </x:c>
      <x:c r="J151" s="3"/>
      <x:c r="K151" s="3"/>
      <x:c r="L151" s="3"/>
      <x:c r="M151" s="3"/>
      <x:c r="N151" s="2"/>
      <x:c r="O151" s="2"/>
    </x:row>
    <x:row r="152" ht="34" customHeight="1">
      <x:c r="C152" s="2" t="str">
        <x:v>Quote timestamp (2026)</x:v>
      </x:c>
      <x:c r="D152" s="148" t="str">
        <x:v>11-Sep close</x:v>
      </x:c>
      <x:c r="E152" s="148" t="str">
        <x:v>11-Sep close</x:v>
      </x:c>
      <x:c r="F152" s="148" t="str">
        <x:v>11-Sep close</x:v>
      </x:c>
      <x:c r="G152" s="148" t="str">
        <x:v>11-Sep close</x:v>
      </x:c>
      <x:c r="H152" s="148" t="str">
        <x:v>11-Sep close</x:v>
      </x:c>
      <x:c r="I152" s="148" t="str">
        <x:v>11-Sep close</x:v>
      </x:c>
      <x:c r="J152" s="3"/>
      <x:c r="K152" s="3"/>
      <x:c r="L152" s="3"/>
      <x:c r="M152" s="3"/>
      <x:c r="N152" s="2"/>
      <x:c r="O152" s="2"/>
    </x:row>
    <x:row r="153" ht="20" customHeight="1">
      <x:c r="C153" s="2" t="str">
        <x:v>FY25 revenue</x:v>
      </x:c>
      <x:c r="D153" s="17" t="n">
        <x:v>224083.13</x:v>
      </x:c>
      <x:c r="E153" s="17" t="n">
        <x:v>97360</x:v>
      </x:c>
      <x:c r="F153" s="17" t="n">
        <x:v>217780</x:v>
      </x:c>
      <x:c r="G153" s="17" t="n">
        <x:v>76182.329</x:v>
      </x:c>
      <x:c r="H153" s="17" t="n">
        <x:v>53190</x:v>
      </x:c>
      <x:c r="I153" s="17" t="n">
        <x:v>55778.2</x:v>
      </x:c>
      <x:c r="J153" s="3"/>
      <x:c r="K153" s="3"/>
      <x:c r="L153" s="3"/>
      <x:c r="M153" s="3"/>
      <x:c r="N153" s="2"/>
      <x:c r="O153" s="2"/>
    </x:row>
    <x:row r="154" ht="20" customHeight="1">
      <x:c r="C154" s="2" t="str">
        <x:v>FY26 revenue</x:v>
      </x:c>
      <x:c r="D154" s="17" t="n">
        <x:v>288837.92</x:v>
      </x:c>
      <x:c r="E154" s="17" t="n">
        <x:v>117480</x:v>
      </x:c>
      <x:c r="F154" s="17" t="n">
        <x:v>225280</x:v>
      </x:c>
      <x:c r="G154" s="17" t="n">
        <x:v>97223.586</x:v>
      </x:c>
      <x:c r="H154" s="17" t="n">
        <x:v>63210</x:v>
      </x:c>
      <x:c r="I154" s="17" t="n">
        <x:v>59657.8</x:v>
      </x:c>
      <x:c r="J154" s="3"/>
      <x:c r="K154" s="3"/>
      <x:c r="L154" s="3"/>
      <x:c r="M154" s="3"/>
      <x:c r="N154" s="2"/>
      <x:c r="O154" s="2"/>
    </x:row>
    <x:row r="155" ht="20" customHeight="1">
      <x:c r="C155" s="2" t="str">
        <x:v>FY26 operating EBITDA proxy</x:v>
      </x:c>
      <x:c r="D155" s="22" t="n">
        <x:f>'01_Historical+Segments'!H115</x:f>
        <x:v>40057.279999999955</x:v>
      </x:c>
      <x:c r="E155" s="17" t="n">
        <x:v>12290</x:v>
      </x:c>
      <x:c r="F155" s="17" t="n">
        <x:v>22410</x:v>
      </x:c>
      <x:c r="G155" s="17" t="n">
        <x:v>7860</x:v>
      </x:c>
      <x:c r="H155" s="17" t="n">
        <x:v>6200</x:v>
      </x:c>
      <x:c r="I155" s="17" t="n">
        <x:v>5267.6</x:v>
      </x:c>
      <x:c r="J155" s="3"/>
      <x:c r="K155" s="3"/>
      <x:c r="L155" s="3"/>
      <x:c r="M155" s="3"/>
      <x:c r="N155" s="2"/>
      <x:c r="O155" s="2"/>
    </x:row>
    <x:row r="156" ht="20" customHeight="1">
      <x:c r="C156" s="2" t="str">
        <x:v>FY26 D&amp;A</x:v>
      </x:c>
      <x:c r="D156" s="17" t="n">
        <x:v>3858.69</x:v>
      </x:c>
      <x:c r="E156" s="17" t="n">
        <x:v>910</x:v>
      </x:c>
      <x:c r="F156" s="17" t="n">
        <x:v>4320</x:v>
      </x:c>
      <x:c r="G156" s="17" t="n">
        <x:v>922.64</x:v>
      </x:c>
      <x:c r="H156" s="17" t="n">
        <x:v>590</x:v>
      </x:c>
      <x:c r="I156" s="17" t="n">
        <x:v>1080</x:v>
      </x:c>
      <x:c r="J156" s="3"/>
      <x:c r="K156" s="3"/>
      <x:c r="L156" s="3"/>
      <x:c r="M156" s="3"/>
      <x:c r="N156" s="2"/>
      <x:c r="O156" s="2"/>
    </x:row>
    <x:row r="157" ht="20" customHeight="1">
      <x:c r="C157" s="2" t="str">
        <x:v>FY26 PAT (source basis)</x:v>
      </x:c>
      <x:c r="D157" s="17" t="n">
        <x:v>26720.33</x:v>
      </x:c>
      <x:c r="E157" s="17" t="n">
        <x:v>9180</x:v>
      </x:c>
      <x:c r="F157" s="17" t="n">
        <x:v>16890</x:v>
      </x:c>
      <x:c r="G157" s="17" t="n">
        <x:v>4922.191</x:v>
      </x:c>
      <x:c r="H157" s="17" t="n">
        <x:v>7140</x:v>
      </x:c>
      <x:c r="I157" s="17" t="n">
        <x:v>3083.3</x:v>
      </x:c>
      <x:c r="J157" s="3"/>
      <x:c r="K157" s="3"/>
      <x:c r="L157" s="3"/>
      <x:c r="M157" s="3"/>
      <x:c r="N157" s="2"/>
      <x:c r="O157" s="2"/>
    </x:row>
    <x:row r="158" ht="20" customHeight="1">
      <x:c r="C158" s="2" t="str">
        <x:v>FY26 EPS (INR)</x:v>
      </x:c>
      <x:c r="D158" s="106" t="n">
        <x:f>'01_Historical+Segments'!H164</x:f>
        <x:v>176.95</x:v>
      </x:c>
      <x:c r="E158" s="105" t="n">
        <x:v>96.07</x:v>
      </x:c>
      <x:c r="F158" s="105" t="n">
        <x:v>26.95</x:v>
      </x:c>
      <x:c r="G158" s="105" t="n">
        <x:v>43.52</x:v>
      </x:c>
      <x:c r="H158" s="105" t="n">
        <x:v>46.67</x:v>
      </x:c>
      <x:c r="I158" s="105" t="n">
        <x:v>7.01</x:v>
      </x:c>
      <x:c r="J158" s="104"/>
      <x:c r="K158" s="104"/>
      <x:c r="L158" s="104"/>
      <x:c r="M158" s="104"/>
      <x:c r="N158" s="2"/>
      <x:c r="O158" s="2"/>
    </x:row>
    <x:row r="159" ht="20" customHeight="1">
      <x:c r="C159" s="2" t="str">
        <x:v>TTM revenue to Jun-26</x:v>
      </x:c>
      <x:c r="D159" s="17" t="n">
        <x:v>311880</x:v>
      </x:c>
      <x:c r="E159" s="17" t="n">
        <x:v>123430</x:v>
      </x:c>
      <x:c r="F159" s="17" t="n">
        <x:v>235910</x:v>
      </x:c>
      <x:c r="G159" s="17" t="n">
        <x:v>108320</x:v>
      </x:c>
      <x:c r="H159" s="17" t="n">
        <x:v>69390</x:v>
      </x:c>
      <x:c r="I159" s="17" t="n">
        <x:v>63100</x:v>
      </x:c>
      <x:c r="J159" s="3"/>
      <x:c r="K159" s="3"/>
      <x:c r="L159" s="3"/>
      <x:c r="M159" s="3"/>
      <x:c r="N159" s="2"/>
      <x:c r="O159" s="2"/>
    </x:row>
    <x:row r="160" ht="20" customHeight="1">
      <x:c r="C160" s="2" t="str">
        <x:v>TTM operating EBITDA proxy</x:v>
      </x:c>
      <x:c r="D160" s="17" t="n">
        <x:v>42840</x:v>
      </x:c>
      <x:c r="E160" s="17" t="n">
        <x:v>13670</x:v>
      </x:c>
      <x:c r="F160" s="17" t="n">
        <x:v>21500</x:v>
      </x:c>
      <x:c r="G160" s="17" t="n">
        <x:v>9250</x:v>
      </x:c>
      <x:c r="H160" s="17" t="n">
        <x:v>7270</x:v>
      </x:c>
      <x:c r="I160" s="17" t="n">
        <x:v>5940</x:v>
      </x:c>
      <x:c r="J160" s="3"/>
      <x:c r="K160" s="3"/>
      <x:c r="L160" s="3"/>
      <x:c r="M160" s="3"/>
      <x:c r="N160" s="2"/>
      <x:c r="O160" s="2"/>
    </x:row>
    <x:row r="161" ht="20" customHeight="1">
      <x:c r="C161" s="2" t="str">
        <x:v>TTM PAT (source basis)</x:v>
      </x:c>
      <x:c r="D161" s="17" t="n">
        <x:v>29050</x:v>
      </x:c>
      <x:c r="E161" s="17" t="n">
        <x:v>9970</x:v>
      </x:c>
      <x:c r="F161" s="17" t="n">
        <x:v>16310</x:v>
      </x:c>
      <x:c r="G161" s="17" t="n">
        <x:v>6080</x:v>
      </x:c>
      <x:c r="H161" s="17" t="n">
        <x:v>8000</x:v>
      </x:c>
      <x:c r="I161" s="17" t="n">
        <x:v>3650</x:v>
      </x:c>
      <x:c r="J161" s="3"/>
      <x:c r="K161" s="3"/>
      <x:c r="L161" s="3"/>
      <x:c r="M161" s="3"/>
      <x:c r="N161" s="2"/>
      <x:c r="O161" s="2"/>
    </x:row>
    <x:row r="162" ht="20" customHeight="1">
      <x:c r="C162" s="2" t="str">
        <x:v>TTM EPS (INR)</x:v>
      </x:c>
      <x:c r="D162" s="105" t="n">
        <x:v>190.24</x:v>
      </x:c>
      <x:c r="E162" s="105" t="n">
        <x:v>104.28</x:v>
      </x:c>
      <x:c r="F162" s="105" t="n">
        <x:v>26.05</x:v>
      </x:c>
      <x:c r="G162" s="105" t="n">
        <x:v>53.72</x:v>
      </x:c>
      <x:c r="H162" s="105" t="n">
        <x:v>52.31</x:v>
      </x:c>
      <x:c r="I162" s="105" t="n">
        <x:v>8.36</x:v>
      </x:c>
      <x:c r="J162" s="104"/>
      <x:c r="K162" s="104"/>
      <x:c r="L162" s="104"/>
      <x:c r="M162" s="104"/>
      <x:c r="N162" s="2"/>
      <x:c r="O162" s="2"/>
    </x:row>
    <x:row r="163" ht="20" customHeight="1">
      <x:c r="C163" s="2" t="str">
        <x:v>Borrowings including leases</x:v>
      </x:c>
      <x:c r="D163" s="22" t="n">
        <x:f>'03_3Statement+Schedules'!H45+'03_3Statement+Schedules'!H46</x:f>
        <x:v>2355.17</x:v>
      </x:c>
      <x:c r="E163" s="17" t="n">
        <x:v>2530</x:v>
      </x:c>
      <x:c r="F163" s="17" t="n">
        <x:v>2652</x:v>
      </x:c>
      <x:c r="G163" s="17" t="n">
        <x:v>3370.278</x:v>
      </x:c>
      <x:c r="H163" s="17" t="n">
        <x:v>191.4</x:v>
      </x:c>
      <x:c r="I163" s="17" t="n">
        <x:v>1650</x:v>
      </x:c>
      <x:c r="J163" s="3"/>
      <x:c r="K163" s="3"/>
      <x:c r="L163" s="3"/>
      <x:c r="M163" s="3"/>
      <x:c r="N163" s="2"/>
      <x:c r="O163" s="2"/>
    </x:row>
    <x:row r="164" ht="20" customHeight="1">
      <x:c r="C164" s="2" t="str">
        <x:v>Separately identified acceptances</x:v>
      </x:c>
      <x:c r="D164" s="17" t="n">
        <x:v>42656.19</x:v>
      </x:c>
      <x:c r="E164" s="17" t="n">
        <x:v>7350</x:v>
      </x:c>
      <x:c r="F164" s="17" t="n">
        <x:v>0</x:v>
      </x:c>
      <x:c r="G164" s="17" t="n">
        <x:v>0</x:v>
      </x:c>
      <x:c r="H164" s="17" t="n">
        <x:v>0</x:v>
      </x:c>
      <x:c r="I164" s="17" t="n">
        <x:v>0</x:v>
      </x:c>
      <x:c r="J164" s="3"/>
      <x:c r="K164" s="3"/>
      <x:c r="L164" s="3"/>
      <x:c r="M164" s="3"/>
      <x:c r="N164" s="2"/>
      <x:c r="O164" s="2"/>
    </x:row>
    <x:row r="165" ht="20" customHeight="1">
      <x:c r="C165" s="2" t="str">
        <x:v>Cash and included bank balances</x:v>
      </x:c>
      <x:c r="D165" s="17" t="n">
        <x:v>42872.93</x:v>
      </x:c>
      <x:c r="E165" s="17" t="n">
        <x:v>15126.5</x:v>
      </x:c>
      <x:c r="F165" s="17" t="n">
        <x:v>23635</x:v>
      </x:c>
      <x:c r="G165" s="17" t="n">
        <x:v>907.184</x:v>
      </x:c>
      <x:c r="H165" s="17" t="n">
        <x:v>1631.3</x:v>
      </x:c>
      <x:c r="I165" s="17" t="n">
        <x:v>593</x:v>
      </x:c>
      <x:c r="J165" s="3"/>
      <x:c r="K165" s="3"/>
      <x:c r="L165" s="3"/>
      <x:c r="M165" s="3"/>
      <x:c r="N165" s="2"/>
      <x:c r="O165" s="2"/>
    </x:row>
    <x:row r="166" ht="20" customHeight="1">
      <x:c r="C166" s="2" t="str">
        <x:v>Included treasury investments</x:v>
      </x:c>
      <x:c r="D166" s="17" t="n">
        <x:v>0</x:v>
      </x:c>
      <x:c r="E166" s="17" t="n">
        <x:v>0</x:v>
      </x:c>
      <x:c r="F166" s="17" t="n">
        <x:v>0</x:v>
      </x:c>
      <x:c r="G166" s="17" t="n">
        <x:v>500.784</x:v>
      </x:c>
      <x:c r="H166" s="17" t="n">
        <x:v>24572.6</x:v>
      </x:c>
      <x:c r="I166" s="17" t="n">
        <x:v>1807</x:v>
      </x:c>
      <x:c r="J166" s="3"/>
      <x:c r="K166" s="3"/>
      <x:c r="L166" s="3"/>
      <x:c r="M166" s="3"/>
      <x:c r="N166" s="2"/>
      <x:c r="O166" s="2"/>
    </x:row>
    <x:row r="167" ht="20" customHeight="1">
      <x:c r="C167" s="2" t="str">
        <x:v>NCI / other claims proxy</x:v>
      </x:c>
      <x:c r="D167" s="17" t="n">
        <x:v>1181.93</x:v>
      </x:c>
      <x:c r="E167" s="17" t="n">
        <x:v>0</x:v>
      </x:c>
      <x:c r="F167" s="17" t="n">
        <x:v>132</x:v>
      </x:c>
      <x:c r="G167" s="17" t="n">
        <x:v>0</x:v>
      </x:c>
      <x:c r="H167" s="17" t="n">
        <x:v>0</x:v>
      </x:c>
      <x:c r="I167" s="17" t="n">
        <x:v>0</x:v>
      </x:c>
      <x:c r="J167" s="3"/>
      <x:c r="K167" s="3"/>
      <x:c r="L167" s="3"/>
      <x:c r="M167" s="3"/>
      <x:c r="N167" s="2"/>
      <x:c r="O167" s="2"/>
    </x:row>
    <x:row r="168" ht="20" customHeight="1">
      <x:c r="C168" s="2" t="str">
        <x:v>Balance-sheet date</x:v>
      </x:c>
      <x:c r="D168" s="3" t="str">
        <x:v>31-Mar-2026</x:v>
      </x:c>
      <x:c r="E168" s="3" t="str">
        <x:v>31-Mar-2026</x:v>
      </x:c>
      <x:c r="F168" s="3" t="str">
        <x:v>31-Mar-2026</x:v>
      </x:c>
      <x:c r="G168" s="3" t="str">
        <x:v>31-Mar-2026</x:v>
      </x:c>
      <x:c r="H168" s="3" t="str">
        <x:v>31-Mar-2026</x:v>
      </x:c>
      <x:c r="I168" s="3" t="str">
        <x:v>31-Mar-2026</x:v>
      </x:c>
      <x:c r="J168" s="3"/>
      <x:c r="K168" s="3"/>
      <x:c r="L168" s="3"/>
      <x:c r="M168" s="3"/>
      <x:c r="N168" s="2"/>
      <x:c r="O168" s="2"/>
    </x:row>
    <x:row r="169" ht="20" customHeight="1">
      <x:c r="C169" s="2" t="str">
        <x:v>Equity book value</x:v>
      </x:c>
      <x:c r="D169" s="17" t="n">
        <x:v>120085.76</x:v>
      </x:c>
      <x:c r="E169" s="17" t="n">
        <x:v>66650</x:v>
      </x:c>
      <x:c r="F169" s="17" t="n">
        <x:v>94554.7</x:v>
      </x:c>
      <x:c r="G169" s="17" t="n">
        <x:v>25743.999</x:v>
      </x:c>
      <x:c r="H169" s="17" t="n">
        <x:v>60860</x:v>
      </x:c>
      <x:c r="I169" s="17" t="n">
        <x:v>23730.5</x:v>
      </x:c>
      <x:c r="J169" s="3"/>
      <x:c r="K169" s="3"/>
      <x:c r="L169" s="3"/>
      <x:c r="M169" s="3"/>
      <x:c r="N169" s="2"/>
      <x:c r="O169" s="2"/>
    </x:row>
    <x:row r="170" ht="20" customHeight="1">
      <x:c r="C170" s="24" t="str">
        <x:v>Provider FY26 ROCE</x:v>
      </x:c>
      <x:c r="D170" s="39" t="n">
        <x:v>0.332</x:v>
      </x:c>
      <x:c r="E170" s="39" t="n">
        <x:v>0.2</x:v>
      </x:c>
      <x:c r="F170" s="39" t="n">
        <x:v>0.249</x:v>
      </x:c>
      <x:c r="G170" s="39" t="n">
        <x:v>0.281</x:v>
      </x:c>
      <x:c r="H170" s="39" t="n">
        <x:v>0.16</x:v>
      </x:c>
      <x:c r="I170" s="39" t="n">
        <x:v>0.184</x:v>
      </x:c>
      <x:c r="J170" s="25"/>
      <x:c r="K170" s="25"/>
      <x:c r="L170" s="25"/>
      <x:c r="M170" s="25"/>
      <x:c r="N170" s="2"/>
      <x:c r="O170" s="2"/>
    </x:row>
    <x:row r="171" ht="20" customHeight="1">
      <x:c r="C171" s="2" t="str">
        <x:v>Market and standardized financial source</x:v>
      </x:c>
      <x:c r="D171" s="3" t="str">
        <x:v>S11</x:v>
      </x:c>
      <x:c r="E171" s="3" t="str">
        <x:v>S12</x:v>
      </x:c>
      <x:c r="F171" s="3" t="str">
        <x:v>S13</x:v>
      </x:c>
      <x:c r="G171" s="3" t="str">
        <x:v>S14</x:v>
      </x:c>
      <x:c r="H171" s="3" t="str">
        <x:v>S15</x:v>
      </x:c>
      <x:c r="I171" s="3" t="str">
        <x:v>S16</x:v>
      </x:c>
      <x:c r="J171" s="3"/>
      <x:c r="K171" s="3"/>
      <x:c r="L171" s="3"/>
      <x:c r="M171" s="3"/>
      <x:c r="N171" s="2"/>
      <x:c r="O171" s="2"/>
    </x:row>
    <x:row r="172" ht="20" customHeight="1">
      <x:c r="C172" s="2"/>
      <x:c r="D172" s="3"/>
      <x:c r="E172" s="3"/>
      <x:c r="F172" s="3"/>
      <x:c r="G172" s="3"/>
      <x:c r="H172" s="3"/>
      <x:c r="I172" s="3"/>
      <x:c r="J172" s="3"/>
      <x:c r="K172" s="3"/>
      <x:c r="L172" s="3"/>
      <x:c r="M172" s="3"/>
      <x:c r="N172" s="2"/>
      <x:c r="O172" s="2"/>
    </x:row>
    <x:row r="173" ht="20" customHeight="1">
      <x:c r="C173" s="2"/>
      <x:c r="D173" s="3"/>
      <x:c r="E173" s="3"/>
      <x:c r="F173" s="3"/>
      <x:c r="G173" s="3"/>
      <x:c r="H173" s="3"/>
      <x:c r="I173" s="3"/>
      <x:c r="J173" s="3"/>
      <x:c r="K173" s="3"/>
      <x:c r="L173" s="3"/>
      <x:c r="M173" s="3"/>
      <x:c r="N173" s="2"/>
      <x:c r="O173" s="2"/>
    </x:row>
    <x:row r="174" ht="44" customHeight="1">
      <x:c r="C174" s="16" t="str">
        <x:v>Operating EBITDA excludes other income using standardized provider operating profit. Reported PAT/EPS retain exceptional and investment income. Polycab annual values use the preserved audited workbook, so they can differ from provider rounding and restatements.</x:v>
      </x:c>
      <x:c r="D174" s="38"/>
      <x:c r="E174" s="38"/>
      <x:c r="F174" s="38"/>
      <x:c r="G174" s="38"/>
      <x:c r="H174" s="38"/>
      <x:c r="I174" s="38"/>
      <x:c r="J174" s="38"/>
      <x:c r="K174" s="38"/>
      <x:c r="L174" s="38"/>
      <x:c r="M174" s="38"/>
      <x:c r="N174" s="2"/>
      <x:c r="O174" s="2"/>
    </x:row>
    <x:row r="175" ht="20" customHeight="1">
      <x:c r="C175" s="2"/>
      <x:c r="D175" s="3"/>
      <x:c r="E175" s="3"/>
      <x:c r="F175" s="3"/>
      <x:c r="G175" s="3"/>
      <x:c r="H175" s="3"/>
      <x:c r="I175" s="3"/>
      <x:c r="J175" s="3"/>
      <x:c r="K175" s="3"/>
      <x:c r="L175" s="3"/>
      <x:c r="M175" s="3"/>
      <x:c r="N175" s="2"/>
      <x:c r="O175" s="2"/>
    </x:row>
    <x:row r="176" ht="20" customHeight="1">
      <x:c r="C176" s="2"/>
      <x:c r="D176" s="3"/>
      <x:c r="E176" s="3"/>
      <x:c r="F176" s="3"/>
      <x:c r="G176" s="3"/>
      <x:c r="H176" s="3"/>
      <x:c r="I176" s="3"/>
      <x:c r="J176" s="3"/>
      <x:c r="K176" s="3"/>
      <x:c r="L176" s="3"/>
      <x:c r="M176" s="3"/>
      <x:c r="N176" s="2"/>
      <x:c r="O176" s="2"/>
    </x:row>
    <x:row r="177" ht="20" customHeight="1">
      <x:c r="C177" s="2"/>
      <x:c r="D177" s="3"/>
      <x:c r="E177" s="3"/>
      <x:c r="F177" s="3"/>
      <x:c r="G177" s="3"/>
      <x:c r="H177" s="3"/>
      <x:c r="I177" s="3"/>
      <x:c r="J177" s="3"/>
      <x:c r="K177" s="3"/>
      <x:c r="L177" s="3"/>
      <x:c r="M177" s="3"/>
      <x:c r="N177" s="2"/>
      <x:c r="O177" s="2"/>
    </x:row>
    <x:row r="178" ht="20" customHeight="1">
      <x:c r="C178" s="2" t="str">
        <x:v>Polycab</x:v>
      </x:c>
      <x:c r="D178" s="3"/>
      <x:c r="E178" s="3"/>
      <x:c r="F178" s="3"/>
      <x:c r="G178" s="3"/>
      <x:c r="H178" s="3"/>
      <x:c r="I178" s="3"/>
      <x:c r="J178" s="3"/>
      <x:c r="K178" s="3"/>
      <x:c r="L178" s="3"/>
      <x:c r="M178" s="3"/>
      <x:c r="N178" s="2"/>
      <x:c r="O178" s="2"/>
    </x:row>
    <x:row r="179" ht="32" customHeight="1">
      <x:c r="C179" s="16" t="str">
        <x:v>S11 + original history. Acceptances classified as debt. Treasury pool shown gross for trading comps. DCF reserves operating cash and all other bank balances separately.</x:v>
      </x:c>
      <x:c r="D179" s="38"/>
      <x:c r="E179" s="38"/>
      <x:c r="F179" s="38"/>
      <x:c r="G179" s="38"/>
      <x:c r="H179" s="38"/>
      <x:c r="I179" s="38"/>
      <x:c r="J179" s="38"/>
      <x:c r="K179" s="38"/>
      <x:c r="L179" s="38"/>
      <x:c r="M179" s="38"/>
      <x:c r="N179" s="2"/>
      <x:c r="O179" s="2"/>
    </x:row>
    <x:row r="180" ht="20" customHeight="1">
      <x:c r="C180" s="2"/>
      <x:c r="D180" s="3"/>
      <x:c r="E180" s="3"/>
      <x:c r="F180" s="3"/>
      <x:c r="G180" s="3"/>
      <x:c r="H180" s="3"/>
      <x:c r="I180" s="3"/>
      <x:c r="J180" s="3"/>
      <x:c r="K180" s="3"/>
      <x:c r="L180" s="3"/>
      <x:c r="M180" s="3"/>
      <x:c r="N180" s="2"/>
      <x:c r="O180" s="2"/>
    </x:row>
    <x:row r="181" ht="20" customHeight="1">
      <x:c r="C181" s="2"/>
      <x:c r="D181" s="3"/>
      <x:c r="E181" s="3"/>
      <x:c r="F181" s="3"/>
      <x:c r="G181" s="3"/>
      <x:c r="H181" s="3"/>
      <x:c r="I181" s="3"/>
      <x:c r="J181" s="3"/>
      <x:c r="K181" s="3"/>
      <x:c r="L181" s="3"/>
      <x:c r="M181" s="3"/>
      <x:c r="N181" s="2"/>
      <x:c r="O181" s="2"/>
    </x:row>
    <x:row r="182" ht="20" customHeight="1">
      <x:c r="C182" s="2" t="str">
        <x:v>KEI Industries</x:v>
      </x:c>
      <x:c r="D182" s="3"/>
      <x:c r="E182" s="3"/>
      <x:c r="F182" s="3"/>
      <x:c r="G182" s="3"/>
      <x:c r="H182" s="3"/>
      <x:c r="I182" s="3"/>
      <x:c r="J182" s="3"/>
      <x:c r="K182" s="3"/>
      <x:c r="L182" s="3"/>
      <x:c r="M182" s="3"/>
      <x:c r="N182" s="2"/>
      <x:c r="O182" s="2"/>
    </x:row>
    <x:row r="183" ht="44" customHeight="1">
      <x:c r="C183" s="16" t="str">
        <x:v>S12/S17. Debt proxy includes leases (provider). Acceptance funding added from presentation p8. Cash/bank uses company standalone p9 as consolidated proxy; subsidiary difference and restricted QIP deposits remain unadjusted.</x:v>
      </x:c>
      <x:c r="D183" s="38"/>
      <x:c r="E183" s="38"/>
      <x:c r="F183" s="38"/>
      <x:c r="G183" s="38"/>
      <x:c r="H183" s="38"/>
      <x:c r="I183" s="38"/>
      <x:c r="J183" s="38"/>
      <x:c r="K183" s="38"/>
      <x:c r="L183" s="38"/>
      <x:c r="M183" s="38"/>
      <x:c r="N183" s="2"/>
      <x:c r="O183" s="2"/>
    </x:row>
    <x:row r="184" ht="20" customHeight="1">
      <x:c r="C184" s="2"/>
      <x:c r="D184" s="3"/>
      <x:c r="E184" s="3"/>
      <x:c r="F184" s="3"/>
      <x:c r="G184" s="3"/>
      <x:c r="H184" s="3"/>
      <x:c r="I184" s="3"/>
      <x:c r="J184" s="3"/>
      <x:c r="K184" s="3"/>
      <x:c r="L184" s="3"/>
      <x:c r="M184" s="3"/>
      <x:c r="N184" s="2"/>
      <x:c r="O184" s="2"/>
    </x:row>
    <x:row r="185" ht="20" customHeight="1">
      <x:c r="C185" s="2"/>
      <x:c r="D185" s="3"/>
      <x:c r="E185" s="3"/>
      <x:c r="F185" s="3"/>
      <x:c r="G185" s="3"/>
      <x:c r="H185" s="3"/>
      <x:c r="I185" s="3"/>
      <x:c r="J185" s="3"/>
      <x:c r="K185" s="3"/>
      <x:c r="L185" s="3"/>
      <x:c r="M185" s="3"/>
      <x:c r="N185" s="2"/>
      <x:c r="O185" s="2"/>
    </x:row>
    <x:row r="186" ht="20" customHeight="1">
      <x:c r="C186" s="2" t="str">
        <x:v>Havells</x:v>
      </x:c>
      <x:c r="D186" s="3"/>
      <x:c r="E186" s="3"/>
      <x:c r="F186" s="3"/>
      <x:c r="G186" s="3"/>
      <x:c r="H186" s="3"/>
      <x:c r="I186" s="3"/>
      <x:c r="J186" s="3"/>
      <x:c r="K186" s="3"/>
      <x:c r="L186" s="3"/>
      <x:c r="M186" s="3"/>
      <x:c r="N186" s="2"/>
      <x:c r="O186" s="2"/>
    </x:row>
    <x:row r="187" ht="44" customHeight="1">
      <x:c r="C187" s="16" t="str">
        <x:v>S13/S18. Cash 790.62 + bank 1,572.88 crore. Lease debt 187.96 + 77.24 crore. NCI 13.20 crore. Goldi Solar and other strategic investments excluded from cash. Reported earnings contain fair-value gains.</x:v>
      </x:c>
      <x:c r="D187" s="38"/>
      <x:c r="E187" s="38"/>
      <x:c r="F187" s="38"/>
      <x:c r="G187" s="38"/>
      <x:c r="H187" s="38"/>
      <x:c r="I187" s="38"/>
      <x:c r="J187" s="38"/>
      <x:c r="K187" s="38"/>
      <x:c r="L187" s="38"/>
      <x:c r="M187" s="38"/>
      <x:c r="N187" s="2"/>
      <x:c r="O187" s="2"/>
    </x:row>
    <x:row r="188" ht="20" customHeight="1">
      <x:c r="C188" s="2"/>
      <x:c r="D188" s="3"/>
      <x:c r="E188" s="3"/>
      <x:c r="F188" s="3"/>
      <x:c r="G188" s="3"/>
      <x:c r="H188" s="3"/>
      <x:c r="I188" s="3"/>
      <x:c r="J188" s="3"/>
      <x:c r="K188" s="3"/>
      <x:c r="L188" s="3"/>
      <x:c r="M188" s="3"/>
      <x:c r="N188" s="2"/>
      <x:c r="O188" s="2"/>
    </x:row>
    <x:row r="189" ht="20" customHeight="1">
      <x:c r="C189" s="2"/>
      <x:c r="D189" s="3"/>
      <x:c r="E189" s="3"/>
      <x:c r="F189" s="3"/>
      <x:c r="G189" s="3"/>
      <x:c r="H189" s="3"/>
      <x:c r="I189" s="3"/>
      <x:c r="J189" s="3"/>
      <x:c r="K189" s="3"/>
      <x:c r="L189" s="3"/>
      <x:c r="M189" s="3"/>
      <x:c r="N189" s="2"/>
      <x:c r="O189" s="2"/>
    </x:row>
    <x:row r="190" ht="20" customHeight="1">
      <x:c r="C190" s="2" t="str">
        <x:v>RR Kabel</x:v>
      </x:c>
      <x:c r="D190" s="3"/>
      <x:c r="E190" s="3"/>
      <x:c r="F190" s="3"/>
      <x:c r="G190" s="3"/>
      <x:c r="H190" s="3"/>
      <x:c r="I190" s="3"/>
      <x:c r="J190" s="3"/>
      <x:c r="K190" s="3"/>
      <x:c r="L190" s="3"/>
      <x:c r="M190" s="3"/>
      <x:c r="N190" s="2"/>
      <x:c r="O190" s="2"/>
    </x:row>
    <x:row r="191" ht="44" customHeight="1">
      <x:c r="C191" s="16" t="str">
        <x:v>S14/S19. Consolidated balance sheet p15: amounts in lakhs divided by ten. Debt includes leases. Current investments included; strategic investments excluded. No separate acceptance line identified; embedded supplier finance may remain.</x:v>
      </x:c>
      <x:c r="D191" s="38"/>
      <x:c r="E191" s="38"/>
      <x:c r="F191" s="38"/>
      <x:c r="G191" s="38"/>
      <x:c r="H191" s="38"/>
      <x:c r="I191" s="38"/>
      <x:c r="J191" s="38"/>
      <x:c r="K191" s="38"/>
      <x:c r="L191" s="38"/>
      <x:c r="M191" s="38"/>
      <x:c r="N191" s="2"/>
      <x:c r="O191" s="2"/>
    </x:row>
    <x:row r="192" ht="20" customHeight="1">
      <x:c r="C192" s="2"/>
      <x:c r="D192" s="3"/>
      <x:c r="E192" s="3"/>
      <x:c r="F192" s="3"/>
      <x:c r="G192" s="3"/>
      <x:c r="H192" s="3"/>
      <x:c r="I192" s="3"/>
      <x:c r="J192" s="3"/>
      <x:c r="K192" s="3"/>
      <x:c r="L192" s="3"/>
      <x:c r="M192" s="3"/>
      <x:c r="N192" s="2"/>
      <x:c r="O192" s="2"/>
    </x:row>
    <x:row r="193" ht="20" customHeight="1">
      <x:c r="C193" s="2"/>
      <x:c r="D193" s="3"/>
      <x:c r="E193" s="3"/>
      <x:c r="F193" s="3"/>
      <x:c r="G193" s="3"/>
      <x:c r="H193" s="3"/>
      <x:c r="I193" s="3"/>
      <x:c r="J193" s="3"/>
      <x:c r="K193" s="3"/>
      <x:c r="L193" s="3"/>
      <x:c r="M193" s="3"/>
      <x:c r="N193" s="2"/>
      <x:c r="O193" s="2"/>
    </x:row>
    <x:row r="194" ht="20" customHeight="1">
      <x:c r="C194" s="2" t="str">
        <x:v>Finolex Cables</x:v>
      </x:c>
      <x:c r="D194" s="3"/>
      <x:c r="E194" s="3"/>
      <x:c r="F194" s="3"/>
      <x:c r="G194" s="3"/>
      <x:c r="H194" s="3"/>
      <x:c r="I194" s="3"/>
      <x:c r="J194" s="3"/>
      <x:c r="K194" s="3"/>
      <x:c r="L194" s="3"/>
      <x:c r="M194" s="3"/>
      <x:c r="N194" s="2"/>
      <x:c r="O194" s="2"/>
    </x:row>
    <x:row r="195" ht="44" customHeight="1">
      <x:c r="C195" s="16" t="str">
        <x:v>S15/S20. Debt 0.86 + leases 18.28 crore; cash 163.13; mutual funds 2,457.26. Earmarked bank balances excluded. Associate/JV and strategic stakes excluded from EV bridge: EV multiples are upper-bound operating proxies.</x:v>
      </x:c>
      <x:c r="D195" s="38"/>
      <x:c r="E195" s="38"/>
      <x:c r="F195" s="38"/>
      <x:c r="G195" s="38"/>
      <x:c r="H195" s="38"/>
      <x:c r="I195" s="38"/>
      <x:c r="J195" s="38"/>
      <x:c r="K195" s="38"/>
      <x:c r="L195" s="38"/>
      <x:c r="M195" s="38"/>
      <x:c r="N195" s="2"/>
      <x:c r="O195" s="2"/>
    </x:row>
    <x:row r="196" ht="20" customHeight="1">
      <x:c r="C196" s="2"/>
      <x:c r="D196" s="3"/>
      <x:c r="E196" s="3"/>
      <x:c r="F196" s="3"/>
      <x:c r="G196" s="3"/>
      <x:c r="H196" s="3"/>
      <x:c r="I196" s="3"/>
      <x:c r="J196" s="3"/>
      <x:c r="K196" s="3"/>
      <x:c r="L196" s="3"/>
      <x:c r="M196" s="3"/>
      <x:c r="N196" s="2"/>
      <x:c r="O196" s="2"/>
    </x:row>
    <x:row r="197" ht="20" customHeight="1">
      <x:c r="C197" s="2"/>
      <x:c r="D197" s="3"/>
      <x:c r="E197" s="3"/>
      <x:c r="F197" s="3"/>
      <x:c r="G197" s="3"/>
      <x:c r="H197" s="3"/>
      <x:c r="I197" s="3"/>
      <x:c r="J197" s="3"/>
      <x:c r="K197" s="3"/>
      <x:c r="L197" s="3"/>
      <x:c r="M197" s="3"/>
      <x:c r="N197" s="2"/>
      <x:c r="O197" s="2"/>
    </x:row>
    <x:row r="198" ht="20" customHeight="1">
      <x:c r="C198" s="2" t="str">
        <x:v>V-Guard</x:v>
      </x:c>
      <x:c r="D198" s="3"/>
      <x:c r="E198" s="3"/>
      <x:c r="F198" s="3"/>
      <x:c r="G198" s="3"/>
      <x:c r="H198" s="3"/>
      <x:c r="I198" s="3"/>
      <x:c r="J198" s="3"/>
      <x:c r="K198" s="3"/>
      <x:c r="L198" s="3"/>
      <x:c r="M198" s="3"/>
      <x:c r="N198" s="2"/>
      <x:c r="O198" s="2"/>
    </x:row>
    <x:row r="199" ht="44" customHeight="1">
      <x:c r="C199" s="16" t="str">
        <x:v>S16/S21. Cash/bank 59.30 + current investments 180.70 crore. Provider debt 165 crore includes leases, unlike management net cash which excludes most leases. NCI assumed immaterial for screening.</x:v>
      </x:c>
      <x:c r="D199" s="38"/>
      <x:c r="E199" s="38"/>
      <x:c r="F199" s="38"/>
      <x:c r="G199" s="38"/>
      <x:c r="H199" s="38"/>
      <x:c r="I199" s="38"/>
      <x:c r="J199" s="38"/>
      <x:c r="K199" s="38"/>
      <x:c r="L199" s="38"/>
      <x:c r="M199" s="38"/>
      <x:c r="N199" s="2"/>
      <x:c r="O199" s="2"/>
    </x:row>
    <x:row r="200" ht="20" customHeight="1">
      <x:c r="C200" s="2"/>
      <x:c r="D200" s="3"/>
      <x:c r="E200" s="3"/>
      <x:c r="F200" s="3"/>
      <x:c r="G200" s="3"/>
      <x:c r="H200" s="3"/>
      <x:c r="I200" s="3"/>
      <x:c r="J200" s="3"/>
      <x:c r="K200" s="3"/>
      <x:c r="L200" s="3"/>
      <x:c r="M200" s="3"/>
      <x:c r="N200" s="2"/>
      <x:c r="O200" s="2"/>
    </x:row>
    <x:row r="201" ht="20" customHeight="1">
      <x:c r="C201" s="2"/>
      <x:c r="D201" s="3"/>
      <x:c r="E201" s="3"/>
      <x:c r="F201" s="3"/>
      <x:c r="G201" s="3"/>
      <x:c r="H201" s="3"/>
      <x:c r="I201" s="3"/>
      <x:c r="J201" s="3"/>
      <x:c r="K201" s="3"/>
      <x:c r="L201" s="3"/>
      <x:c r="M201" s="3"/>
      <x:c r="N201" s="2"/>
      <x:c r="O201" s="2"/>
    </x:row>
    <x:row r="202" ht="20" customHeight="1">
      <x:c r="C202" s="2"/>
      <x:c r="D202" s="3"/>
      <x:c r="E202" s="3"/>
      <x:c r="F202" s="3"/>
      <x:c r="G202" s="3"/>
      <x:c r="H202" s="3"/>
      <x:c r="I202" s="3"/>
      <x:c r="J202" s="3"/>
      <x:c r="K202" s="3"/>
      <x:c r="L202" s="3"/>
      <x:c r="M202" s="3"/>
      <x:c r="N202" s="2"/>
      <x:c r="O202" s="2"/>
    </x:row>
    <x:row r="203" ht="20" customHeight="1">
      <x:c r="C203" s="2"/>
      <x:c r="D203" s="3"/>
      <x:c r="E203" s="3"/>
      <x:c r="F203" s="3"/>
      <x:c r="G203" s="3"/>
      <x:c r="H203" s="3"/>
      <x:c r="I203" s="3"/>
      <x:c r="J203" s="3"/>
      <x:c r="K203" s="3"/>
      <x:c r="L203" s="3"/>
      <x:c r="M203" s="3"/>
      <x:c r="N203" s="2"/>
      <x:c r="O203" s="2"/>
    </x:row>
    <x:row r="204" ht="44" customHeight="1">
      <x:c r="C204" s="16" t="str">
        <x:v>EV is a screening proxy: current market cap plus FY26 borrowings/leases and identified acceptances, plus NCI, less included liquid assets. Book claims proxy market value. Unidentified supplier finance, restrictions and strategic holdings need diligence before investment use.</x:v>
      </x:c>
      <x:c r="D204" s="38"/>
      <x:c r="E204" s="38"/>
      <x:c r="F204" s="38"/>
      <x:c r="G204" s="38"/>
      <x:c r="H204" s="38"/>
      <x:c r="I204" s="38"/>
      <x:c r="J204" s="38"/>
      <x:c r="K204" s="38"/>
      <x:c r="L204" s="38"/>
      <x:c r="M204" s="38"/>
      <x:c r="N204" s="2"/>
      <x:c r="O204" s="2"/>
    </x:row>
    <x:row r="205" ht="20" customHeight="1">
      <x:c r="C205" s="2"/>
      <x:c r="D205" s="3"/>
      <x:c r="E205" s="3"/>
      <x:c r="F205" s="3"/>
      <x:c r="G205" s="3"/>
      <x:c r="H205" s="3"/>
      <x:c r="I205" s="3"/>
      <x:c r="J205" s="3"/>
      <x:c r="K205" s="3"/>
      <x:c r="L205" s="3"/>
      <x:c r="M205" s="3"/>
      <x:c r="N205" s="2"/>
      <x:c r="O205" s="2"/>
    </x:row>
    <x:row r="206" ht="44" customHeight="1">
      <x:c r="C206" s="16" t="str">
        <x:v>Provider ROCE is retained on one common provider basis. It is not the same as management ROCE or the model ROIC. P/E uses price / source EPS, avoiding mismatched current and weighted-average share counts.</x:v>
      </x:c>
      <x:c r="D206" s="38"/>
      <x:c r="E206" s="38"/>
      <x:c r="F206" s="38"/>
      <x:c r="G206" s="38"/>
      <x:c r="H206" s="38"/>
      <x:c r="I206" s="38"/>
      <x:c r="J206" s="38"/>
      <x:c r="K206" s="38"/>
      <x:c r="L206" s="38"/>
      <x:c r="M206" s="38"/>
      <x:c r="N206" s="2"/>
      <x:c r="O206" s="2"/>
    </x:row>
    <x:row r="207" ht="20" customHeight="1">
      <x:c r="C207" s="2"/>
      <x:c r="D207" s="3"/>
      <x:c r="E207" s="3"/>
      <x:c r="F207" s="3"/>
      <x:c r="G207" s="3"/>
      <x:c r="H207" s="3"/>
      <x:c r="I207" s="3"/>
      <x:c r="J207" s="3"/>
      <x:c r="K207" s="3"/>
      <x:c r="L207" s="3"/>
      <x:c r="M207" s="3"/>
      <x:c r="N207" s="2"/>
      <x:c r="O207" s="2"/>
    </x:row>
    <x:row r="208" ht="44" customHeight="1">
      <x:c r="C208" s="16" t="str">
        <x:v>No verified forward consensus is used for peers. FY26 and TTM multiples are separate. KEI and RR Kabel are the closer operating comparisons; Havells/V-Guard have broader consumer mixes and Finolex has material investment income.</x:v>
      </x:c>
      <x:c r="D208" s="38"/>
      <x:c r="E208" s="38"/>
      <x:c r="F208" s="38"/>
      <x:c r="G208" s="38"/>
      <x:c r="H208" s="38"/>
      <x:c r="I208" s="38"/>
      <x:c r="J208" s="38"/>
      <x:c r="K208" s="38"/>
      <x:c r="L208" s="38"/>
      <x:c r="M208" s="38"/>
      <x:c r="N208" s="2"/>
      <x:c r="O208" s="2"/>
    </x:row>
    <x:row r="209" ht="20" customHeight="1">
      <x:c r="C209" s="2"/>
      <x:c r="D209" s="3"/>
      <x:c r="E209" s="3"/>
      <x:c r="F209" s="3"/>
      <x:c r="G209" s="3"/>
      <x:c r="H209" s="3"/>
      <x:c r="I209" s="3"/>
      <x:c r="J209" s="3"/>
      <x:c r="K209" s="3"/>
      <x:c r="L209" s="3"/>
      <x:c r="M209" s="3"/>
      <x:c r="N209" s="2"/>
      <x:c r="O209" s="2"/>
    </x:row>
    <x:row r="210" ht="20" customHeight="1">
      <x:c r="C210" s="2"/>
      <x:c r="D210" s="3"/>
      <x:c r="E210" s="3"/>
      <x:c r="F210" s="3"/>
      <x:c r="G210" s="3"/>
      <x:c r="H210" s="3"/>
      <x:c r="I210" s="3"/>
      <x:c r="J210" s="3"/>
      <x:c r="K210" s="3"/>
      <x:c r="L210" s="3"/>
      <x:c r="M210" s="3"/>
      <x:c r="N210" s="2"/>
      <x:c r="O210" s="2"/>
    </x:row>
    <x:row r="211" ht="20" customHeight="1">
      <x:c r="C211" s="2"/>
      <x:c r="D211" s="3"/>
      <x:c r="E211" s="3"/>
      <x:c r="F211" s="3"/>
      <x:c r="G211" s="3"/>
      <x:c r="H211" s="3"/>
      <x:c r="I211" s="3"/>
      <x:c r="J211" s="3"/>
      <x:c r="K211" s="3"/>
      <x:c r="L211" s="3"/>
      <x:c r="M211" s="3"/>
      <x:c r="N211" s="2"/>
      <x:c r="O211" s="2"/>
    </x:row>
    <x:row r="212" ht="44" customHeight="1">
      <x:c r="C212" s="16" t="str">
        <x:v>Remaining gaps: aggregate asset depreciation, analyst beta, current option dilution, exact dividend register, ESOP proceeds, bank restrictions and peer strategic stakes. September financing balances are model estimates, not reported actuals.</x:v>
      </x:c>
      <x:c r="D212" s="38"/>
      <x:c r="E212" s="38"/>
      <x:c r="F212" s="38"/>
      <x:c r="G212" s="38"/>
      <x:c r="H212" s="38"/>
      <x:c r="I212" s="38"/>
      <x:c r="J212" s="38"/>
      <x:c r="K212" s="38"/>
      <x:c r="L212" s="38"/>
      <x:c r="M212" s="38"/>
      <x:c r="N212" s="2"/>
      <x:c r="O212" s="2"/>
    </x:row>
    <x:row r="213" ht="20" customHeight="1">
      <x:c r="C213" s="2"/>
      <x:c r="D213" s="3"/>
      <x:c r="E213" s="3"/>
      <x:c r="F213" s="3"/>
      <x:c r="G213" s="3"/>
      <x:c r="H213" s="3"/>
      <x:c r="I213" s="3"/>
      <x:c r="J213" s="3"/>
      <x:c r="K213" s="3"/>
      <x:c r="L213" s="3"/>
      <x:c r="M213" s="3"/>
      <x:c r="N213" s="2"/>
      <x:c r="O213" s="2"/>
    </x:row>
    <x:row r="214" ht="44" customHeight="1">
      <x:c r="C214" s="16" t="str">
        <x:v>Forecast assumes no unannounced acquisitions, asset disposals, equity issues or OCI gains. Treasury yield is based on opening balances. Same-year dividend payment simplifies actual payment lags.</x:v>
      </x:c>
      <x:c r="D214" s="38"/>
      <x:c r="E214" s="38"/>
      <x:c r="F214" s="38"/>
      <x:c r="G214" s="38"/>
      <x:c r="H214" s="38"/>
      <x:c r="I214" s="38"/>
      <x:c r="J214" s="38"/>
      <x:c r="K214" s="38"/>
      <x:c r="L214" s="38"/>
      <x:c r="M214" s="38"/>
      <x:c r="N214" s="2"/>
      <x:c r="O214" s="2"/>
    </x:row>
    <x:row r="215" ht="20" customHeight="1">
      <x:c r="C215" s="2"/>
      <x:c r="D215" s="3"/>
      <x:c r="E215" s="3"/>
      <x:c r="F215" s="3"/>
      <x:c r="G215" s="3"/>
      <x:c r="H215" s="3"/>
      <x:c r="I215" s="3"/>
      <x:c r="J215" s="3"/>
      <x:c r="K215" s="3"/>
      <x:c r="L215" s="3"/>
      <x:c r="M215" s="3"/>
      <x:c r="N215" s="2"/>
      <x:c r="O215" s="2"/>
    </x:row>
    <x:row r="216" ht="44" customHeight="1">
      <x:c r="C216" s="16" t="str">
        <x:v>Source conflicts and historical residuals from the prior workbook remain visible. Forecasts contain no unexplained balance-sheet plug. Export targets and ROCE definitions are not conflated with modeled results.</x:v>
      </x:c>
      <x:c r="D216" s="38"/>
      <x:c r="E216" s="38"/>
      <x:c r="F216" s="38"/>
      <x:c r="G216" s="38"/>
      <x:c r="H216" s="38"/>
      <x:c r="I216" s="38"/>
      <x:c r="J216" s="38"/>
      <x:c r="K216" s="38"/>
      <x:c r="L216" s="38"/>
      <x:c r="M216" s="38"/>
      <x:c r="N216" s="2"/>
      <x:c r="O216" s="2"/>
    </x:row>
    <x:row r="217" ht="20" customHeight="1">
      <x:c r="C217" s="2"/>
      <x:c r="D217" s="3"/>
      <x:c r="E217" s="3"/>
      <x:c r="F217" s="3"/>
      <x:c r="G217" s="3"/>
      <x:c r="H217" s="3"/>
      <x:c r="I217" s="3"/>
      <x:c r="J217" s="3"/>
      <x:c r="K217" s="3"/>
      <x:c r="L217" s="3"/>
      <x:c r="M217" s="3"/>
      <x:c r="N217" s="2"/>
      <x:c r="O217" s="2"/>
    </x:row>
    <x:row r="218" ht="20" customHeight="1">
      <x:c r="C218" s="2"/>
      <x:c r="D218" s="3"/>
      <x:c r="E218" s="3"/>
      <x:c r="F218" s="3"/>
      <x:c r="G218" s="3"/>
      <x:c r="H218" s="3"/>
      <x:c r="I218" s="3"/>
      <x:c r="J218" s="3"/>
      <x:c r="K218" s="3"/>
      <x:c r="L218" s="3"/>
      <x:c r="M218" s="3"/>
      <x:c r="N218" s="2"/>
      <x:c r="O218" s="2"/>
    </x:row>
    <x:row r="219" ht="20" customHeight="1">
      <x:c r="C219" s="2"/>
      <x:c r="D219" s="3"/>
      <x:c r="E219" s="3"/>
      <x:c r="F219" s="3"/>
      <x:c r="G219" s="3"/>
      <x:c r="H219" s="3"/>
      <x:c r="I219" s="3"/>
      <x:c r="J219" s="3"/>
      <x:c r="K219" s="3"/>
      <x:c r="L219" s="3"/>
      <x:c r="M219" s="3"/>
      <x:c r="N219" s="2"/>
      <x:c r="O219" s="2"/>
    </x:row>
    <x:row r="220" ht="20" customHeight="1">
      <x:c r="C220" s="2"/>
      <x:c r="D220" s="3"/>
      <x:c r="E220" s="3"/>
      <x:c r="F220" s="3"/>
      <x:c r="G220" s="3"/>
      <x:c r="H220" s="3"/>
      <x:c r="I220" s="3"/>
      <x:c r="J220" s="3"/>
      <x:c r="K220" s="3"/>
      <x:c r="L220" s="3"/>
      <x:c r="M220" s="3"/>
      <x:c r="N220" s="2"/>
      <x:c r="O220" s="2"/>
    </x:row>
    <x:row r="221" ht="20" customHeight="1">
      <x:c r="C221" s="2"/>
      <x:c r="D221" s="3"/>
      <x:c r="E221" s="3"/>
      <x:c r="F221" s="3"/>
      <x:c r="G221" s="3"/>
      <x:c r="H221" s="3"/>
      <x:c r="I221" s="3"/>
      <x:c r="J221" s="3"/>
      <x:c r="K221" s="3"/>
      <x:c r="L221" s="3"/>
      <x:c r="M221" s="3"/>
      <x:c r="N221" s="2"/>
      <x:c r="O221" s="2"/>
    </x:row>
    <x:row r="222" ht="20" customHeight="1">
      <x:c r="C222" s="2"/>
      <x:c r="D222" s="3"/>
      <x:c r="E222" s="3"/>
      <x:c r="F222" s="3"/>
      <x:c r="G222" s="3"/>
      <x:c r="H222" s="3"/>
      <x:c r="I222" s="3"/>
      <x:c r="J222" s="3"/>
      <x:c r="K222" s="3"/>
      <x:c r="L222" s="3"/>
      <x:c r="M222" s="3"/>
      <x:c r="N222" s="2"/>
      <x:c r="O222" s="2"/>
    </x:row>
    <x:row r="223" ht="20" customHeight="1">
      <x:c r="C223" s="2"/>
      <x:c r="D223" s="3"/>
      <x:c r="E223" s="3"/>
      <x:c r="F223" s="3"/>
      <x:c r="G223" s="3"/>
      <x:c r="H223" s="3"/>
      <x:c r="I223" s="3"/>
      <x:c r="J223" s="3"/>
      <x:c r="K223" s="3"/>
      <x:c r="L223" s="3"/>
      <x:c r="M223" s="3"/>
      <x:c r="N223" s="2"/>
      <x:c r="O223" s="2"/>
    </x:row>
    <x:row r="224" ht="20" customHeight="1">
      <x:c r="C224" s="2"/>
      <x:c r="D224" s="3"/>
      <x:c r="E224" s="3"/>
      <x:c r="F224" s="3"/>
      <x:c r="G224" s="3"/>
      <x:c r="H224" s="3"/>
      <x:c r="I224" s="3"/>
      <x:c r="J224" s="3"/>
      <x:c r="K224" s="3"/>
      <x:c r="L224" s="3"/>
      <x:c r="M224" s="3"/>
      <x:c r="N224" s="2"/>
      <x:c r="O224" s="2"/>
    </x:row>
    <x:row r="225" ht="20" customHeight="1">
      <x:c r="C225" s="2"/>
      <x:c r="D225" s="3"/>
      <x:c r="E225" s="3"/>
      <x:c r="F225" s="3"/>
      <x:c r="G225" s="3"/>
      <x:c r="H225" s="3"/>
      <x:c r="I225" s="3"/>
      <x:c r="J225" s="3"/>
      <x:c r="K225" s="3"/>
      <x:c r="L225" s="3"/>
      <x:c r="M225" s="3"/>
      <x:c r="N225" s="2"/>
      <x:c r="O225" s="2"/>
    </x:row>
    <x:row r="226" ht="20" customHeight="1">
      <x:c r="C226" s="2"/>
      <x:c r="D226" s="3"/>
      <x:c r="E226" s="3"/>
      <x:c r="F226" s="3"/>
      <x:c r="G226" s="3"/>
      <x:c r="H226" s="3"/>
      <x:c r="I226" s="3"/>
      <x:c r="J226" s="3"/>
      <x:c r="K226" s="3"/>
      <x:c r="L226" s="3"/>
      <x:c r="M226" s="3"/>
      <x:c r="N226" s="2"/>
      <x:c r="O226" s="2"/>
    </x:row>
    <x:row r="227" ht="20" customHeight="1">
      <x:c r="C227" s="2"/>
      <x:c r="D227" s="3"/>
      <x:c r="E227" s="3"/>
      <x:c r="F227" s="3"/>
      <x:c r="G227" s="3"/>
      <x:c r="H227" s="3"/>
      <x:c r="I227" s="3"/>
      <x:c r="J227" s="3"/>
      <x:c r="K227" s="3"/>
      <x:c r="L227" s="3"/>
      <x:c r="M227" s="3"/>
      <x:c r="N227" s="2"/>
      <x:c r="O227" s="2"/>
    </x:row>
    <x:row r="228" ht="20" customHeight="1">
      <x:c r="C228" s="2"/>
      <x:c r="D228" s="3"/>
      <x:c r="E228" s="3"/>
      <x:c r="F228" s="3"/>
      <x:c r="G228" s="3"/>
      <x:c r="H228" s="3"/>
      <x:c r="I228" s="3"/>
      <x:c r="J228" s="3"/>
      <x:c r="K228" s="3"/>
      <x:c r="L228" s="3"/>
      <x:c r="M228" s="3"/>
      <x:c r="N228" s="2"/>
      <x:c r="O228" s="2"/>
    </x:row>
    <x:row r="229" ht="20" customHeight="1">
      <x:c r="C229" s="2"/>
      <x:c r="D229" s="3"/>
      <x:c r="E229" s="3"/>
      <x:c r="F229" s="3"/>
      <x:c r="G229" s="3"/>
      <x:c r="H229" s="3"/>
      <x:c r="I229" s="3"/>
      <x:c r="J229" s="3"/>
      <x:c r="K229" s="3"/>
      <x:c r="L229" s="3"/>
      <x:c r="M229" s="3"/>
      <x:c r="N229" s="2"/>
      <x:c r="O229" s="2"/>
    </x:row>
    <x:row r="230" ht="20" customHeight="1">
      <x:c r="C230" s="2"/>
      <x:c r="D230" s="3"/>
      <x:c r="E230" s="3"/>
      <x:c r="F230" s="3"/>
      <x:c r="G230" s="3"/>
      <x:c r="H230" s="3"/>
      <x:c r="I230" s="3"/>
      <x:c r="J230" s="3"/>
      <x:c r="K230" s="3"/>
      <x:c r="L230" s="3"/>
      <x:c r="M230" s="3"/>
      <x:c r="N230" s="2"/>
      <x:c r="O230" s="2"/>
    </x:row>
    <x:row r="231" ht="20" customHeight="1">
      <x:c r="C231" s="2"/>
      <x:c r="D231" s="3"/>
      <x:c r="E231" s="3"/>
      <x:c r="F231" s="3"/>
      <x:c r="G231" s="3"/>
      <x:c r="H231" s="3"/>
      <x:c r="I231" s="3"/>
      <x:c r="J231" s="3"/>
      <x:c r="K231" s="3"/>
      <x:c r="L231" s="3"/>
      <x:c r="M231" s="3"/>
      <x:c r="N231" s="2"/>
      <x:c r="O231" s="2"/>
    </x:row>
    <x:row r="232" ht="24" customHeight="1">
      <x:c r="C232" s="80" t="str">
        <x:v>DCF input sources and valuation conventions</x:v>
      </x:c>
      <x:c r="D232" s="81"/>
      <x:c r="E232" s="81"/>
      <x:c r="F232" s="81"/>
      <x:c r="G232" s="81"/>
      <x:c r="H232" s="81"/>
      <x:c r="I232" s="81"/>
      <x:c r="J232" s="81"/>
      <x:c r="K232" s="81"/>
      <x:c r="L232" s="81"/>
      <x:c r="M232" s="81"/>
      <x:c r="N232" s="2"/>
      <x:c r="O232" s="2"/>
    </x:row>
    <x:row r="233" ht="20" customHeight="1">
      <x:c r="C233" s="2"/>
      <x:c r="D233" s="3"/>
      <x:c r="E233" s="3"/>
      <x:c r="F233" s="3"/>
      <x:c r="G233" s="3"/>
      <x:c r="H233" s="3"/>
      <x:c r="I233" s="3"/>
      <x:c r="J233" s="3"/>
      <x:c r="K233" s="3"/>
      <x:c r="L233" s="3"/>
      <x:c r="M233" s="3"/>
      <x:c r="N233" s="2"/>
      <x:c r="O233" s="2"/>
    </x:row>
    <x:row r="234" ht="20" customHeight="1">
      <x:c r="C234" s="2" t="str">
        <x:v>DCF cash-flow anchor</x:v>
      </x:c>
      <x:c r="D234" s="3"/>
      <x:c r="E234" s="3"/>
      <x:c r="F234" s="3"/>
      <x:c r="G234" s="3"/>
      <x:c r="H234" s="107" t="n">
        <x:v>46112</x:v>
      </x:c>
      <x:c r="I234" s="3"/>
      <x:c r="J234" s="3"/>
      <x:c r="K234" s="3"/>
      <x:c r="L234" s="3"/>
      <x:c r="M234" s="3"/>
      <x:c r="N234" s="2"/>
      <x:c r="O234" s="2"/>
    </x:row>
    <x:row r="235" ht="20" customHeight="1">
      <x:c r="C235" s="2" t="str">
        <x:v>Research / market review date</x:v>
      </x:c>
      <x:c r="D235" s="3"/>
      <x:c r="E235" s="3"/>
      <x:c r="F235" s="3"/>
      <x:c r="G235" s="3"/>
      <x:c r="H235" s="107" t="n">
        <x:v>46280</x:v>
      </x:c>
      <x:c r="I235" s="3"/>
      <x:c r="J235" s="3"/>
      <x:c r="K235" s="3"/>
      <x:c r="L235" s="3"/>
      <x:c r="M235" s="3"/>
      <x:c r="N235" s="2"/>
      <x:c r="O235" s="2"/>
    </x:row>
    <x:row r="236" ht="32" customHeight="1">
      <x:c r="C236" s="24" t="str">
        <x:v>India 10Y government yield</x:v>
      </x:c>
      <x:c r="D236" s="25"/>
      <x:c r="E236" s="25"/>
      <x:c r="F236" s="25"/>
      <x:c r="G236" s="25"/>
      <x:c r="H236" s="39" t="n">
        <x:v>0.0702</x:v>
      </x:c>
      <x:c r="I236" s="25"/>
      <x:c r="J236" s="25"/>
      <x:c r="K236" s="25"/>
      <x:c r="L236" s="25"/>
      <x:c r="M236" s="25"/>
      <x:c r="N236" s="2"/>
      <x:c r="O236" s="16" t="str">
        <x:v>S22: India 10-year yield, 11 September 2026, 7.02%. Sovereign yield is adjusted for estimated default risk below.</x:v>
      </x:c>
    </x:row>
    <x:row r="237" ht="44" customHeight="1">
      <x:c r="C237" s="24" t="str">
        <x:v>India sovereign default spread</x:v>
      </x:c>
      <x:c r="D237" s="25"/>
      <x:c r="E237" s="25"/>
      <x:c r="F237" s="25"/>
      <x:c r="G237" s="25"/>
      <x:c r="H237" s="39" t="n">
        <x:v>0.0187</x:v>
      </x:c>
      <x:c r="I237" s="25"/>
      <x:c r="J237" s="25"/>
      <x:c r="K237" s="25"/>
      <x:c r="L237" s="25"/>
      <x:c r="M237" s="25"/>
      <x:c r="N237" s="2"/>
      <x:c r="O237" s="16" t="str">
        <x:v>S23: Damodaran January 5, 2026 country table. India default spread 1.87%; mature ERP 4.23%; India CRP 2.85%. Dated estimates, not claimed to be September measurements.</x:v>
      </x:c>
    </x:row>
    <x:row r="238" ht="20" customHeight="1">
      <x:c r="C238" s="24" t="str">
        <x:v>Mature-market equity risk premium</x:v>
      </x:c>
      <x:c r="D238" s="25"/>
      <x:c r="E238" s="25"/>
      <x:c r="F238" s="25"/>
      <x:c r="G238" s="25"/>
      <x:c r="H238" s="39" t="n">
        <x:v>0.0423</x:v>
      </x:c>
      <x:c r="I238" s="25"/>
      <x:c r="J238" s="25"/>
      <x:c r="K238" s="25"/>
      <x:c r="L238" s="25"/>
      <x:c r="M238" s="25"/>
      <x:c r="N238" s="2"/>
      <x:c r="O238" s="2"/>
    </x:row>
    <x:row r="239" ht="20" customHeight="1">
      <x:c r="C239" s="24" t="str">
        <x:v>India country equity risk premium</x:v>
      </x:c>
      <x:c r="D239" s="25"/>
      <x:c r="E239" s="25"/>
      <x:c r="F239" s="25"/>
      <x:c r="G239" s="25"/>
      <x:c r="H239" s="39" t="n">
        <x:v>0.0285</x:v>
      </x:c>
      <x:c r="I239" s="25"/>
      <x:c r="J239" s="25"/>
      <x:c r="K239" s="25"/>
      <x:c r="L239" s="25"/>
      <x:c r="M239" s="25"/>
      <x:c r="N239" s="2"/>
      <x:c r="O239" s="2"/>
    </x:row>
    <x:row r="240" ht="44" customHeight="1">
      <x:c r="C240" s="2" t="str">
        <x:v>Levered operating beta</x:v>
      </x:c>
      <x:c r="D240" s="3"/>
      <x:c r="E240" s="3"/>
      <x:c r="F240" s="3"/>
      <x:c r="G240" s="3"/>
      <x:c r="H240" s="17" t="n">
        <x:v>1.1</x:v>
      </x:c>
      <x:c r="I240" s="3"/>
      <x:c r="J240" s="3"/>
      <x:c r="K240" s="3"/>
      <x:c r="L240" s="3"/>
      <x:c r="M240" s="3"/>
      <x:c r="N240" s="2"/>
      <x:c r="O240" s="16" t="str">
        <x:v>Analyst levered beta 1.10: modest above-market cyclical exposure. No regression beta claimed. Sensitivity range tests discount-rate uncertainty. Country exposure lambda assumed 1.0.</x:v>
      </x:c>
    </x:row>
    <x:row r="241" ht="32" customHeight="1">
      <x:c r="C241" s="24" t="str">
        <x:v>Pre-tax borrowing rate</x:v>
      </x:c>
      <x:c r="D241" s="25"/>
      <x:c r="E241" s="25"/>
      <x:c r="F241" s="25"/>
      <x:c r="G241" s="25"/>
      <x:c r="H241" s="26" t="n">
        <x:f>'02_Drivers+Scenarios'!I124</x:f>
        <x:v>0.08087976158980067</x:v>
      </x:c>
      <x:c r="I241" s="25"/>
      <x:c r="J241" s="25"/>
      <x:c r="K241" s="25"/>
      <x:c r="L241" s="25"/>
      <x:c r="M241" s="25"/>
      <x:c r="N241" s="2"/>
      <x:c r="O241" s="16" t="str">
        <x:v>Historical all-in finance cost / average funded obligations from operating drivers. Proxy includes LC costs, not a quoted incremental loan coupon.</x:v>
      </x:c>
    </x:row>
    <x:row r="242" ht="44" customHeight="1">
      <x:c r="C242" s="24" t="str">
        <x:v>Terminal nominal growth</x:v>
      </x:c>
      <x:c r="D242" s="25"/>
      <x:c r="E242" s="25"/>
      <x:c r="F242" s="25"/>
      <x:c r="G242" s="25"/>
      <x:c r="H242" s="39" t="n">
        <x:v>0.04</x:v>
      </x:c>
      <x:c r="I242" s="25"/>
      <x:c r="J242" s="25"/>
      <x:c r="K242" s="25"/>
      <x:c r="L242" s="25"/>
      <x:c r="M242" s="25"/>
      <x:c r="N242" s="2"/>
      <x:c r="O242" s="16" t="str">
        <x:v>Analyst 4% nominal perpetual growth, below explicit growth and below WACC/terminal ROIC. Retain reinvestment = terminal NOPAT × growth / terminal ROIC.</x:v>
      </x:c>
    </x:row>
    <x:row r="243" ht="20" customHeight="1">
      <x:c r="C243" s="2" t="str">
        <x:v>Operating cash reserve at FY26</x:v>
      </x:c>
      <x:c r="D243" s="3"/>
      <x:c r="E243" s="3"/>
      <x:c r="F243" s="3"/>
      <x:c r="G243" s="3"/>
      <x:c r="H243" s="22" t="n">
        <x:f>'01_Historical+Segments'!H184</x:f>
        <x:v>3903.43</x:v>
      </x:c>
      <x:c r="I243" s="3"/>
      <x:c r="J243" s="3"/>
      <x:c r="K243" s="3"/>
      <x:c r="L243" s="3"/>
      <x:c r="M243" s="3"/>
      <x:c r="N243" s="2"/>
      <x:c r="O243" s="2"/>
    </x:row>
    <x:row r="244" ht="20" customHeight="1">
      <x:c r="C244" s="2" t="str">
        <x:v>Other bank balances reserved</x:v>
      </x:c>
      <x:c r="D244" s="3"/>
      <x:c r="E244" s="3"/>
      <x:c r="F244" s="3"/>
      <x:c r="G244" s="3"/>
      <x:c r="H244" s="22" t="n">
        <x:f>'01_Historical+Segments'!H185</x:f>
        <x:v>4921.27</x:v>
      </x:c>
      <x:c r="I244" s="3"/>
      <x:c r="J244" s="3"/>
      <x:c r="K244" s="3"/>
      <x:c r="L244" s="3"/>
      <x:c r="M244" s="3"/>
      <x:c r="N244" s="2"/>
      <x:c r="O244" s="2"/>
    </x:row>
    <x:row r="245" ht="20" customHeight="1">
      <x:c r="C245" s="2" t="str">
        <x:v>New risk inputs publication date</x:v>
      </x:c>
      <x:c r="D245" s="3"/>
      <x:c r="E245" s="3"/>
      <x:c r="F245" s="3"/>
      <x:c r="G245" s="3"/>
      <x:c r="H245" s="3" t="str">
        <x:v>05-Jan-2026</x:v>
      </x:c>
      <x:c r="I245" s="3"/>
      <x:c r="J245" s="3"/>
      <x:c r="K245" s="3"/>
      <x:c r="L245" s="3"/>
      <x:c r="M245" s="3"/>
      <x:c r="N245" s="2"/>
      <x:c r="O245" s="2"/>
    </x:row>
    <x:row r="246" ht="20" customHeight="1">
      <x:c r="C246" s="2"/>
      <x:c r="D246" s="3"/>
      <x:c r="E246" s="3"/>
      <x:c r="F246" s="3"/>
      <x:c r="G246" s="3"/>
      <x:c r="H246" s="3"/>
      <x:c r="I246" s="3"/>
      <x:c r="J246" s="3"/>
      <x:c r="K246" s="3"/>
      <x:c r="L246" s="3"/>
      <x:c r="M246" s="3"/>
      <x:c r="N246" s="2"/>
      <x:c r="O246" s="2"/>
    </x:row>
    <x:row r="247" ht="20" customHeight="1">
      <x:c r="C247" s="2"/>
      <x:c r="D247" s="3"/>
      <x:c r="E247" s="3"/>
      <x:c r="F247" s="3"/>
      <x:c r="G247" s="3"/>
      <x:c r="H247" s="3"/>
      <x:c r="I247" s="3"/>
      <x:c r="J247" s="3"/>
      <x:c r="K247" s="3"/>
      <x:c r="L247" s="3"/>
      <x:c r="M247" s="3"/>
      <x:c r="N247" s="2"/>
      <x:c r="O247" s="2"/>
    </x:row>
    <x:row r="248" ht="44" customHeight="1">
      <x:c r="C248" s="16" t="str">
        <x:v>The top DCF block preserves the March cash-flow anchor for comparison. The September block discounts only remaining forecast cash flows and uses estimated September financing claims and updated share proxies.</x:v>
      </x:c>
      <x:c r="D248" s="38"/>
      <x:c r="E248" s="38"/>
      <x:c r="F248" s="38"/>
      <x:c r="G248" s="38"/>
      <x:c r="H248" s="38"/>
      <x:c r="I248" s="38"/>
      <x:c r="J248" s="38"/>
      <x:c r="K248" s="38"/>
      <x:c r="L248" s="38"/>
      <x:c r="M248" s="38"/>
      <x:c r="N248" s="2"/>
      <x:c r="O248" s="2"/>
    </x:row>
    <x:row r="249" ht="20" customHeight="1">
      <x:c r="C249" s="2"/>
      <x:c r="D249" s="3"/>
      <x:c r="E249" s="3"/>
      <x:c r="F249" s="3"/>
      <x:c r="G249" s="3"/>
      <x:c r="H249" s="3"/>
      <x:c r="I249" s="3"/>
      <x:c r="J249" s="3"/>
      <x:c r="K249" s="3"/>
      <x:c r="L249" s="3"/>
      <x:c r="M249" s="3"/>
      <x:c r="N249" s="2"/>
      <x:c r="O249" s="2"/>
    </x:row>
    <x:row r="250" ht="20" customHeight="1">
      <x:c r="C250" s="2"/>
      <x:c r="D250" s="3"/>
      <x:c r="E250" s="3"/>
      <x:c r="F250" s="3"/>
      <x:c r="G250" s="3"/>
      <x:c r="H250" s="3"/>
      <x:c r="I250" s="3"/>
      <x:c r="J250" s="3"/>
      <x:c r="K250" s="3"/>
      <x:c r="L250" s="3"/>
      <x:c r="M250" s="3"/>
      <x:c r="N250" s="2"/>
      <x:c r="O250" s="2"/>
    </x:row>
    <x:row r="251" ht="20" customHeight="1">
      <x:c r="C251" s="2"/>
      <x:c r="D251" s="3"/>
      <x:c r="E251" s="3"/>
      <x:c r="F251" s="3"/>
      <x:c r="G251" s="3"/>
      <x:c r="H251" s="3"/>
      <x:c r="I251" s="3"/>
      <x:c r="J251" s="3"/>
      <x:c r="K251" s="3"/>
      <x:c r="L251" s="3"/>
      <x:c r="M251" s="3"/>
      <x:c r="N251" s="2"/>
      <x:c r="O251" s="2"/>
    </x:row>
    <x:row r="252" ht="24" customHeight="1">
      <x:c r="C252" s="80" t="str">
        <x:v>Additional source register</x:v>
      </x:c>
      <x:c r="D252" s="81"/>
      <x:c r="E252" s="81"/>
      <x:c r="F252" s="81"/>
      <x:c r="G252" s="81"/>
      <x:c r="H252" s="81"/>
      <x:c r="I252" s="81"/>
      <x:c r="J252" s="81"/>
      <x:c r="K252" s="81"/>
      <x:c r="L252" s="81"/>
      <x:c r="M252" s="81"/>
      <x:c r="N252" s="2"/>
      <x:c r="O252" s="2"/>
    </x:row>
    <x:row r="253" ht="20" customHeight="1">
      <x:c r="C253" s="2"/>
      <x:c r="D253" s="3"/>
      <x:c r="E253" s="3"/>
      <x:c r="F253" s="3"/>
      <x:c r="G253" s="3"/>
      <x:c r="H253" s="3"/>
      <x:c r="I253" s="3"/>
      <x:c r="J253" s="3"/>
      <x:c r="K253" s="3"/>
      <x:c r="L253" s="3"/>
      <x:c r="M253" s="3"/>
      <x:c r="N253" s="2"/>
      <x:c r="O253" s="2"/>
    </x:row>
    <x:row r="254" ht="20" customHeight="1">
      <x:c r="C254" s="2" t="str">
        <x:v>S11</x:v>
      </x:c>
      <x:c r="D254" s="3" t="str">
        <x:v>Polycab market and standardized financial inputs</x:v>
      </x:c>
      <x:c r="E254" s="3"/>
      <x:c r="F254" s="3"/>
      <x:c r="G254" s="3"/>
      <x:c r="H254" s="3"/>
      <x:c r="I254" s="3"/>
      <x:c r="J254" s="3"/>
      <x:c r="K254" s="3"/>
      <x:c r="L254" s="3"/>
      <x:c r="M254" s="3"/>
      <x:c r="N254" s="2"/>
      <x:c r="O254" s="2"/>
    </x:row>
    <x:row r="255" ht="32" customHeight="1">
      <x:c r="C255" s="2"/>
      <x:c r="D255" s="38" t="str">
        <x:v>https://www.screener.in/company/POLYCAB/consolidated/</x:v>
      </x:c>
      <x:c r="E255" s="38"/>
      <x:c r="F255" s="38"/>
      <x:c r="G255" s="38"/>
      <x:c r="H255" s="38"/>
      <x:c r="I255" s="38"/>
      <x:c r="J255" s="38"/>
      <x:c r="K255" s="38"/>
      <x:c r="L255" s="38"/>
      <x:c r="M255" s="38"/>
      <x:c r="N255" s="2"/>
      <x:c r="O255" s="2"/>
    </x:row>
    <x:row r="256" ht="20" customHeight="1">
      <x:c r="C256" s="2"/>
      <x:c r="D256" s="3"/>
      <x:c r="E256" s="3"/>
      <x:c r="F256" s="3"/>
      <x:c r="G256" s="3"/>
      <x:c r="H256" s="3"/>
      <x:c r="I256" s="3"/>
      <x:c r="J256" s="3"/>
      <x:c r="K256" s="3"/>
      <x:c r="L256" s="3"/>
      <x:c r="M256" s="3"/>
      <x:c r="N256" s="2"/>
      <x:c r="O256" s="2"/>
    </x:row>
    <x:row r="257" ht="20" customHeight="1">
      <x:c r="C257" s="2"/>
      <x:c r="D257" s="3"/>
      <x:c r="E257" s="3"/>
      <x:c r="F257" s="3"/>
      <x:c r="G257" s="3"/>
      <x:c r="H257" s="3"/>
      <x:c r="I257" s="3"/>
      <x:c r="J257" s="3"/>
      <x:c r="K257" s="3"/>
      <x:c r="L257" s="3"/>
      <x:c r="M257" s="3"/>
      <x:c r="N257" s="2"/>
      <x:c r="O257" s="2"/>
    </x:row>
    <x:row r="258" ht="20" customHeight="1">
      <x:c r="C258" s="2" t="str">
        <x:v>S12</x:v>
      </x:c>
      <x:c r="D258" s="3" t="str">
        <x:v>KEI Industries market and standardized financial inputs</x:v>
      </x:c>
      <x:c r="E258" s="3"/>
      <x:c r="F258" s="3"/>
      <x:c r="G258" s="3"/>
      <x:c r="H258" s="3"/>
      <x:c r="I258" s="3"/>
      <x:c r="J258" s="3"/>
      <x:c r="K258" s="3"/>
      <x:c r="L258" s="3"/>
      <x:c r="M258" s="3"/>
      <x:c r="N258" s="2"/>
      <x:c r="O258" s="2"/>
    </x:row>
    <x:row r="259" ht="32" customHeight="1">
      <x:c r="C259" s="2"/>
      <x:c r="D259" s="38" t="str">
        <x:v>https://www.screener.in/company/KEI/consolidated/</x:v>
      </x:c>
      <x:c r="E259" s="38"/>
      <x:c r="F259" s="38"/>
      <x:c r="G259" s="38"/>
      <x:c r="H259" s="38"/>
      <x:c r="I259" s="38"/>
      <x:c r="J259" s="38"/>
      <x:c r="K259" s="38"/>
      <x:c r="L259" s="38"/>
      <x:c r="M259" s="38"/>
      <x:c r="N259" s="2"/>
      <x:c r="O259" s="2"/>
    </x:row>
    <x:row r="260" ht="20" customHeight="1">
      <x:c r="C260" s="2"/>
      <x:c r="D260" s="3"/>
      <x:c r="E260" s="3"/>
      <x:c r="F260" s="3"/>
      <x:c r="G260" s="3"/>
      <x:c r="H260" s="3"/>
      <x:c r="I260" s="3"/>
      <x:c r="J260" s="3"/>
      <x:c r="K260" s="3"/>
      <x:c r="L260" s="3"/>
      <x:c r="M260" s="3"/>
      <x:c r="N260" s="2"/>
      <x:c r="O260" s="2"/>
    </x:row>
    <x:row r="261" ht="20" customHeight="1">
      <x:c r="C261" s="2"/>
      <x:c r="D261" s="3"/>
      <x:c r="E261" s="3"/>
      <x:c r="F261" s="3"/>
      <x:c r="G261" s="3"/>
      <x:c r="H261" s="3"/>
      <x:c r="I261" s="3"/>
      <x:c r="J261" s="3"/>
      <x:c r="K261" s="3"/>
      <x:c r="L261" s="3"/>
      <x:c r="M261" s="3"/>
      <x:c r="N261" s="2"/>
      <x:c r="O261" s="2"/>
    </x:row>
    <x:row r="262" ht="20" customHeight="1">
      <x:c r="C262" s="2" t="str">
        <x:v>S13</x:v>
      </x:c>
      <x:c r="D262" s="3" t="str">
        <x:v>Havells market and standardized financial inputs</x:v>
      </x:c>
      <x:c r="E262" s="3"/>
      <x:c r="F262" s="3"/>
      <x:c r="G262" s="3"/>
      <x:c r="H262" s="3"/>
      <x:c r="I262" s="3"/>
      <x:c r="J262" s="3"/>
      <x:c r="K262" s="3"/>
      <x:c r="L262" s="3"/>
      <x:c r="M262" s="3"/>
      <x:c r="N262" s="2"/>
      <x:c r="O262" s="2"/>
    </x:row>
    <x:row r="263" ht="32" customHeight="1">
      <x:c r="C263" s="2"/>
      <x:c r="D263" s="38" t="str">
        <x:v>https://www.screener.in/company/HAVELLS/consolidated/</x:v>
      </x:c>
      <x:c r="E263" s="38"/>
      <x:c r="F263" s="38"/>
      <x:c r="G263" s="38"/>
      <x:c r="H263" s="38"/>
      <x:c r="I263" s="38"/>
      <x:c r="J263" s="38"/>
      <x:c r="K263" s="38"/>
      <x:c r="L263" s="38"/>
      <x:c r="M263" s="38"/>
      <x:c r="N263" s="2"/>
      <x:c r="O263" s="2"/>
    </x:row>
    <x:row r="264" ht="20" customHeight="1">
      <x:c r="C264" s="2"/>
      <x:c r="D264" s="3"/>
      <x:c r="E264" s="3"/>
      <x:c r="F264" s="3"/>
      <x:c r="G264" s="3"/>
      <x:c r="H264" s="3"/>
      <x:c r="I264" s="3"/>
      <x:c r="J264" s="3"/>
      <x:c r="K264" s="3"/>
      <x:c r="L264" s="3"/>
      <x:c r="M264" s="3"/>
      <x:c r="N264" s="2"/>
      <x:c r="O264" s="2"/>
    </x:row>
    <x:row r="265" ht="20" customHeight="1">
      <x:c r="C265" s="2"/>
      <x:c r="D265" s="3"/>
      <x:c r="E265" s="3"/>
      <x:c r="F265" s="3"/>
      <x:c r="G265" s="3"/>
      <x:c r="H265" s="3"/>
      <x:c r="I265" s="3"/>
      <x:c r="J265" s="3"/>
      <x:c r="K265" s="3"/>
      <x:c r="L265" s="3"/>
      <x:c r="M265" s="3"/>
      <x:c r="N265" s="2"/>
      <x:c r="O265" s="2"/>
    </x:row>
    <x:row r="266" ht="20" customHeight="1">
      <x:c r="C266" s="2" t="str">
        <x:v>S14</x:v>
      </x:c>
      <x:c r="D266" s="3" t="str">
        <x:v>RR Kabel market and standardized financial inputs</x:v>
      </x:c>
      <x:c r="E266" s="3"/>
      <x:c r="F266" s="3"/>
      <x:c r="G266" s="3"/>
      <x:c r="H266" s="3"/>
      <x:c r="I266" s="3"/>
      <x:c r="J266" s="3"/>
      <x:c r="K266" s="3"/>
      <x:c r="L266" s="3"/>
      <x:c r="M266" s="3"/>
      <x:c r="N266" s="2"/>
      <x:c r="O266" s="2"/>
    </x:row>
    <x:row r="267" ht="32" customHeight="1">
      <x:c r="C267" s="2"/>
      <x:c r="D267" s="38" t="str">
        <x:v>https://www.screener.in/company/RRKABEL/consolidated/</x:v>
      </x:c>
      <x:c r="E267" s="38"/>
      <x:c r="F267" s="38"/>
      <x:c r="G267" s="38"/>
      <x:c r="H267" s="38"/>
      <x:c r="I267" s="38"/>
      <x:c r="J267" s="38"/>
      <x:c r="K267" s="38"/>
      <x:c r="L267" s="38"/>
      <x:c r="M267" s="38"/>
      <x:c r="N267" s="2"/>
      <x:c r="O267" s="2"/>
    </x:row>
    <x:row r="268" ht="20" customHeight="1">
      <x:c r="C268" s="2"/>
      <x:c r="D268" s="3"/>
      <x:c r="E268" s="3"/>
      <x:c r="F268" s="3"/>
      <x:c r="G268" s="3"/>
      <x:c r="H268" s="3"/>
      <x:c r="I268" s="3"/>
      <x:c r="J268" s="3"/>
      <x:c r="K268" s="3"/>
      <x:c r="L268" s="3"/>
      <x:c r="M268" s="3"/>
      <x:c r="N268" s="2"/>
      <x:c r="O268" s="2"/>
    </x:row>
    <x:row r="269" ht="20" customHeight="1">
      <x:c r="C269" s="2"/>
      <x:c r="D269" s="3"/>
      <x:c r="E269" s="3"/>
      <x:c r="F269" s="3"/>
      <x:c r="G269" s="3"/>
      <x:c r="H269" s="3"/>
      <x:c r="I269" s="3"/>
      <x:c r="J269" s="3"/>
      <x:c r="K269" s="3"/>
      <x:c r="L269" s="3"/>
      <x:c r="M269" s="3"/>
      <x:c r="N269" s="2"/>
      <x:c r="O269" s="2"/>
    </x:row>
    <x:row r="270" ht="20" customHeight="1">
      <x:c r="C270" s="2" t="str">
        <x:v>S15</x:v>
      </x:c>
      <x:c r="D270" s="3" t="str">
        <x:v>Finolex Cables market and standardized financial inputs</x:v>
      </x:c>
      <x:c r="E270" s="3"/>
      <x:c r="F270" s="3"/>
      <x:c r="G270" s="3"/>
      <x:c r="H270" s="3"/>
      <x:c r="I270" s="3"/>
      <x:c r="J270" s="3"/>
      <x:c r="K270" s="3"/>
      <x:c r="L270" s="3"/>
      <x:c r="M270" s="3"/>
      <x:c r="N270" s="2"/>
      <x:c r="O270" s="2"/>
    </x:row>
    <x:row r="271" ht="32" customHeight="1">
      <x:c r="C271" s="2"/>
      <x:c r="D271" s="38" t="str">
        <x:v>https://www.screener.in/company/FINCABLES/consolidated/</x:v>
      </x:c>
      <x:c r="E271" s="38"/>
      <x:c r="F271" s="38"/>
      <x:c r="G271" s="38"/>
      <x:c r="H271" s="38"/>
      <x:c r="I271" s="38"/>
      <x:c r="J271" s="38"/>
      <x:c r="K271" s="38"/>
      <x:c r="L271" s="38"/>
      <x:c r="M271" s="38"/>
      <x:c r="N271" s="2"/>
      <x:c r="O271" s="2"/>
    </x:row>
    <x:row r="272" ht="20" customHeight="1">
      <x:c r="C272" s="2"/>
      <x:c r="D272" s="3"/>
      <x:c r="E272" s="3"/>
      <x:c r="F272" s="3"/>
      <x:c r="G272" s="3"/>
      <x:c r="H272" s="3"/>
      <x:c r="I272" s="3"/>
      <x:c r="J272" s="3"/>
      <x:c r="K272" s="3"/>
      <x:c r="L272" s="3"/>
      <x:c r="M272" s="3"/>
      <x:c r="N272" s="2"/>
      <x:c r="O272" s="2"/>
    </x:row>
    <x:row r="273" ht="20" customHeight="1">
      <x:c r="C273" s="2"/>
      <x:c r="D273" s="3"/>
      <x:c r="E273" s="3"/>
      <x:c r="F273" s="3"/>
      <x:c r="G273" s="3"/>
      <x:c r="H273" s="3"/>
      <x:c r="I273" s="3"/>
      <x:c r="J273" s="3"/>
      <x:c r="K273" s="3"/>
      <x:c r="L273" s="3"/>
      <x:c r="M273" s="3"/>
      <x:c r="N273" s="2"/>
      <x:c r="O273" s="2"/>
    </x:row>
    <x:row r="274" ht="20" customHeight="1">
      <x:c r="C274" s="2" t="str">
        <x:v>S16</x:v>
      </x:c>
      <x:c r="D274" s="3" t="str">
        <x:v>V-Guard market and standardized financial inputs</x:v>
      </x:c>
      <x:c r="E274" s="3"/>
      <x:c r="F274" s="3"/>
      <x:c r="G274" s="3"/>
      <x:c r="H274" s="3"/>
      <x:c r="I274" s="3"/>
      <x:c r="J274" s="3"/>
      <x:c r="K274" s="3"/>
      <x:c r="L274" s="3"/>
      <x:c r="M274" s="3"/>
      <x:c r="N274" s="2"/>
      <x:c r="O274" s="2"/>
    </x:row>
    <x:row r="275" ht="32" customHeight="1">
      <x:c r="C275" s="2"/>
      <x:c r="D275" s="38" t="str">
        <x:v>https://www.screener.in/company/VGUARD/consolidated/</x:v>
      </x:c>
      <x:c r="E275" s="38"/>
      <x:c r="F275" s="38"/>
      <x:c r="G275" s="38"/>
      <x:c r="H275" s="38"/>
      <x:c r="I275" s="38"/>
      <x:c r="J275" s="38"/>
      <x:c r="K275" s="38"/>
      <x:c r="L275" s="38"/>
      <x:c r="M275" s="38"/>
      <x:c r="N275" s="2"/>
      <x:c r="O275" s="2"/>
    </x:row>
    <x:row r="276" ht="20" customHeight="1">
      <x:c r="C276" s="2"/>
      <x:c r="D276" s="3"/>
      <x:c r="E276" s="3"/>
      <x:c r="F276" s="3"/>
      <x:c r="G276" s="3"/>
      <x:c r="H276" s="3"/>
      <x:c r="I276" s="3"/>
      <x:c r="J276" s="3"/>
      <x:c r="K276" s="3"/>
      <x:c r="L276" s="3"/>
      <x:c r="M276" s="3"/>
      <x:c r="N276" s="2"/>
      <x:c r="O276" s="2"/>
    </x:row>
    <x:row r="277" ht="20" customHeight="1">
      <x:c r="C277" s="2"/>
      <x:c r="D277" s="3"/>
      <x:c r="E277" s="3"/>
      <x:c r="F277" s="3"/>
      <x:c r="G277" s="3"/>
      <x:c r="H277" s="3"/>
      <x:c r="I277" s="3"/>
      <x:c r="J277" s="3"/>
      <x:c r="K277" s="3"/>
      <x:c r="L277" s="3"/>
      <x:c r="M277" s="3"/>
      <x:c r="N277" s="2"/>
      <x:c r="O277" s="2"/>
    </x:row>
    <x:row r="278" ht="20" customHeight="1">
      <x:c r="C278" s="2" t="str">
        <x:v>S17</x:v>
      </x:c>
      <x:c r="D278" s="3" t="str">
        <x:v>KEI FY26 presentation pp3,8–10; EBITDA basis and funding</x:v>
      </x:c>
      <x:c r="E278" s="3"/>
      <x:c r="F278" s="3"/>
      <x:c r="G278" s="3"/>
      <x:c r="H278" s="3"/>
      <x:c r="I278" s="3"/>
      <x:c r="J278" s="3"/>
      <x:c r="K278" s="3"/>
      <x:c r="L278" s="3"/>
      <x:c r="M278" s="3"/>
      <x:c r="N278" s="2"/>
      <x:c r="O278" s="2"/>
    </x:row>
    <x:row r="279" ht="32" customHeight="1">
      <x:c r="C279" s="2"/>
      <x:c r="D279" s="38" t="str">
        <x:v>https://www.kei-ind.com/wp-content/uploads/2026/05/earning-presentation-q4.pdf</x:v>
      </x:c>
      <x:c r="E279" s="38"/>
      <x:c r="F279" s="38"/>
      <x:c r="G279" s="38"/>
      <x:c r="H279" s="38"/>
      <x:c r="I279" s="38"/>
      <x:c r="J279" s="38"/>
      <x:c r="K279" s="38"/>
      <x:c r="L279" s="38"/>
      <x:c r="M279" s="38"/>
      <x:c r="N279" s="2"/>
      <x:c r="O279" s="2"/>
    </x:row>
    <x:row r="280" ht="20" customHeight="1">
      <x:c r="C280" s="2"/>
      <x:c r="D280" s="3"/>
      <x:c r="E280" s="3"/>
      <x:c r="F280" s="3"/>
      <x:c r="G280" s="3"/>
      <x:c r="H280" s="3"/>
      <x:c r="I280" s="3"/>
      <x:c r="J280" s="3"/>
      <x:c r="K280" s="3"/>
      <x:c r="L280" s="3"/>
      <x:c r="M280" s="3"/>
      <x:c r="N280" s="2"/>
      <x:c r="O280" s="2"/>
    </x:row>
    <x:row r="281" ht="20" customHeight="1">
      <x:c r="C281" s="2"/>
      <x:c r="D281" s="3"/>
      <x:c r="E281" s="3"/>
      <x:c r="F281" s="3"/>
      <x:c r="G281" s="3"/>
      <x:c r="H281" s="3"/>
      <x:c r="I281" s="3"/>
      <x:c r="J281" s="3"/>
      <x:c r="K281" s="3"/>
      <x:c r="L281" s="3"/>
      <x:c r="M281" s="3"/>
      <x:c r="N281" s="2"/>
      <x:c r="O281" s="2"/>
    </x:row>
    <x:row r="282" ht="20" customHeight="1">
      <x:c r="C282" s="2" t="str">
        <x:v>S18</x:v>
      </x:c>
      <x:c r="D282" s="3" t="str">
        <x:v>Havells FY26 consolidated results / balance sheet (filing mirror)</x:v>
      </x:c>
      <x:c r="E282" s="3"/>
      <x:c r="F282" s="3"/>
      <x:c r="G282" s="3"/>
      <x:c r="H282" s="3"/>
      <x:c r="I282" s="3"/>
      <x:c r="J282" s="3"/>
      <x:c r="K282" s="3"/>
      <x:c r="L282" s="3"/>
      <x:c r="M282" s="3"/>
      <x:c r="N282" s="2"/>
      <x:c r="O282" s="2"/>
    </x:row>
    <x:row r="283" ht="32" customHeight="1">
      <x:c r="C283" s="2"/>
      <x:c r="D283" s="38" t="str">
        <x:v>https://financialfilings.com/filings/havells-india-limited/earnings-release/2026/42181043/</x:v>
      </x:c>
      <x:c r="E283" s="38"/>
      <x:c r="F283" s="38"/>
      <x:c r="G283" s="38"/>
      <x:c r="H283" s="38"/>
      <x:c r="I283" s="38"/>
      <x:c r="J283" s="38"/>
      <x:c r="K283" s="38"/>
      <x:c r="L283" s="38"/>
      <x:c r="M283" s="38"/>
      <x:c r="N283" s="2"/>
      <x:c r="O283" s="2"/>
    </x:row>
    <x:row r="284" ht="20" customHeight="1">
      <x:c r="C284" s="2"/>
      <x:c r="D284" s="3"/>
      <x:c r="E284" s="3"/>
      <x:c r="F284" s="3"/>
      <x:c r="G284" s="3"/>
      <x:c r="H284" s="3"/>
      <x:c r="I284" s="3"/>
      <x:c r="J284" s="3"/>
      <x:c r="K284" s="3"/>
      <x:c r="L284" s="3"/>
      <x:c r="M284" s="3"/>
      <x:c r="N284" s="2"/>
      <x:c r="O284" s="2"/>
    </x:row>
    <x:row r="285" ht="20" customHeight="1">
      <x:c r="C285" s="2"/>
      <x:c r="D285" s="3"/>
      <x:c r="E285" s="3"/>
      <x:c r="F285" s="3"/>
      <x:c r="G285" s="3"/>
      <x:c r="H285" s="3"/>
      <x:c r="I285" s="3"/>
      <x:c r="J285" s="3"/>
      <x:c r="K285" s="3"/>
      <x:c r="L285" s="3"/>
      <x:c r="M285" s="3"/>
      <x:c r="N285" s="2"/>
      <x:c r="O285" s="2"/>
    </x:row>
    <x:row r="286" ht="20" customHeight="1">
      <x:c r="C286" s="2" t="str">
        <x:v>S19</x:v>
      </x:c>
      <x:c r="D286" s="3" t="str">
        <x:v>RR Kabel FY26 results, pp14–16 consolidated</x:v>
      </x:c>
      <x:c r="E286" s="3"/>
      <x:c r="F286" s="3"/>
      <x:c r="G286" s="3"/>
      <x:c r="H286" s="3"/>
      <x:c r="I286" s="3"/>
      <x:c r="J286" s="3"/>
      <x:c r="K286" s="3"/>
      <x:c r="L286" s="3"/>
      <x:c r="M286" s="3"/>
      <x:c r="N286" s="2"/>
      <x:c r="O286" s="2"/>
    </x:row>
    <x:row r="287" ht="32" customHeight="1">
      <x:c r="C287" s="2"/>
      <x:c r="D287" s="38" t="str">
        <x:v>https://www.rrkabel.com/wp-content/uploads/2026/04/Financial-Q4-ended-31-March-2026.pdf</x:v>
      </x:c>
      <x:c r="E287" s="38"/>
      <x:c r="F287" s="38"/>
      <x:c r="G287" s="38"/>
      <x:c r="H287" s="38"/>
      <x:c r="I287" s="38"/>
      <x:c r="J287" s="38"/>
      <x:c r="K287" s="38"/>
      <x:c r="L287" s="38"/>
      <x:c r="M287" s="38"/>
      <x:c r="N287" s="2"/>
      <x:c r="O287" s="2"/>
    </x:row>
    <x:row r="288" ht="20" customHeight="1">
      <x:c r="C288" s="2"/>
      <x:c r="D288" s="3"/>
      <x:c r="E288" s="3"/>
      <x:c r="F288" s="3"/>
      <x:c r="G288" s="3"/>
      <x:c r="H288" s="3"/>
      <x:c r="I288" s="3"/>
      <x:c r="J288" s="3"/>
      <x:c r="K288" s="3"/>
      <x:c r="L288" s="3"/>
      <x:c r="M288" s="3"/>
      <x:c r="N288" s="2"/>
      <x:c r="O288" s="2"/>
    </x:row>
    <x:row r="289" ht="20" customHeight="1">
      <x:c r="C289" s="2"/>
      <x:c r="D289" s="3"/>
      <x:c r="E289" s="3"/>
      <x:c r="F289" s="3"/>
      <x:c r="G289" s="3"/>
      <x:c r="H289" s="3"/>
      <x:c r="I289" s="3"/>
      <x:c r="J289" s="3"/>
      <x:c r="K289" s="3"/>
      <x:c r="L289" s="3"/>
      <x:c r="M289" s="3"/>
      <x:c r="N289" s="2"/>
      <x:c r="O289" s="2"/>
    </x:row>
    <x:row r="290" ht="20" customHeight="1">
      <x:c r="C290" s="2" t="str">
        <x:v>S20</x:v>
      </x:c>
      <x:c r="D290" s="3" t="str">
        <x:v>Finolex FY26 annual report, consolidated notes 13,14,34 (mirror)</x:v>
      </x:c>
      <x:c r="E290" s="3"/>
      <x:c r="F290" s="3"/>
      <x:c r="G290" s="3"/>
      <x:c r="H290" s="3"/>
      <x:c r="I290" s="3"/>
      <x:c r="J290" s="3"/>
      <x:c r="K290" s="3"/>
      <x:c r="L290" s="3"/>
      <x:c r="M290" s="3"/>
      <x:c r="N290" s="2"/>
      <x:c r="O290" s="2"/>
    </x:row>
    <x:row r="291" ht="32" customHeight="1">
      <x:c r="C291" s="2"/>
      <x:c r="D291" s="38" t="str">
        <x:v>https://financialfilings.com/filings/finolex-cables-ltd/annual-report/2026/59661963/</x:v>
      </x:c>
      <x:c r="E291" s="38"/>
      <x:c r="F291" s="38"/>
      <x:c r="G291" s="38"/>
      <x:c r="H291" s="38"/>
      <x:c r="I291" s="38"/>
      <x:c r="J291" s="38"/>
      <x:c r="K291" s="38"/>
      <x:c r="L291" s="38"/>
      <x:c r="M291" s="38"/>
      <x:c r="N291" s="2"/>
      <x:c r="O291" s="2"/>
    </x:row>
    <x:row r="292" ht="20" customHeight="1">
      <x:c r="C292" s="2"/>
      <x:c r="D292" s="3"/>
      <x:c r="E292" s="3"/>
      <x:c r="F292" s="3"/>
      <x:c r="G292" s="3"/>
      <x:c r="H292" s="3"/>
      <x:c r="I292" s="3"/>
      <x:c r="J292" s="3"/>
      <x:c r="K292" s="3"/>
      <x:c r="L292" s="3"/>
      <x:c r="M292" s="3"/>
      <x:c r="N292" s="2"/>
      <x:c r="O292" s="2"/>
    </x:row>
    <x:row r="293" ht="20" customHeight="1">
      <x:c r="C293" s="2"/>
      <x:c r="D293" s="3"/>
      <x:c r="E293" s="3"/>
      <x:c r="F293" s="3"/>
      <x:c r="G293" s="3"/>
      <x:c r="H293" s="3"/>
      <x:c r="I293" s="3"/>
      <x:c r="J293" s="3"/>
      <x:c r="K293" s="3"/>
      <x:c r="L293" s="3"/>
      <x:c r="M293" s="3"/>
      <x:c r="N293" s="2"/>
      <x:c r="O293" s="2"/>
    </x:row>
    <x:row r="294" ht="20" customHeight="1">
      <x:c r="C294" s="2" t="str">
        <x:v>S21</x:v>
      </x:c>
      <x:c r="D294" s="3" t="str">
        <x:v>V-Guard FY26 presentation pp7,10–11</x:v>
      </x:c>
      <x:c r="E294" s="3"/>
      <x:c r="F294" s="3"/>
      <x:c r="G294" s="3"/>
      <x:c r="H294" s="3"/>
      <x:c r="I294" s="3"/>
      <x:c r="J294" s="3"/>
      <x:c r="K294" s="3"/>
      <x:c r="L294" s="3"/>
      <x:c r="M294" s="3"/>
      <x:c r="N294" s="2"/>
      <x:c r="O294" s="2"/>
    </x:row>
    <x:row r="295" ht="32" customHeight="1">
      <x:c r="C295" s="2"/>
      <x:c r="D295" s="38" t="str">
        <x:v>https://nsearchives.nseindia.com/corporate/VGUARD4321_12052026154330_Intimation.pdf</x:v>
      </x:c>
      <x:c r="E295" s="38"/>
      <x:c r="F295" s="38"/>
      <x:c r="G295" s="38"/>
      <x:c r="H295" s="38"/>
      <x:c r="I295" s="38"/>
      <x:c r="J295" s="38"/>
      <x:c r="K295" s="38"/>
      <x:c r="L295" s="38"/>
      <x:c r="M295" s="38"/>
      <x:c r="N295" s="2"/>
      <x:c r="O295" s="2"/>
    </x:row>
    <x:row r="296" ht="20" customHeight="1">
      <x:c r="C296" s="2"/>
      <x:c r="D296" s="3"/>
      <x:c r="E296" s="3"/>
      <x:c r="F296" s="3"/>
      <x:c r="G296" s="3"/>
      <x:c r="H296" s="3"/>
      <x:c r="I296" s="3"/>
      <x:c r="J296" s="3"/>
      <x:c r="K296" s="3"/>
      <x:c r="L296" s="3"/>
      <x:c r="M296" s="3"/>
      <x:c r="N296" s="2"/>
      <x:c r="O296" s="2"/>
    </x:row>
    <x:row r="297" ht="20" customHeight="1">
      <x:c r="C297" s="2"/>
      <x:c r="D297" s="3"/>
      <x:c r="E297" s="3"/>
      <x:c r="F297" s="3"/>
      <x:c r="G297" s="3"/>
      <x:c r="H297" s="3"/>
      <x:c r="I297" s="3"/>
      <x:c r="J297" s="3"/>
      <x:c r="K297" s="3"/>
      <x:c r="L297" s="3"/>
      <x:c r="M297" s="3"/>
      <x:c r="N297" s="2"/>
      <x:c r="O297" s="2"/>
    </x:row>
    <x:row r="298" ht="20" customHeight="1">
      <x:c r="C298" s="2" t="str">
        <x:v>S22</x:v>
      </x:c>
      <x:c r="D298" s="3" t="str">
        <x:v>India 10Y yield historical observations</x:v>
      </x:c>
      <x:c r="E298" s="3"/>
      <x:c r="F298" s="3"/>
      <x:c r="G298" s="3"/>
      <x:c r="H298" s="3"/>
      <x:c r="I298" s="3"/>
      <x:c r="J298" s="3"/>
      <x:c r="K298" s="3"/>
      <x:c r="L298" s="3"/>
      <x:c r="M298" s="3"/>
      <x:c r="N298" s="2"/>
      <x:c r="O298" s="2"/>
    </x:row>
    <x:row r="299" ht="32" customHeight="1">
      <x:c r="C299" s="2"/>
      <x:c r="D299" s="38" t="str">
        <x:v>https://countryeconomy.com/bonds/india</x:v>
      </x:c>
      <x:c r="E299" s="38"/>
      <x:c r="F299" s="38"/>
      <x:c r="G299" s="38"/>
      <x:c r="H299" s="38"/>
      <x:c r="I299" s="38"/>
      <x:c r="J299" s="38"/>
      <x:c r="K299" s="38"/>
      <x:c r="L299" s="38"/>
      <x:c r="M299" s="38"/>
      <x:c r="N299" s="2"/>
      <x:c r="O299" s="2"/>
    </x:row>
    <x:row r="300" ht="20" customHeight="1">
      <x:c r="C300" s="2"/>
      <x:c r="D300" s="3"/>
      <x:c r="E300" s="3"/>
      <x:c r="F300" s="3"/>
      <x:c r="G300" s="3"/>
      <x:c r="H300" s="3"/>
      <x:c r="I300" s="3"/>
      <x:c r="J300" s="3"/>
      <x:c r="K300" s="3"/>
      <x:c r="L300" s="3"/>
      <x:c r="M300" s="3"/>
      <x:c r="N300" s="2"/>
      <x:c r="O300" s="2"/>
    </x:row>
    <x:row r="301" ht="20" customHeight="1">
      <x:c r="C301" s="2"/>
      <x:c r="D301" s="3"/>
      <x:c r="E301" s="3"/>
      <x:c r="F301" s="3"/>
      <x:c r="G301" s="3"/>
      <x:c r="H301" s="3"/>
      <x:c r="I301" s="3"/>
      <x:c r="J301" s="3"/>
      <x:c r="K301" s="3"/>
      <x:c r="L301" s="3"/>
      <x:c r="M301" s="3"/>
      <x:c r="N301" s="2"/>
      <x:c r="O301" s="2"/>
    </x:row>
    <x:row r="302" ht="20" customHeight="1">
      <x:c r="C302" s="2" t="str">
        <x:v>S23</x:v>
      </x:c>
      <x:c r="D302" s="3" t="str">
        <x:v>Damodaran country default spreads and ERP, January 5, 2026</x:v>
      </x:c>
      <x:c r="E302" s="3"/>
      <x:c r="F302" s="3"/>
      <x:c r="G302" s="3"/>
      <x:c r="H302" s="3"/>
      <x:c r="I302" s="3"/>
      <x:c r="J302" s="3"/>
      <x:c r="K302" s="3"/>
      <x:c r="L302" s="3"/>
      <x:c r="M302" s="3"/>
      <x:c r="N302" s="2"/>
      <x:c r="O302" s="2"/>
    </x:row>
    <x:row r="303" ht="32" customHeight="1">
      <x:c r="C303" s="2"/>
      <x:c r="D303" s="38" t="str">
        <x:v>https://pages.stern.nyu.edu/~adamodar/New_Home_Page/datafile/ctryprem.html</x:v>
      </x:c>
      <x:c r="E303" s="38"/>
      <x:c r="F303" s="38"/>
      <x:c r="G303" s="38"/>
      <x:c r="H303" s="38"/>
      <x:c r="I303" s="38"/>
      <x:c r="J303" s="38"/>
      <x:c r="K303" s="38"/>
      <x:c r="L303" s="38"/>
      <x:c r="M303" s="38"/>
      <x:c r="N303" s="2"/>
      <x:c r="O303" s="2"/>
    </x:row>
    <x:row r="304" ht="20" customHeight="1">
      <x:c r="C304" s="2"/>
      <x:c r="D304" s="3"/>
      <x:c r="E304" s="3"/>
      <x:c r="F304" s="3"/>
      <x:c r="G304" s="3"/>
      <x:c r="H304" s="3"/>
      <x:c r="I304" s="3"/>
      <x:c r="J304" s="3"/>
      <x:c r="K304" s="3"/>
      <x:c r="L304" s="3"/>
      <x:c r="M304" s="3"/>
      <x:c r="N304" s="2"/>
      <x:c r="O304" s="2"/>
    </x:row>
    <x:row r="305" ht="20" customHeight="1">
      <x:c r="C305" s="2"/>
      <x:c r="D305" s="3"/>
      <x:c r="E305" s="3"/>
      <x:c r="F305" s="3"/>
      <x:c r="G305" s="3"/>
      <x:c r="H305" s="3"/>
      <x:c r="I305" s="3"/>
      <x:c r="J305" s="3"/>
      <x:c r="K305" s="3"/>
      <x:c r="L305" s="3"/>
      <x:c r="M305" s="3"/>
      <x:c r="N305" s="2"/>
      <x:c r="O305" s="2"/>
    </x:row>
    <x:row r="306" ht="20" customHeight="1">
      <x:c r="C306" s="2"/>
      <x:c r="D306" s="3"/>
      <x:c r="E306" s="3"/>
      <x:c r="F306" s="3"/>
      <x:c r="G306" s="3"/>
      <x:c r="H306" s="3"/>
      <x:c r="I306" s="3"/>
      <x:c r="J306" s="3"/>
      <x:c r="K306" s="3"/>
      <x:c r="L306" s="3"/>
      <x:c r="M306" s="3"/>
      <x:c r="N306" s="2"/>
      <x:c r="O306" s="2"/>
    </x:row>
    <x:row r="307" ht="20" customHeight="1">
      <x:c r="C307" s="2"/>
      <x:c r="D307" s="3"/>
      <x:c r="E307" s="3"/>
      <x:c r="F307" s="3"/>
      <x:c r="G307" s="3"/>
      <x:c r="H307" s="3"/>
      <x:c r="I307" s="3"/>
      <x:c r="J307" s="3"/>
      <x:c r="K307" s="3"/>
      <x:c r="L307" s="3"/>
      <x:c r="M307" s="3"/>
      <x:c r="N307" s="2"/>
      <x:c r="O307" s="2"/>
    </x:row>
    <x:row r="308" ht="20" customHeight="1">
      <x:c r="C308" s="2"/>
      <x:c r="D308" s="3"/>
      <x:c r="E308" s="3"/>
      <x:c r="F308" s="3"/>
      <x:c r="G308" s="3"/>
      <x:c r="H308" s="3"/>
      <x:c r="I308" s="3"/>
      <x:c r="J308" s="3"/>
      <x:c r="K308" s="3"/>
      <x:c r="L308" s="3"/>
      <x:c r="M308" s="3"/>
      <x:c r="N308" s="2"/>
      <x:c r="O308" s="2"/>
    </x:row>
    <x:row r="309" ht="20" customHeight="1">
      <x:c r="C309" s="2"/>
      <x:c r="D309" s="3"/>
      <x:c r="E309" s="3"/>
      <x:c r="F309" s="3"/>
      <x:c r="G309" s="3"/>
      <x:c r="H309" s="3"/>
      <x:c r="I309" s="3"/>
      <x:c r="J309" s="3"/>
      <x:c r="K309" s="3"/>
      <x:c r="L309" s="3"/>
      <x:c r="M309" s="3"/>
      <x:c r="N309" s="2"/>
      <x:c r="O309" s="2"/>
    </x:row>
    <x:row r="310" ht="24" customHeight="1">
      <x:c r="C310" s="80" t="str">
        <x:v>September valuation inputs and source dates</x:v>
      </x:c>
      <x:c r="D310" s="81"/>
      <x:c r="E310" s="81"/>
      <x:c r="F310" s="81"/>
      <x:c r="G310" s="81"/>
      <x:c r="H310" s="81"/>
      <x:c r="I310" s="81"/>
      <x:c r="J310" s="81"/>
      <x:c r="K310" s="81"/>
      <x:c r="L310" s="81"/>
      <x:c r="M310" s="81"/>
      <x:c r="N310" s="2"/>
      <x:c r="O310" s="2"/>
    </x:row>
    <x:row r="311" ht="20" customHeight="1">
      <x:c r="C311" s="2"/>
      <x:c r="D311" s="3"/>
      <x:c r="E311" s="3"/>
      <x:c r="F311" s="3"/>
      <x:c r="G311" s="3"/>
      <x:c r="H311" s="3"/>
      <x:c r="I311" s="3"/>
      <x:c r="J311" s="3"/>
      <x:c r="K311" s="3"/>
      <x:c r="L311" s="3"/>
      <x:c r="M311" s="3"/>
      <x:c r="N311" s="2"/>
      <x:c r="O311" s="2"/>
    </x:row>
    <x:row r="312" ht="20" customHeight="1">
      <x:c r="C312" s="2" t="str">
        <x:v>Common valuation date</x:v>
      </x:c>
      <x:c r="D312" s="3"/>
      <x:c r="E312" s="3"/>
      <x:c r="F312" s="3"/>
      <x:c r="G312" s="3"/>
      <x:c r="H312" s="107" t="n">
        <x:v>46276</x:v>
      </x:c>
      <x:c r="I312" s="3"/>
      <x:c r="J312" s="3"/>
      <x:c r="K312" s="3"/>
      <x:c r="L312" s="3"/>
      <x:c r="M312" s="3"/>
      <x:c r="N312" s="2"/>
      <x:c r="O312" s="2"/>
    </x:row>
    <x:row r="313" ht="44" customHeight="1">
      <x:c r="C313" s="2" t="str">
        <x:v>Earlier March DCF, archived (INR/share)</x:v>
      </x:c>
      <x:c r="D313" s="104"/>
      <x:c r="E313" s="104"/>
      <x:c r="F313" s="104"/>
      <x:c r="G313" s="104"/>
      <x:c r="H313" s="105" t="n">
        <x:v>1939.8656971601038</x:v>
      </x:c>
      <x:c r="I313" s="104"/>
      <x:c r="J313" s="104"/>
      <x:c r="K313" s="104"/>
      <x:c r="L313" s="104"/>
      <x:c r="M313" s="104"/>
      <x:c r="N313" s="2"/>
      <x:c r="O313" s="16" t="str">
        <x:v>Archived result from Polycab_Completed_Model.xlsx delivered before this valuation audit. A version comparison, not an input to the forecast or current valuation.</x:v>
      </x:c>
    </x:row>
    <x:row r="314" ht="32" customHeight="1">
      <x:c r="C314" s="2" t="str">
        <x:v>Polycab observed price, 15 Sep 09:49</x:v>
      </x:c>
      <x:c r="D314" s="104"/>
      <x:c r="E314" s="104"/>
      <x:c r="F314" s="104"/>
      <x:c r="G314" s="104"/>
      <x:c r="H314" s="105" t="n">
        <x:v>8212</x:v>
      </x:c>
      <x:c r="I314" s="104"/>
      <x:c r="J314" s="104"/>
      <x:c r="K314" s="104"/>
      <x:c r="L314" s="104"/>
      <x:c r="M314" s="104"/>
      <x:c r="N314" s="2"/>
      <x:c r="O314" s="16" t="str">
        <x:v>S11 refreshed 15 September 2026, 09:49 IST. Current basic shares are approximated by observed market cap / observed price. Rounding limits precision.</x:v>
      </x:c>
    </x:row>
    <x:row r="315" ht="20" customHeight="1">
      <x:c r="C315" s="2" t="str">
        <x:v>Polycab observed market cap, same quote</x:v>
      </x:c>
      <x:c r="D315" s="3"/>
      <x:c r="E315" s="3"/>
      <x:c r="F315" s="3"/>
      <x:c r="G315" s="3"/>
      <x:c r="H315" s="17" t="n">
        <x:v>1237400</x:v>
      </x:c>
      <x:c r="I315" s="3"/>
      <x:c r="J315" s="3"/>
      <x:c r="K315" s="3"/>
      <x:c r="L315" s="3"/>
      <x:c r="M315" s="3"/>
      <x:c r="N315" s="2"/>
      <x:c r="O315" s="2"/>
    </x:row>
    <x:row r="316" ht="44" customHeight="1">
      <x:c r="C316" s="2" t="str">
        <x:v>FY26 dividend paid per share (INR)</x:v>
      </x:c>
      <x:c r="D316" s="104"/>
      <x:c r="E316" s="104"/>
      <x:c r="F316" s="104"/>
      <x:c r="G316" s="104"/>
      <x:c r="H316" s="105" t="n">
        <x:v>47</x:v>
      </x:c>
      <x:c r="I316" s="104"/>
      <x:c r="J316" s="104"/>
      <x:c r="K316" s="104"/>
      <x:c r="L316" s="104"/>
      <x:c r="M316" s="104"/>
      <x:c r="N316" s="2"/>
      <x:c r="O316" s="16" t="str">
        <x:v>S25 supports INR47 per share. S33/S34 independently summarize the Q1 filing: INR7,079.85m paid on 30 June 2026. The aggregate payment replaces the eligible-share approximation.</x:v>
      </x:c>
    </x:row>
    <x:row r="317" ht="44" customHeight="1">
      <x:c r="C317" s="2" t="str">
        <x:v>Dividend cash paid, filing-summary sources</x:v>
      </x:c>
      <x:c r="D317" s="3"/>
      <x:c r="E317" s="3"/>
      <x:c r="F317" s="3"/>
      <x:c r="G317" s="3"/>
      <x:c r="H317" s="17" t="n">
        <x:v>7079.85</x:v>
      </x:c>
      <x:c r="I317" s="3"/>
      <x:c r="J317" s="3"/>
      <x:c r="K317" s="3"/>
      <x:c r="L317" s="3"/>
      <x:c r="M317" s="3"/>
      <x:c r="N317" s="2"/>
      <x:c r="O317" s="16" t="str">
        <x:v>Source quality: filing-summary providers, cross-checked against each other. Direct Q1 filing retrieval was unavailable. Post-March ESOP cash proceeds remain assumed zero.</x:v>
      </x:c>
    </x:row>
    <x:row r="318" ht="32" customHeight="1">
      <x:c r="C318" s="2" t="str">
        <x:v>Reported June net cash, company basis</x:v>
      </x:c>
      <x:c r="D318" s="3"/>
      <x:c r="E318" s="3"/>
      <x:c r="F318" s="3"/>
      <x:c r="G318" s="3"/>
      <x:c r="H318" s="17" t="n">
        <x:v>39900</x:v>
      </x:c>
      <x:c r="I318" s="3"/>
      <x:c r="J318" s="3"/>
      <x:c r="K318" s="3"/>
      <x:c r="L318" s="3"/>
      <x:c r="M318" s="3"/>
      <x:c r="N318" s="2"/>
      <x:c r="O318" s="16" t="str">
        <x:v>S26: June 2026 management net cash INR39.9bn. Its definition excludes acceptances; it cannot substitute for the detailed financing bridge.</x:v>
      </x:c>
    </x:row>
    <x:row r="319" ht="20" customHeight="1">
      <x:c r="C319" s="2" t="str">
        <x:v>Post-March equity cash proceeds assumed</x:v>
      </x:c>
      <x:c r="D319" s="3"/>
      <x:c r="E319" s="3"/>
      <x:c r="F319" s="3"/>
      <x:c r="G319" s="3"/>
      <x:c r="H319" s="17" t="n">
        <x:v>0</x:v>
      </x:c>
      <x:c r="I319" s="3"/>
      <x:c r="J319" s="3"/>
      <x:c r="K319" s="3"/>
      <x:c r="L319" s="3"/>
      <x:c r="M319" s="3"/>
      <x:c r="N319" s="2"/>
      <x:c r="O319" s="2"/>
    </x:row>
    <x:row r="320" ht="20" customHeight="1">
      <x:c r="C320" s="2"/>
      <x:c r="D320" s="3"/>
      <x:c r="E320" s="3"/>
      <x:c r="F320" s="3"/>
      <x:c r="G320" s="3"/>
      <x:c r="H320" s="3"/>
      <x:c r="I320" s="3"/>
      <x:c r="J320" s="3"/>
      <x:c r="K320" s="3"/>
      <x:c r="L320" s="3"/>
      <x:c r="M320" s="3"/>
      <x:c r="N320" s="2"/>
      <x:c r="O320" s="2"/>
    </x:row>
    <x:row r="321" ht="20" customHeight="1">
      <x:c r="C321" s="2"/>
      <x:c r="D321" s="3"/>
      <x:c r="E321" s="3"/>
      <x:c r="F321" s="3"/>
      <x:c r="G321" s="3"/>
      <x:c r="H321" s="3"/>
      <x:c r="I321" s="3"/>
      <x:c r="J321" s="3"/>
      <x:c r="K321" s="3"/>
      <x:c r="L321" s="3"/>
      <x:c r="M321" s="3"/>
      <x:c r="N321" s="2"/>
      <x:c r="O321" s="2"/>
    </x:row>
    <x:row r="322" ht="20" customHeight="1">
      <x:c r="C322" s="2" t="str">
        <x:v>Basic shares proxy from captured quote</x:v>
      </x:c>
      <x:c r="D322" s="17" t="n">
        <x:v>150.68192888455917</x:v>
      </x:c>
      <x:c r="E322" s="17" t="n">
        <x:v>95.6043228936921</x:v>
      </x:c>
      <x:c r="F322" s="17" t="n">
        <x:v>627.5607560756075</x:v>
      </x:c>
      <x:c r="G322" s="17" t="n">
        <x:v>113.12293729372938</x:v>
      </x:c>
      <x:c r="H322" s="17" t="n">
        <x:v>152.94241573033707</x:v>
      </x:c>
      <x:c r="I322" s="17" t="n">
        <x:v>436.51234567901236</x:v>
      </x:c>
      <x:c r="J322" s="3"/>
      <x:c r="K322" s="3"/>
      <x:c r="L322" s="3"/>
      <x:c r="M322" s="3"/>
      <x:c r="N322" s="2"/>
      <x:c r="O322" s="2"/>
    </x:row>
    <x:row r="323" ht="20" customHeight="1">
      <x:c r="C323" s="2" t="str">
        <x:v>Price-source ID, 11 Sep close</x:v>
      </x:c>
      <x:c r="D323" s="3" t="str">
        <x:v>S27</x:v>
      </x:c>
      <x:c r="E323" s="3" t="str">
        <x:v>S28</x:v>
      </x:c>
      <x:c r="F323" s="3" t="str">
        <x:v>S29</x:v>
      </x:c>
      <x:c r="G323" s="3" t="str">
        <x:v>S30</x:v>
      </x:c>
      <x:c r="H323" s="3" t="str">
        <x:v>S31</x:v>
      </x:c>
      <x:c r="I323" s="3" t="str">
        <x:v>S32</x:v>
      </x:c>
      <x:c r="J323" s="3"/>
      <x:c r="K323" s="3"/>
      <x:c r="L323" s="3"/>
      <x:c r="M323" s="3"/>
      <x:c r="N323" s="2"/>
      <x:c r="O323" s="2"/>
    </x:row>
    <x:row r="324" ht="20" customHeight="1">
      <x:c r="C324" s="2"/>
      <x:c r="D324" s="3"/>
      <x:c r="E324" s="3"/>
      <x:c r="F324" s="3"/>
      <x:c r="G324" s="3"/>
      <x:c r="H324" s="3"/>
      <x:c r="I324" s="3"/>
      <x:c r="J324" s="3"/>
      <x:c r="K324" s="3"/>
      <x:c r="L324" s="3"/>
      <x:c r="M324" s="3"/>
      <x:c r="N324" s="2"/>
      <x:c r="O324" s="2"/>
    </x:row>
    <x:row r="325" ht="44" customHeight="1">
      <x:c r="C325" s="16" t="str">
        <x:v>All six closing prices now use 11 September, the latest common completed session verified. Market caps equal that close times basic shares inferred from captured provider market caps/prices. These are rounded share-count proxies, not an exchange share register.</x:v>
      </x:c>
      <x:c r="D325" s="38"/>
      <x:c r="E325" s="38"/>
      <x:c r="F325" s="38"/>
      <x:c r="G325" s="38"/>
      <x:c r="H325" s="38"/>
      <x:c r="I325" s="38"/>
      <x:c r="J325" s="38"/>
      <x:c r="K325" s="38"/>
      <x:c r="L325" s="38"/>
      <x:c r="M325" s="38"/>
      <x:c r="N325" s="2"/>
      <x:c r="O325" s="2"/>
    </x:row>
    <x:row r="326" ht="20" customHeight="1">
      <x:c r="C326" s="2"/>
      <x:c r="D326" s="3"/>
      <x:c r="E326" s="3"/>
      <x:c r="F326" s="3"/>
      <x:c r="G326" s="3"/>
      <x:c r="H326" s="3"/>
      <x:c r="I326" s="3"/>
      <x:c r="J326" s="3"/>
      <x:c r="K326" s="3"/>
      <x:c r="L326" s="3"/>
      <x:c r="M326" s="3"/>
      <x:c r="N326" s="2"/>
      <x:c r="O326" s="2"/>
    </x:row>
    <x:row r="327" ht="20" customHeight="1">
      <x:c r="C327" s="2"/>
      <x:c r="D327" s="3"/>
      <x:c r="E327" s="3"/>
      <x:c r="F327" s="3"/>
      <x:c r="G327" s="3"/>
      <x:c r="H327" s="3"/>
      <x:c r="I327" s="3"/>
      <x:c r="J327" s="3"/>
      <x:c r="K327" s="3"/>
      <x:c r="L327" s="3"/>
      <x:c r="M327" s="3"/>
      <x:c r="N327" s="2"/>
      <x:c r="O327" s="2"/>
    </x:row>
    <x:row r="328" ht="20" customHeight="1">
      <x:c r="C328" s="2"/>
      <x:c r="D328" s="3"/>
      <x:c r="E328" s="3"/>
      <x:c r="F328" s="3"/>
      <x:c r="G328" s="3"/>
      <x:c r="H328" s="3"/>
      <x:c r="I328" s="3"/>
      <x:c r="J328" s="3"/>
      <x:c r="K328" s="3"/>
      <x:c r="L328" s="3"/>
      <x:c r="M328" s="3"/>
      <x:c r="N328" s="2"/>
      <x:c r="O328" s="2"/>
    </x:row>
    <x:row r="329" ht="20" customHeight="1">
      <x:c r="C329" s="2"/>
      <x:c r="D329" s="3"/>
      <x:c r="E329" s="3"/>
      <x:c r="F329" s="3"/>
      <x:c r="G329" s="3"/>
      <x:c r="H329" s="3"/>
      <x:c r="I329" s="3"/>
      <x:c r="J329" s="3"/>
      <x:c r="K329" s="3"/>
      <x:c r="L329" s="3"/>
      <x:c r="M329" s="3"/>
      <x:c r="N329" s="2"/>
      <x:c r="O329" s="2"/>
    </x:row>
    <x:row r="330" ht="20" customHeight="1">
      <x:c r="C330" s="2" t="str">
        <x:v>S25</x:v>
      </x:c>
      <x:c r="D330" s="3" t="str">
        <x:v>Polycab FY26 results: shares and dividend</x:v>
      </x:c>
      <x:c r="E330" s="3"/>
      <x:c r="F330" s="3"/>
      <x:c r="G330" s="3"/>
      <x:c r="H330" s="3"/>
      <x:c r="I330" s="3"/>
      <x:c r="J330" s="3"/>
      <x:c r="K330" s="3"/>
      <x:c r="L330" s="3"/>
      <x:c r="M330" s="3"/>
      <x:c r="N330" s="2"/>
      <x:c r="O330" s="2"/>
    </x:row>
    <x:row r="331" ht="32" customHeight="1">
      <x:c r="C331" s="2"/>
      <x:c r="D331" s="38" t="str">
        <x:v>https://cms.polycab.com/media/32uo50ld/q4fy26-earnings-release.pdf</x:v>
      </x:c>
      <x:c r="E331" s="38"/>
      <x:c r="F331" s="38"/>
      <x:c r="G331" s="38"/>
      <x:c r="H331" s="38"/>
      <x:c r="I331" s="38"/>
      <x:c r="J331" s="38"/>
      <x:c r="K331" s="38"/>
      <x:c r="L331" s="38"/>
      <x:c r="M331" s="38"/>
      <x:c r="N331" s="2"/>
      <x:c r="O331" s="2"/>
    </x:row>
    <x:row r="332" ht="20" customHeight="1">
      <x:c r="C332" s="2"/>
      <x:c r="D332" s="3"/>
      <x:c r="E332" s="3"/>
      <x:c r="F332" s="3"/>
      <x:c r="G332" s="3"/>
      <x:c r="H332" s="3"/>
      <x:c r="I332" s="3"/>
      <x:c r="J332" s="3"/>
      <x:c r="K332" s="3"/>
      <x:c r="L332" s="3"/>
      <x:c r="M332" s="3"/>
      <x:c r="N332" s="2"/>
      <x:c r="O332" s="2"/>
    </x:row>
    <x:row r="333" ht="20" customHeight="1">
      <x:c r="C333" s="2"/>
      <x:c r="D333" s="3"/>
      <x:c r="E333" s="3"/>
      <x:c r="F333" s="3"/>
      <x:c r="G333" s="3"/>
      <x:c r="H333" s="3"/>
      <x:c r="I333" s="3"/>
      <x:c r="J333" s="3"/>
      <x:c r="K333" s="3"/>
      <x:c r="L333" s="3"/>
      <x:c r="M333" s="3"/>
      <x:c r="N333" s="2"/>
      <x:c r="O333" s="2"/>
    </x:row>
    <x:row r="334" ht="20" customHeight="1">
      <x:c r="C334" s="2"/>
      <x:c r="D334" s="3"/>
      <x:c r="E334" s="3"/>
      <x:c r="F334" s="3"/>
      <x:c r="G334" s="3"/>
      <x:c r="H334" s="3"/>
      <x:c r="I334" s="3"/>
      <x:c r="J334" s="3"/>
      <x:c r="K334" s="3"/>
      <x:c r="L334" s="3"/>
      <x:c r="M334" s="3"/>
      <x:c r="N334" s="2"/>
      <x:c r="O334" s="2"/>
    </x:row>
    <x:row r="335" ht="20" customHeight="1">
      <x:c r="C335" s="2" t="str">
        <x:v>S26</x:v>
      </x:c>
      <x:c r="D335" s="3" t="str">
        <x:v>Polycab Q1FY27 transcript: net cash, margins, investment</x:v>
      </x:c>
      <x:c r="E335" s="3"/>
      <x:c r="F335" s="3"/>
      <x:c r="G335" s="3"/>
      <x:c r="H335" s="3"/>
      <x:c r="I335" s="3"/>
      <x:c r="J335" s="3"/>
      <x:c r="K335" s="3"/>
      <x:c r="L335" s="3"/>
      <x:c r="M335" s="3"/>
      <x:c r="N335" s="2"/>
      <x:c r="O335" s="2"/>
    </x:row>
    <x:row r="336" ht="32" customHeight="1">
      <x:c r="C336" s="2"/>
      <x:c r="D336" s="38" t="str">
        <x:v>https://cms.polycab.com/media/1gmeqmrs/q1fy27-earnings-call-transcript-1.pdf</x:v>
      </x:c>
      <x:c r="E336" s="38"/>
      <x:c r="F336" s="38"/>
      <x:c r="G336" s="38"/>
      <x:c r="H336" s="38"/>
      <x:c r="I336" s="38"/>
      <x:c r="J336" s="38"/>
      <x:c r="K336" s="38"/>
      <x:c r="L336" s="38"/>
      <x:c r="M336" s="38"/>
      <x:c r="N336" s="2"/>
      <x:c r="O336" s="2"/>
    </x:row>
    <x:row r="337" ht="20" customHeight="1">
      <x:c r="C337" s="2"/>
      <x:c r="D337" s="3"/>
      <x:c r="E337" s="3"/>
      <x:c r="F337" s="3"/>
      <x:c r="G337" s="3"/>
      <x:c r="H337" s="3"/>
      <x:c r="I337" s="3"/>
      <x:c r="J337" s="3"/>
      <x:c r="K337" s="3"/>
      <x:c r="L337" s="3"/>
      <x:c r="M337" s="3"/>
      <x:c r="N337" s="2"/>
      <x:c r="O337" s="2"/>
    </x:row>
    <x:row r="338" ht="20" customHeight="1">
      <x:c r="C338" s="2"/>
      <x:c r="D338" s="3"/>
      <x:c r="E338" s="3"/>
      <x:c r="F338" s="3"/>
      <x:c r="G338" s="3"/>
      <x:c r="H338" s="3"/>
      <x:c r="I338" s="3"/>
      <x:c r="J338" s="3"/>
      <x:c r="K338" s="3"/>
      <x:c r="L338" s="3"/>
      <x:c r="M338" s="3"/>
      <x:c r="N338" s="2"/>
      <x:c r="O338" s="2"/>
    </x:row>
    <x:row r="339" ht="20" customHeight="1">
      <x:c r="C339" s="2"/>
      <x:c r="D339" s="3"/>
      <x:c r="E339" s="3"/>
      <x:c r="F339" s="3"/>
      <x:c r="G339" s="3"/>
      <x:c r="H339" s="3"/>
      <x:c r="I339" s="3"/>
      <x:c r="J339" s="3"/>
      <x:c r="K339" s="3"/>
      <x:c r="L339" s="3"/>
      <x:c r="M339" s="3"/>
      <x:c r="N339" s="2"/>
      <x:c r="O339" s="2"/>
    </x:row>
    <x:row r="340" ht="20" customHeight="1">
      <x:c r="C340" s="2" t="str">
        <x:v>S27</x:v>
      </x:c>
      <x:c r="D340" s="3" t="str">
        <x:v>POLYCAB: 11 September 2026 closing price</x:v>
      </x:c>
      <x:c r="E340" s="3"/>
      <x:c r="F340" s="3"/>
      <x:c r="G340" s="3"/>
      <x:c r="H340" s="3"/>
      <x:c r="I340" s="3"/>
      <x:c r="J340" s="3"/>
      <x:c r="K340" s="3"/>
      <x:c r="L340" s="3"/>
      <x:c r="M340" s="3"/>
      <x:c r="N340" s="2"/>
      <x:c r="O340" s="2"/>
    </x:row>
    <x:row r="341" ht="32" customHeight="1">
      <x:c r="C341" s="2"/>
      <x:c r="D341" s="38" t="str">
        <x:v>https://www.equitypandit.com/historical-data/POLYCAB</x:v>
      </x:c>
      <x:c r="E341" s="38"/>
      <x:c r="F341" s="38"/>
      <x:c r="G341" s="38"/>
      <x:c r="H341" s="38"/>
      <x:c r="I341" s="38"/>
      <x:c r="J341" s="38"/>
      <x:c r="K341" s="38"/>
      <x:c r="L341" s="38"/>
      <x:c r="M341" s="38"/>
      <x:c r="N341" s="2"/>
      <x:c r="O341" s="2"/>
    </x:row>
    <x:row r="342" ht="20" customHeight="1">
      <x:c r="C342" s="2"/>
      <x:c r="D342" s="3"/>
      <x:c r="E342" s="3"/>
      <x:c r="F342" s="3"/>
      <x:c r="G342" s="3"/>
      <x:c r="H342" s="3"/>
      <x:c r="I342" s="3"/>
      <x:c r="J342" s="3"/>
      <x:c r="K342" s="3"/>
      <x:c r="L342" s="3"/>
      <x:c r="M342" s="3"/>
      <x:c r="N342" s="2"/>
      <x:c r="O342" s="2"/>
    </x:row>
    <x:row r="343" ht="20" customHeight="1">
      <x:c r="C343" s="2"/>
      <x:c r="D343" s="3"/>
      <x:c r="E343" s="3"/>
      <x:c r="F343" s="3"/>
      <x:c r="G343" s="3"/>
      <x:c r="H343" s="3"/>
      <x:c r="I343" s="3"/>
      <x:c r="J343" s="3"/>
      <x:c r="K343" s="3"/>
      <x:c r="L343" s="3"/>
      <x:c r="M343" s="3"/>
      <x:c r="N343" s="2"/>
      <x:c r="O343" s="2"/>
    </x:row>
    <x:row r="344" ht="20" customHeight="1">
      <x:c r="C344" s="2"/>
      <x:c r="D344" s="3"/>
      <x:c r="E344" s="3"/>
      <x:c r="F344" s="3"/>
      <x:c r="G344" s="3"/>
      <x:c r="H344" s="3"/>
      <x:c r="I344" s="3"/>
      <x:c r="J344" s="3"/>
      <x:c r="K344" s="3"/>
      <x:c r="L344" s="3"/>
      <x:c r="M344" s="3"/>
      <x:c r="N344" s="2"/>
      <x:c r="O344" s="2"/>
    </x:row>
    <x:row r="345" ht="20" customHeight="1">
      <x:c r="C345" s="2" t="str">
        <x:v>S28</x:v>
      </x:c>
      <x:c r="D345" s="3" t="str">
        <x:v>KEI: 11 September 2026 closing price</x:v>
      </x:c>
      <x:c r="E345" s="3"/>
      <x:c r="F345" s="3"/>
      <x:c r="G345" s="3"/>
      <x:c r="H345" s="3"/>
      <x:c r="I345" s="3"/>
      <x:c r="J345" s="3"/>
      <x:c r="K345" s="3"/>
      <x:c r="L345" s="3"/>
      <x:c r="M345" s="3"/>
      <x:c r="N345" s="2"/>
      <x:c r="O345" s="2"/>
    </x:row>
    <x:row r="346" ht="32" customHeight="1">
      <x:c r="C346" s="2"/>
      <x:c r="D346" s="38" t="str">
        <x:v>https://www.equitypandit.com/historical-data/KEI</x:v>
      </x:c>
      <x:c r="E346" s="38"/>
      <x:c r="F346" s="38"/>
      <x:c r="G346" s="38"/>
      <x:c r="H346" s="38"/>
      <x:c r="I346" s="38"/>
      <x:c r="J346" s="38"/>
      <x:c r="K346" s="38"/>
      <x:c r="L346" s="38"/>
      <x:c r="M346" s="38"/>
      <x:c r="N346" s="2"/>
      <x:c r="O346" s="2"/>
    </x:row>
    <x:row r="347" ht="20" customHeight="1">
      <x:c r="C347" s="2"/>
      <x:c r="D347" s="3"/>
      <x:c r="E347" s="3"/>
      <x:c r="F347" s="3"/>
      <x:c r="G347" s="3"/>
      <x:c r="H347" s="3"/>
      <x:c r="I347" s="3"/>
      <x:c r="J347" s="3"/>
      <x:c r="K347" s="3"/>
      <x:c r="L347" s="3"/>
      <x:c r="M347" s="3"/>
      <x:c r="N347" s="2"/>
      <x:c r="O347" s="2"/>
    </x:row>
    <x:row r="348" ht="20" customHeight="1">
      <x:c r="C348" s="2"/>
      <x:c r="D348" s="3"/>
      <x:c r="E348" s="3"/>
      <x:c r="F348" s="3"/>
      <x:c r="G348" s="3"/>
      <x:c r="H348" s="3"/>
      <x:c r="I348" s="3"/>
      <x:c r="J348" s="3"/>
      <x:c r="K348" s="3"/>
      <x:c r="L348" s="3"/>
      <x:c r="M348" s="3"/>
      <x:c r="N348" s="2"/>
      <x:c r="O348" s="2"/>
    </x:row>
    <x:row r="349" ht="20" customHeight="1">
      <x:c r="C349" s="2"/>
      <x:c r="D349" s="3"/>
      <x:c r="E349" s="3"/>
      <x:c r="F349" s="3"/>
      <x:c r="G349" s="3"/>
      <x:c r="H349" s="3"/>
      <x:c r="I349" s="3"/>
      <x:c r="J349" s="3"/>
      <x:c r="K349" s="3"/>
      <x:c r="L349" s="3"/>
      <x:c r="M349" s="3"/>
      <x:c r="N349" s="2"/>
      <x:c r="O349" s="2"/>
    </x:row>
    <x:row r="350" ht="20" customHeight="1">
      <x:c r="C350" s="2" t="str">
        <x:v>S29</x:v>
      </x:c>
      <x:c r="D350" s="3" t="str">
        <x:v>HAVELLS: 11 September 2026 closing price</x:v>
      </x:c>
      <x:c r="E350" s="3"/>
      <x:c r="F350" s="3"/>
      <x:c r="G350" s="3"/>
      <x:c r="H350" s="3"/>
      <x:c r="I350" s="3"/>
      <x:c r="J350" s="3"/>
      <x:c r="K350" s="3"/>
      <x:c r="L350" s="3"/>
      <x:c r="M350" s="3"/>
      <x:c r="N350" s="2"/>
      <x:c r="O350" s="2"/>
    </x:row>
    <x:row r="351" ht="32" customHeight="1">
      <x:c r="C351" s="2"/>
      <x:c r="D351" s="38" t="str">
        <x:v>https://www.equitypandit.com/historical-data/HAVELLS</x:v>
      </x:c>
      <x:c r="E351" s="38"/>
      <x:c r="F351" s="38"/>
      <x:c r="G351" s="38"/>
      <x:c r="H351" s="38"/>
      <x:c r="I351" s="38"/>
      <x:c r="J351" s="38"/>
      <x:c r="K351" s="38"/>
      <x:c r="L351" s="38"/>
      <x:c r="M351" s="38"/>
      <x:c r="N351" s="2"/>
      <x:c r="O351" s="2"/>
    </x:row>
    <x:row r="352" ht="20" customHeight="1">
      <x:c r="C352" s="2"/>
      <x:c r="D352" s="3"/>
      <x:c r="E352" s="3"/>
      <x:c r="F352" s="3"/>
      <x:c r="G352" s="3"/>
      <x:c r="H352" s="3"/>
      <x:c r="I352" s="3"/>
      <x:c r="J352" s="3"/>
      <x:c r="K352" s="3"/>
      <x:c r="L352" s="3"/>
      <x:c r="M352" s="3"/>
      <x:c r="N352" s="2"/>
      <x:c r="O352" s="2"/>
    </x:row>
    <x:row r="353" ht="20" customHeight="1">
      <x:c r="C353" s="2"/>
      <x:c r="D353" s="3"/>
      <x:c r="E353" s="3"/>
      <x:c r="F353" s="3"/>
      <x:c r="G353" s="3"/>
      <x:c r="H353" s="3"/>
      <x:c r="I353" s="3"/>
      <x:c r="J353" s="3"/>
      <x:c r="K353" s="3"/>
      <x:c r="L353" s="3"/>
      <x:c r="M353" s="3"/>
      <x:c r="N353" s="2"/>
      <x:c r="O353" s="2"/>
    </x:row>
    <x:row r="354" ht="20" customHeight="1">
      <x:c r="C354" s="2"/>
      <x:c r="D354" s="3"/>
      <x:c r="E354" s="3"/>
      <x:c r="F354" s="3"/>
      <x:c r="G354" s="3"/>
      <x:c r="H354" s="3"/>
      <x:c r="I354" s="3"/>
      <x:c r="J354" s="3"/>
      <x:c r="K354" s="3"/>
      <x:c r="L354" s="3"/>
      <x:c r="M354" s="3"/>
      <x:c r="N354" s="2"/>
      <x:c r="O354" s="2"/>
    </x:row>
    <x:row r="355" ht="20" customHeight="1">
      <x:c r="C355" s="2" t="str">
        <x:v>S30</x:v>
      </x:c>
      <x:c r="D355" s="3" t="str">
        <x:v>RRKABEL: 11 September 2026 closing price</x:v>
      </x:c>
      <x:c r="E355" s="3"/>
      <x:c r="F355" s="3"/>
      <x:c r="G355" s="3"/>
      <x:c r="H355" s="3"/>
      <x:c r="I355" s="3"/>
      <x:c r="J355" s="3"/>
      <x:c r="K355" s="3"/>
      <x:c r="L355" s="3"/>
      <x:c r="M355" s="3"/>
      <x:c r="N355" s="2"/>
      <x:c r="O355" s="2"/>
    </x:row>
    <x:row r="356" ht="32" customHeight="1">
      <x:c r="C356" s="2"/>
      <x:c r="D356" s="38" t="str">
        <x:v>https://www.equitypandit.com/historical-data/RRKABEL</x:v>
      </x:c>
      <x:c r="E356" s="38"/>
      <x:c r="F356" s="38"/>
      <x:c r="G356" s="38"/>
      <x:c r="H356" s="38"/>
      <x:c r="I356" s="38"/>
      <x:c r="J356" s="38"/>
      <x:c r="K356" s="38"/>
      <x:c r="L356" s="38"/>
      <x:c r="M356" s="38"/>
      <x:c r="N356" s="2"/>
      <x:c r="O356" s="2"/>
    </x:row>
    <x:row r="357" ht="20" customHeight="1">
      <x:c r="C357" s="2"/>
      <x:c r="D357" s="3"/>
      <x:c r="E357" s="3"/>
      <x:c r="F357" s="3"/>
      <x:c r="G357" s="3"/>
      <x:c r="H357" s="3"/>
      <x:c r="I357" s="3"/>
      <x:c r="J357" s="3"/>
      <x:c r="K357" s="3"/>
      <x:c r="L357" s="3"/>
      <x:c r="M357" s="3"/>
      <x:c r="N357" s="2"/>
      <x:c r="O357" s="2"/>
    </x:row>
    <x:row r="358" ht="20" customHeight="1">
      <x:c r="C358" s="2"/>
      <x:c r="D358" s="3"/>
      <x:c r="E358" s="3"/>
      <x:c r="F358" s="3"/>
      <x:c r="G358" s="3"/>
      <x:c r="H358" s="3"/>
      <x:c r="I358" s="3"/>
      <x:c r="J358" s="3"/>
      <x:c r="K358" s="3"/>
      <x:c r="L358" s="3"/>
      <x:c r="M358" s="3"/>
      <x:c r="N358" s="2"/>
      <x:c r="O358" s="2"/>
    </x:row>
    <x:row r="359" ht="20" customHeight="1">
      <x:c r="C359" s="2"/>
      <x:c r="D359" s="3"/>
      <x:c r="E359" s="3"/>
      <x:c r="F359" s="3"/>
      <x:c r="G359" s="3"/>
      <x:c r="H359" s="3"/>
      <x:c r="I359" s="3"/>
      <x:c r="J359" s="3"/>
      <x:c r="K359" s="3"/>
      <x:c r="L359" s="3"/>
      <x:c r="M359" s="3"/>
      <x:c r="N359" s="2"/>
      <x:c r="O359" s="2"/>
    </x:row>
    <x:row r="360" ht="20" customHeight="1">
      <x:c r="C360" s="2" t="str">
        <x:v>S31</x:v>
      </x:c>
      <x:c r="D360" s="3" t="str">
        <x:v>FINCABLES: 11 September 2026 closing price</x:v>
      </x:c>
      <x:c r="E360" s="3"/>
      <x:c r="F360" s="3"/>
      <x:c r="G360" s="3"/>
      <x:c r="H360" s="3"/>
      <x:c r="I360" s="3"/>
      <x:c r="J360" s="3"/>
      <x:c r="K360" s="3"/>
      <x:c r="L360" s="3"/>
      <x:c r="M360" s="3"/>
      <x:c r="N360" s="2"/>
      <x:c r="O360" s="2"/>
    </x:row>
    <x:row r="361" ht="32" customHeight="1">
      <x:c r="C361" s="2"/>
      <x:c r="D361" s="38" t="str">
        <x:v>https://www.equitypandit.com/historical-data/FINCABLES</x:v>
      </x:c>
      <x:c r="E361" s="38"/>
      <x:c r="F361" s="38"/>
      <x:c r="G361" s="38"/>
      <x:c r="H361" s="38"/>
      <x:c r="I361" s="38"/>
      <x:c r="J361" s="38"/>
      <x:c r="K361" s="38"/>
      <x:c r="L361" s="38"/>
      <x:c r="M361" s="38"/>
      <x:c r="N361" s="2"/>
      <x:c r="O361" s="2"/>
    </x:row>
    <x:row r="362" ht="20" customHeight="1">
      <x:c r="C362" s="2"/>
      <x:c r="D362" s="3"/>
      <x:c r="E362" s="3"/>
      <x:c r="F362" s="3"/>
      <x:c r="G362" s="3"/>
      <x:c r="H362" s="3"/>
      <x:c r="I362" s="3"/>
      <x:c r="J362" s="3"/>
      <x:c r="K362" s="3"/>
      <x:c r="L362" s="3"/>
      <x:c r="M362" s="3"/>
      <x:c r="N362" s="2"/>
      <x:c r="O362" s="2"/>
    </x:row>
    <x:row r="363" ht="20" customHeight="1">
      <x:c r="C363" s="2"/>
      <x:c r="D363" s="3"/>
      <x:c r="E363" s="3"/>
      <x:c r="F363" s="3"/>
      <x:c r="G363" s="3"/>
      <x:c r="H363" s="3"/>
      <x:c r="I363" s="3"/>
      <x:c r="J363" s="3"/>
      <x:c r="K363" s="3"/>
      <x:c r="L363" s="3"/>
      <x:c r="M363" s="3"/>
      <x:c r="N363" s="2"/>
      <x:c r="O363" s="2"/>
    </x:row>
    <x:row r="364" ht="20" customHeight="1">
      <x:c r="C364" s="2"/>
      <x:c r="D364" s="3"/>
      <x:c r="E364" s="3"/>
      <x:c r="F364" s="3"/>
      <x:c r="G364" s="3"/>
      <x:c r="H364" s="3"/>
      <x:c r="I364" s="3"/>
      <x:c r="J364" s="3"/>
      <x:c r="K364" s="3"/>
      <x:c r="L364" s="3"/>
      <x:c r="M364" s="3"/>
      <x:c r="N364" s="2"/>
      <x:c r="O364" s="2"/>
    </x:row>
    <x:row r="365" ht="20" customHeight="1">
      <x:c r="C365" s="2" t="str">
        <x:v>S32</x:v>
      </x:c>
      <x:c r="D365" s="3" t="str">
        <x:v>VGUARD: 11 September 2026 closing price</x:v>
      </x:c>
      <x:c r="E365" s="3"/>
      <x:c r="F365" s="3"/>
      <x:c r="G365" s="3"/>
      <x:c r="H365" s="3"/>
      <x:c r="I365" s="3"/>
      <x:c r="J365" s="3"/>
      <x:c r="K365" s="3"/>
      <x:c r="L365" s="3"/>
      <x:c r="M365" s="3"/>
      <x:c r="N365" s="2"/>
      <x:c r="O365" s="2"/>
    </x:row>
    <x:row r="366" ht="32" customHeight="1">
      <x:c r="C366" s="2"/>
      <x:c r="D366" s="38" t="str">
        <x:v>https://www.equitypandit.com/historical-data/VGUARD</x:v>
      </x:c>
      <x:c r="E366" s="38"/>
      <x:c r="F366" s="38"/>
      <x:c r="G366" s="38"/>
      <x:c r="H366" s="38"/>
      <x:c r="I366" s="38"/>
      <x:c r="J366" s="38"/>
      <x:c r="K366" s="38"/>
      <x:c r="L366" s="38"/>
      <x:c r="M366" s="38"/>
      <x:c r="N366" s="2"/>
      <x:c r="O366" s="2"/>
    </x:row>
    <x:row r="367" ht="20" customHeight="1">
      <x:c r="C367" s="2"/>
      <x:c r="D367" s="3"/>
      <x:c r="E367" s="3"/>
      <x:c r="F367" s="3"/>
      <x:c r="G367" s="3"/>
      <x:c r="H367" s="3"/>
      <x:c r="I367" s="3"/>
      <x:c r="J367" s="3"/>
      <x:c r="K367" s="3"/>
      <x:c r="L367" s="3"/>
      <x:c r="M367" s="3"/>
      <x:c r="N367" s="2"/>
      <x:c r="O367" s="2"/>
    </x:row>
    <x:row r="368" ht="20" customHeight="1">
      <x:c r="C368" s="2"/>
      <x:c r="D368" s="3"/>
      <x:c r="E368" s="3"/>
      <x:c r="F368" s="3"/>
      <x:c r="G368" s="3"/>
      <x:c r="H368" s="3"/>
      <x:c r="I368" s="3"/>
      <x:c r="J368" s="3"/>
      <x:c r="K368" s="3"/>
      <x:c r="L368" s="3"/>
      <x:c r="M368" s="3"/>
      <x:c r="N368" s="2"/>
      <x:c r="O368" s="2"/>
    </x:row>
    <x:row r="369" ht="20" customHeight="1">
      <x:c r="C369" s="2"/>
      <x:c r="D369" s="3"/>
      <x:c r="E369" s="3"/>
      <x:c r="F369" s="3"/>
      <x:c r="G369" s="3"/>
      <x:c r="H369" s="3"/>
      <x:c r="I369" s="3"/>
      <x:c r="J369" s="3"/>
      <x:c r="K369" s="3"/>
      <x:c r="L369" s="3"/>
      <x:c r="M369" s="3"/>
      <x:c r="N369" s="2"/>
      <x:c r="O369" s="2"/>
    </x:row>
    <x:row r="370" ht="20" customHeight="1">
      <x:c r="C370" s="2"/>
      <x:c r="D370" s="3"/>
      <x:c r="E370" s="3"/>
      <x:c r="F370" s="3"/>
      <x:c r="G370" s="3"/>
      <x:c r="H370" s="3"/>
      <x:c r="I370" s="3"/>
      <x:c r="J370" s="3"/>
      <x:c r="K370" s="3"/>
      <x:c r="L370" s="3"/>
      <x:c r="M370" s="3"/>
      <x:c r="N370" s="2"/>
      <x:c r="O370" s="2"/>
    </x:row>
    <x:row r="371" ht="20" customHeight="1">
      <x:c r="C371" s="2"/>
      <x:c r="D371" s="3"/>
      <x:c r="E371" s="3"/>
      <x:c r="F371" s="3"/>
      <x:c r="G371" s="3"/>
      <x:c r="H371" s="3"/>
      <x:c r="I371" s="3"/>
      <x:c r="J371" s="3"/>
      <x:c r="K371" s="3"/>
      <x:c r="L371" s="3"/>
      <x:c r="M371" s="3"/>
      <x:c r="N371" s="2"/>
      <x:c r="O371" s="2"/>
    </x:row>
    <x:row r="372" ht="44" customHeight="1">
      <x:c r="C372" s="16" t="str">
        <x:v>Share update: a September 1 ESOP allotment of 14,970 shares was identified, but the full post-allotment register could not be verified. The fresh market-cap/price ratio captures the provider share base. Dilution adds the FY26 weighted-average option increment as a proxy.</x:v>
      </x:c>
      <x:c r="D372" s="38"/>
      <x:c r="E372" s="38"/>
      <x:c r="F372" s="38"/>
      <x:c r="G372" s="38"/>
      <x:c r="H372" s="38"/>
      <x:c r="I372" s="38"/>
      <x:c r="J372" s="38"/>
      <x:c r="K372" s="38"/>
      <x:c r="L372" s="38"/>
      <x:c r="M372" s="38"/>
      <x:c r="N372" s="2"/>
      <x:c r="O372" s="2"/>
    </x:row>
    <x:row r="373" ht="20" customHeight="1">
      <x:c r="C373" s="2"/>
      <x:c r="D373" s="3"/>
      <x:c r="E373" s="3"/>
      <x:c r="F373" s="3"/>
      <x:c r="G373" s="3"/>
      <x:c r="H373" s="3"/>
      <x:c r="I373" s="3"/>
      <x:c r="J373" s="3"/>
      <x:c r="K373" s="3"/>
      <x:c r="L373" s="3"/>
      <x:c r="M373" s="3"/>
      <x:c r="N373" s="2"/>
      <x:c r="O373" s="2"/>
    </x:row>
    <x:row r="374" ht="20" customHeight="1">
      <x:c r="C374" s="2"/>
      <x:c r="D374" s="3"/>
      <x:c r="E374" s="3"/>
      <x:c r="F374" s="3"/>
      <x:c r="G374" s="3"/>
      <x:c r="H374" s="3"/>
      <x:c r="I374" s="3"/>
      <x:c r="J374" s="3"/>
      <x:c r="K374" s="3"/>
      <x:c r="L374" s="3"/>
      <x:c r="M374" s="3"/>
      <x:c r="N374" s="2"/>
      <x:c r="O374" s="2"/>
    </x:row>
    <x:row r="375" ht="44" customHeight="1">
      <x:c r="C375" s="16" t="str">
        <x:v>September claims are estimates: linear FY26-to-FY27 balance interpolation, with the pro-rata forecast dividend replaced by the paid FY26 dividend. No quarterly detailed balance sheet is fabricated. June reported net cash is a definition cross-check only.</x:v>
      </x:c>
      <x:c r="D375" s="38"/>
      <x:c r="E375" s="38"/>
      <x:c r="F375" s="38"/>
      <x:c r="G375" s="38"/>
      <x:c r="H375" s="38"/>
      <x:c r="I375" s="38"/>
      <x:c r="J375" s="38"/>
      <x:c r="K375" s="38"/>
      <x:c r="L375" s="38"/>
      <x:c r="M375" s="38"/>
      <x:c r="N375" s="2"/>
      <x:c r="O375" s="2"/>
    </x:row>
    <x:row r="376" ht="20" customHeight="1">
      <x:c r="C376" s="2"/>
      <x:c r="D376" s="3"/>
      <x:c r="E376" s="3"/>
      <x:c r="F376" s="3"/>
      <x:c r="G376" s="3"/>
      <x:c r="H376" s="3"/>
      <x:c r="I376" s="3"/>
      <x:c r="J376" s="3"/>
      <x:c r="K376" s="3"/>
      <x:c r="L376" s="3"/>
      <x:c r="M376" s="3"/>
      <x:c r="N376" s="2"/>
      <x:c r="O376" s="2"/>
    </x:row>
    <x:row r="377" ht="20" customHeight="1">
      <x:c r="C377" s="2"/>
      <x:c r="D377" s="3"/>
      <x:c r="E377" s="3"/>
      <x:c r="F377" s="3"/>
      <x:c r="G377" s="3"/>
      <x:c r="H377" s="3"/>
      <x:c r="I377" s="3"/>
      <x:c r="J377" s="3"/>
      <x:c r="K377" s="3"/>
      <x:c r="L377" s="3"/>
      <x:c r="M377" s="3"/>
      <x:c r="N377" s="2"/>
      <x:c r="O377" s="2"/>
    </x:row>
    <x:row r="378" ht="44" customHeight="1">
      <x:c r="C378" s="16" t="str">
        <x:v>Price sources accessed 15 September 2026. Peer balance-sheet adjustments retain the latest detailed FY26 inputs previously verified. The common price date does not imply September audited balance sheets.</x:v>
      </x:c>
      <x:c r="D378" s="38"/>
      <x:c r="E378" s="38"/>
      <x:c r="F378" s="38"/>
      <x:c r="G378" s="38"/>
      <x:c r="H378" s="38"/>
      <x:c r="I378" s="38"/>
      <x:c r="J378" s="38"/>
      <x:c r="K378" s="38"/>
      <x:c r="L378" s="38"/>
      <x:c r="M378" s="38"/>
      <x:c r="N378" s="2"/>
      <x:c r="O378" s="2"/>
    </x:row>
    <x:row r="379" ht="20" customHeight="1">
      <x:c r="C379" s="2"/>
      <x:c r="D379" s="3"/>
      <x:c r="E379" s="3"/>
      <x:c r="F379" s="3"/>
      <x:c r="G379" s="3"/>
      <x:c r="H379" s="3"/>
      <x:c r="I379" s="3"/>
      <x:c r="J379" s="3"/>
      <x:c r="K379" s="3"/>
      <x:c r="L379" s="3"/>
      <x:c r="M379" s="3"/>
      <x:c r="N379" s="2"/>
      <x:c r="O379" s="2"/>
    </x:row>
    <x:row r="380" ht="20" customHeight="1">
      <x:c r="C380" s="2"/>
      <x:c r="D380" s="3"/>
      <x:c r="E380" s="3"/>
      <x:c r="F380" s="3"/>
      <x:c r="G380" s="3"/>
      <x:c r="H380" s="3"/>
      <x:c r="I380" s="3"/>
      <x:c r="J380" s="3"/>
      <x:c r="K380" s="3"/>
      <x:c r="L380" s="3"/>
      <x:c r="M380" s="3"/>
      <x:c r="N380" s="2"/>
      <x:c r="O380" s="2"/>
    </x:row>
    <x:row r="381" ht="20" customHeight="1">
      <x:c r="C381" s="2"/>
      <x:c r="D381" s="3"/>
      <x:c r="E381" s="3"/>
      <x:c r="F381" s="3"/>
      <x:c r="G381" s="3"/>
      <x:c r="H381" s="3"/>
      <x:c r="I381" s="3"/>
      <x:c r="J381" s="3"/>
      <x:c r="K381" s="3"/>
      <x:c r="L381" s="3"/>
      <x:c r="M381" s="3"/>
      <x:c r="N381" s="2"/>
      <x:c r="O381" s="2"/>
    </x:row>
    <x:row r="382" ht="20" customHeight="1">
      <x:c r="C382" s="2"/>
      <x:c r="D382" s="3"/>
      <x:c r="E382" s="3"/>
      <x:c r="F382" s="3"/>
      <x:c r="G382" s="3"/>
      <x:c r="H382" s="3"/>
      <x:c r="I382" s="3"/>
      <x:c r="J382" s="3"/>
      <x:c r="K382" s="3"/>
      <x:c r="L382" s="3"/>
      <x:c r="M382" s="3"/>
      <x:c r="N382" s="2"/>
      <x:c r="O382" s="2"/>
    </x:row>
    <x:row r="383" ht="20" customHeight="1">
      <x:c r="C383" s="2"/>
      <x:c r="D383" s="3"/>
      <x:c r="E383" s="3"/>
      <x:c r="F383" s="3"/>
      <x:c r="G383" s="3"/>
      <x:c r="H383" s="3"/>
      <x:c r="I383" s="3"/>
      <x:c r="J383" s="3"/>
      <x:c r="K383" s="3"/>
      <x:c r="L383" s="3"/>
      <x:c r="M383" s="3"/>
      <x:c r="N383" s="2"/>
      <x:c r="O383" s="2"/>
    </x:row>
    <x:row r="384" ht="20" customHeight="1">
      <x:c r="C384" s="2" t="str">
        <x:v>S33</x:v>
      </x:c>
      <x:c r="D384" s="3" t="str">
        <x:v>Q1 filing summary: dividend cash paid</x:v>
      </x:c>
      <x:c r="E384" s="3"/>
      <x:c r="F384" s="3"/>
      <x:c r="G384" s="3"/>
      <x:c r="H384" s="3"/>
      <x:c r="I384" s="3"/>
      <x:c r="J384" s="3"/>
      <x:c r="K384" s="3"/>
      <x:c r="L384" s="3"/>
      <x:c r="M384" s="3"/>
      <x:c r="N384" s="2"/>
      <x:c r="O384" s="2"/>
    </x:row>
    <x:row r="385" ht="32" customHeight="1">
      <x:c r="C385" s="2"/>
      <x:c r="D385" s="38" t="str">
        <x:v>https://www.perivis.com/message/41664a45-6d50-400d-a10c-61428b4bc1af</x:v>
      </x:c>
      <x:c r="E385" s="38"/>
      <x:c r="F385" s="38"/>
      <x:c r="G385" s="38"/>
      <x:c r="H385" s="38"/>
      <x:c r="I385" s="38"/>
      <x:c r="J385" s="38"/>
      <x:c r="K385" s="38"/>
      <x:c r="L385" s="38"/>
      <x:c r="M385" s="38"/>
      <x:c r="N385" s="2"/>
      <x:c r="O385" s="2"/>
    </x:row>
    <x:row r="386" ht="20" customHeight="1">
      <x:c r="C386" s="2"/>
      <x:c r="D386" s="3"/>
      <x:c r="E386" s="3"/>
      <x:c r="F386" s="3"/>
      <x:c r="G386" s="3"/>
      <x:c r="H386" s="3"/>
      <x:c r="I386" s="3"/>
      <x:c r="J386" s="3"/>
      <x:c r="K386" s="3"/>
      <x:c r="L386" s="3"/>
      <x:c r="M386" s="3"/>
      <x:c r="N386" s="2"/>
      <x:c r="O386" s="2"/>
    </x:row>
    <x:row r="387" ht="20" customHeight="1">
      <x:c r="C387" s="2"/>
      <x:c r="D387" s="3"/>
      <x:c r="E387" s="3"/>
      <x:c r="F387" s="3"/>
      <x:c r="G387" s="3"/>
      <x:c r="H387" s="3"/>
      <x:c r="I387" s="3"/>
      <x:c r="J387" s="3"/>
      <x:c r="K387" s="3"/>
      <x:c r="L387" s="3"/>
      <x:c r="M387" s="3"/>
      <x:c r="N387" s="2"/>
      <x:c r="O387" s="2"/>
    </x:row>
    <x:row r="388" ht="20" customHeight="1">
      <x:c r="C388" s="2"/>
      <x:c r="D388" s="3"/>
      <x:c r="E388" s="3"/>
      <x:c r="F388" s="3"/>
      <x:c r="G388" s="3"/>
      <x:c r="H388" s="3"/>
      <x:c r="I388" s="3"/>
      <x:c r="J388" s="3"/>
      <x:c r="K388" s="3"/>
      <x:c r="L388" s="3"/>
      <x:c r="M388" s="3"/>
      <x:c r="N388" s="2"/>
      <x:c r="O388" s="2"/>
    </x:row>
    <x:row r="389" ht="20" customHeight="1">
      <x:c r="C389" s="2" t="str">
        <x:v>S34</x:v>
      </x:c>
      <x:c r="D389" s="3" t="str">
        <x:v>Q1 filing summary: dividend cross-check</x:v>
      </x:c>
      <x:c r="E389" s="3"/>
      <x:c r="F389" s="3"/>
      <x:c r="G389" s="3"/>
      <x:c r="H389" s="3"/>
      <x:c r="I389" s="3"/>
      <x:c r="J389" s="3"/>
      <x:c r="K389" s="3"/>
      <x:c r="L389" s="3"/>
      <x:c r="M389" s="3"/>
      <x:c r="N389" s="2"/>
      <x:c r="O389" s="2"/>
    </x:row>
    <x:row r="390" ht="32" customHeight="1">
      <x:c r="C390" s="2"/>
      <x:c r="D390" s="38" t="str">
        <x:v>https://www.reportsradar.com/reports/a1418f33-ebd5-4212-97ef-f7f4eb37e499</x:v>
      </x:c>
      <x:c r="E390" s="38"/>
      <x:c r="F390" s="38"/>
      <x:c r="G390" s="38"/>
      <x:c r="H390" s="38"/>
      <x:c r="I390" s="38"/>
      <x:c r="J390" s="38"/>
      <x:c r="K390" s="38"/>
      <x:c r="L390" s="38"/>
      <x:c r="M390" s="38"/>
      <x:c r="N390" s="2"/>
      <x:c r="O390" s="2"/>
    </x:row>
  </x:sheetData>
  <x:mergeCells>
    <x:mergeCell ref="C10:M10"/>
    <x:mergeCell ref="D13:M13"/>
    <x:mergeCell ref="D15:M15"/>
    <x:mergeCell ref="D17:M17"/>
    <x:mergeCell ref="D19:M19"/>
    <x:mergeCell ref="D21:M21"/>
    <x:mergeCell ref="D88:M88"/>
    <x:mergeCell ref="D89:M89"/>
    <x:mergeCell ref="D92:M92"/>
    <x:mergeCell ref="D93:M93"/>
    <x:mergeCell ref="D96:M96"/>
    <x:mergeCell ref="D97:M97"/>
    <x:mergeCell ref="D100:M100"/>
    <x:mergeCell ref="D101:M101"/>
    <x:mergeCell ref="D104:M104"/>
    <x:mergeCell ref="D105:M105"/>
    <x:mergeCell ref="D25:M25"/>
    <x:mergeCell ref="D27:M27"/>
    <x:mergeCell ref="C174:M174"/>
    <x:mergeCell ref="C179:M179"/>
    <x:mergeCell ref="C183:M183"/>
    <x:mergeCell ref="C187:M187"/>
    <x:mergeCell ref="C191:M191"/>
    <x:mergeCell ref="C195:M195"/>
    <x:mergeCell ref="C199:M199"/>
    <x:mergeCell ref="C204:M204"/>
    <x:mergeCell ref="C206:M206"/>
    <x:mergeCell ref="C208:M208"/>
    <x:mergeCell ref="D254:M254"/>
    <x:mergeCell ref="D255:M255"/>
    <x:mergeCell ref="D258:M258"/>
    <x:mergeCell ref="D259:M259"/>
    <x:mergeCell ref="D262:M262"/>
    <x:mergeCell ref="D263:M263"/>
    <x:mergeCell ref="D266:M266"/>
    <x:mergeCell ref="D267:M267"/>
    <x:mergeCell ref="D270:M270"/>
    <x:mergeCell ref="D271:M271"/>
    <x:mergeCell ref="D274:M274"/>
    <x:mergeCell ref="D275:M275"/>
    <x:mergeCell ref="D278:M278"/>
    <x:mergeCell ref="D279:M279"/>
    <x:mergeCell ref="D282:M282"/>
    <x:mergeCell ref="D283:M283"/>
    <x:mergeCell ref="D286:M286"/>
    <x:mergeCell ref="D287:M287"/>
    <x:mergeCell ref="D290:M290"/>
    <x:mergeCell ref="D291:M291"/>
    <x:mergeCell ref="D294:M294"/>
    <x:mergeCell ref="D295:M295"/>
    <x:mergeCell ref="D298:M298"/>
    <x:mergeCell ref="D299:M299"/>
    <x:mergeCell ref="D302:M302"/>
    <x:mergeCell ref="D303:M303"/>
    <x:mergeCell ref="C214:M214"/>
    <x:mergeCell ref="C216:M216"/>
    <x:mergeCell ref="C325:M325"/>
    <x:mergeCell ref="D330:M330"/>
    <x:mergeCell ref="D331:M331"/>
    <x:mergeCell ref="D335:M335"/>
    <x:mergeCell ref="D336:M336"/>
    <x:mergeCell ref="D340:M340"/>
    <x:mergeCell ref="D341:M341"/>
    <x:mergeCell ref="D345:M345"/>
    <x:mergeCell ref="D346:M346"/>
    <x:mergeCell ref="D350:M350"/>
    <x:mergeCell ref="D351:M351"/>
    <x:mergeCell ref="D355:M355"/>
    <x:mergeCell ref="D356:M356"/>
    <x:mergeCell ref="D360:M360"/>
    <x:mergeCell ref="D361:M361"/>
    <x:mergeCell ref="D365:M365"/>
    <x:mergeCell ref="D366:M366"/>
    <x:mergeCell ref="C372:M372"/>
    <x:mergeCell ref="C375:M375"/>
    <x:mergeCell ref="C378:M378"/>
    <x:mergeCell ref="C146:M146"/>
    <x:mergeCell ref="C248:M248"/>
    <x:mergeCell ref="C212:M212"/>
    <x:mergeCell ref="D384:M384"/>
    <x:mergeCell ref="D385:M385"/>
    <x:mergeCell ref="D389:M389"/>
    <x:mergeCell ref="D390:M390"/>
  </x:mergeCells>
  <x:pageMargins left="0.7" right="0.7" top="0.75" bottom="0.75" header="0.3" footer="0.3"/>
</x:worksheet>
</file>

<file path=xl/worksheets/sheet2.xml><?xml version="1.0" encoding="utf-8"?>
<x:worksheet xmlns:x="http://schemas.openxmlformats.org/spreadsheetml/2006/main">
  <x:sheetPr>
    <x:tabColor rgb="FFD8C9B4"/>
  </x:sheetPr>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5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 hidden="0" customWidth="1"/>
    <x:col min="15" max="15" width="96" hidden="0" customWidth="1"/>
  </x:cols>
  <x:sheetData>
    <x:row r="1" ht="20" customHeight="1">
      <x:c r="A1" s="2"/>
      <x:c r="B1" s="2"/>
      <x:c r="C1" s="2"/>
      <x:c r="D1" s="2"/>
      <x:c r="E1" s="2"/>
      <x:c r="F1" s="2"/>
      <x:c r="G1" s="2"/>
      <x:c r="H1" s="2"/>
      <x:c r="I1" s="2"/>
      <x:c r="J1" s="2"/>
      <x:c r="K1" s="2"/>
      <x:c r="L1" s="2"/>
      <x:c r="M1" s="2"/>
      <x:c r="N1" s="2"/>
      <x:c r="O1" s="2"/>
    </x:row>
    <x:row r="2" ht="20" customHeight="1">
      <x:c r="A2" s="2"/>
      <x:c r="B2" s="2"/>
      <x:c r="C2" s="4" t="str">
        <x:v>Historical trends and FY26 normalization</x:v>
      </x:c>
      <x:c r="D2" s="2"/>
      <x:c r="E2" s="2"/>
      <x:c r="F2" s="2"/>
      <x:c r="G2" s="2"/>
      <x:c r="H2" s="2"/>
      <x:c r="I2" s="2"/>
      <x:c r="J2" s="2"/>
      <x:c r="K2" s="2"/>
      <x:c r="L2" s="2"/>
      <x:c r="M2" s="2"/>
      <x:c r="N2" s="2"/>
      <x:c r="O2" s="2"/>
    </x:row>
    <x:row r="3" ht="20" customHeight="1">
      <x:c r="A3" s="2"/>
      <x:c r="B3" s="2"/>
      <x:c r="C3" s="5"/>
      <x:c r="D3" s="5"/>
      <x:c r="E3" s="5"/>
      <x:c r="F3" s="5"/>
      <x:c r="G3" s="5"/>
      <x:c r="H3" s="5"/>
      <x:c r="I3" s="5"/>
      <x:c r="J3" s="5"/>
      <x:c r="K3" s="5"/>
      <x:c r="L3" s="5"/>
      <x:c r="M3" s="5"/>
      <x:c r="N3" s="2"/>
      <x:c r="O3" s="2"/>
    </x:row>
    <x:row r="4" ht="20" customHeight="1">
      <x:c r="A4" s="2"/>
      <x:c r="B4" s="2"/>
      <x:c r="C4" s="6" t="str">
        <x:v>INR million. March year-end. A = actual; E = estimate.</x:v>
      </x:c>
      <x:c r="D4" s="2"/>
      <x:c r="E4" s="2"/>
      <x:c r="F4" s="2"/>
      <x:c r="G4" s="2"/>
      <x:c r="H4" s="2"/>
      <x:c r="I4" s="2"/>
      <x:c r="J4" s="2"/>
      <x:c r="K4" s="2"/>
      <x:c r="L4" s="2"/>
      <x:c r="M4" s="2"/>
      <x:c r="N4" s="2"/>
      <x:c r="O4" s="2"/>
    </x:row>
    <x:row r="5" ht="20" customHeight="1">
      <x:c r="A5" s="2"/>
      <x:c r="B5" s="2"/>
      <x:c r="C5" s="2" t="str">
        <x:v>Case selected</x:v>
      </x:c>
      <x:c r="D5" s="7" t="str">
        <x:f>CHOOSE('02_Drivers+Scenarios'!$D$3,"Base","Bull","Bear")</x:f>
        <x:v>Base</x:v>
      </x:c>
      <x:c r="E5" s="2"/>
      <x:c r="F5" s="2"/>
      <x:c r="G5" s="2"/>
      <x:c r="H5" s="2"/>
      <x:c r="I5" s="2"/>
      <x:c r="J5" s="2"/>
      <x:c r="K5" s="2"/>
      <x:c r="L5" s="2"/>
      <x:c r="M5" s="2"/>
      <x:c r="N5" s="2"/>
      <x:c r="O5" s="2"/>
    </x:row>
    <x:row r="6" ht="20" customHeight="1">
      <x:c r="A6" s="2"/>
      <x:c r="B6" s="2"/>
      <x:c r="C6" s="9" t="str">
        <x:v>Metric</x:v>
      </x:c>
      <x:c r="D6" s="12" t="str">
        <x:v>FY22A</x:v>
      </x:c>
      <x:c r="E6" s="12" t="str">
        <x:v>FY23A</x:v>
      </x:c>
      <x:c r="F6" s="12" t="str">
        <x:v>FY24A</x:v>
      </x:c>
      <x:c r="G6" s="12" t="str">
        <x:v>FY25A</x:v>
      </x:c>
      <x:c r="H6" s="12" t="str">
        <x:v>FY26A</x:v>
      </x:c>
      <x:c r="I6"/>
      <x:c r="J6"/>
      <x:c r="K6"/>
      <x:c r="L6"/>
      <x:c r="M6"/>
      <x:c r="N6" s="2"/>
      <x:c r="O6" s="2"/>
    </x:row>
    <x:row r="7" ht="20" customHeight="1">
      <x:c r="A7" s="2"/>
      <x:c r="B7" s="2"/>
      <x:c r="C7" s="2"/>
      <x:c r="D7" s="3"/>
      <x:c r="E7" s="3"/>
      <x:c r="F7" s="3"/>
      <x:c r="G7" s="3"/>
      <x:c r="H7" s="3"/>
      <x:c r="I7" s="3"/>
      <x:c r="J7" s="3"/>
      <x:c r="K7" s="3"/>
      <x:c r="L7" s="3"/>
      <x:c r="M7" s="3"/>
      <x:c r="N7" s="2"/>
      <x:c r="O7" s="2"/>
    </x:row>
    <x:row r="8" ht="20" customHeight="1">
      <x:c r="A8" s="2"/>
      <x:c r="B8" s="2"/>
      <x:c r="C8" s="2"/>
      <x:c r="D8" s="3"/>
      <x:c r="E8" s="3"/>
      <x:c r="F8" s="3"/>
      <x:c r="G8" s="3"/>
      <x:c r="H8" s="3"/>
      <x:c r="I8" s="3"/>
      <x:c r="J8" s="3"/>
      <x:c r="K8" s="3"/>
      <x:c r="L8" s="3"/>
      <x:c r="M8" s="3"/>
      <x:c r="N8" s="2"/>
      <x:c r="O8" s="2"/>
    </x:row>
    <x:row r="9" ht="20" customHeight="1">
      <x:c r="A9" s="2"/>
      <x:c r="B9" s="2"/>
      <x:c r="C9" s="2" t="str">
        <x:v>Revenue from operations</x:v>
      </x:c>
      <x:c r="D9" s="22" t="n">
        <x:f>'01_Historical+Segments'!D143</x:f>
        <x:v>122037.61</x:v>
      </x:c>
      <x:c r="E9" s="22" t="n">
        <x:f>'01_Historical+Segments'!E143</x:f>
        <x:v>141077.78</x:v>
      </x:c>
      <x:c r="F9" s="22" t="n">
        <x:f>'01_Historical+Segments'!F143</x:f>
        <x:v>180394.44</x:v>
      </x:c>
      <x:c r="G9" s="22" t="n">
        <x:f>'01_Historical+Segments'!G143</x:f>
        <x:v>224083.13</x:v>
      </x:c>
      <x:c r="H9" s="22" t="n">
        <x:f>'01_Historical+Segments'!H143</x:f>
        <x:v>288837.92</x:v>
      </x:c>
      <x:c r="I9" s="3"/>
      <x:c r="J9" s="3"/>
      <x:c r="K9" s="3"/>
      <x:c r="L9" s="3"/>
      <x:c r="M9" s="3"/>
      <x:c r="N9" s="2"/>
      <x:c r="O9" s="2"/>
    </x:row>
    <x:row r="10" ht="20" customHeight="1">
      <x:c r="A10" s="2"/>
      <x:c r="B10" s="2"/>
      <x:c r="C10" s="24" t="str">
        <x:v>Revenue growth</x:v>
      </x:c>
      <x:c r="D10" s="26" t="str">
        <x:f>'01_Historical+Segments'!D109</x:f>
        <x:v>n.a.</x:v>
      </x:c>
      <x:c r="E10" s="26" t="n">
        <x:f>'01_Historical+Segments'!E109</x:f>
        <x:v>0.1560188699205105</x:v>
      </x:c>
      <x:c r="F10" s="26" t="n">
        <x:f>'01_Historical+Segments'!F109</x:f>
        <x:v>0.278687827381463</x:v>
      </x:c>
      <x:c r="G10" s="26" t="n">
        <x:f>'01_Historical+Segments'!G109</x:f>
        <x:v>0.24218423805079592</x:v>
      </x:c>
      <x:c r="H10" s="26" t="n">
        <x:f>'01_Historical+Segments'!H109</x:f>
        <x:v>0.28897664005318013</x:v>
      </x:c>
      <x:c r="I10" s="25"/>
      <x:c r="J10" s="25"/>
      <x:c r="K10" s="25"/>
      <x:c r="L10" s="25"/>
      <x:c r="M10" s="25"/>
      <x:c r="N10" s="2"/>
      <x:c r="O10" s="2"/>
    </x:row>
    <x:row r="11" ht="20" customHeight="1">
      <x:c r="A11" s="2"/>
      <x:c r="B11" s="2"/>
      <x:c r="C11" s="24" t="str">
        <x:v>W&amp;C income growth</x:v>
      </x:c>
      <x:c r="D11" s="26" t="str">
        <x:f>'01_Historical+Segments'!D324</x:f>
        <x:v>n.a.</x:v>
      </x:c>
      <x:c r="E11" s="26" t="n">
        <x:f>'01_Historical+Segments'!E324</x:f>
        <x:v>0.17218374748605236</x:v>
      </x:c>
      <x:c r="F11" s="26" t="n">
        <x:f>'01_Historical+Segments'!F324</x:f>
        <x:v>0.2676355511397881</x:v>
      </x:c>
      <x:c r="G11" s="26" t="n">
        <x:f>'01_Historical+Segments'!G324</x:f>
        <x:v>0.18851330305854241</x:v>
      </x:c>
      <x:c r="H11" s="26" t="n">
        <x:f>'01_Historical+Segments'!H324</x:f>
        <x:v>0.3330550452843253</x:v>
      </x:c>
      <x:c r="I11" s="25"/>
      <x:c r="J11" s="25"/>
      <x:c r="K11" s="25"/>
      <x:c r="L11" s="25"/>
      <x:c r="M11" s="25"/>
      <x:c r="N11" s="2"/>
      <x:c r="O11" s="2"/>
    </x:row>
    <x:row r="12" ht="20" customHeight="1">
      <x:c r="A12" s="2"/>
      <x:c r="B12" s="2"/>
      <x:c r="C12" s="24" t="str">
        <x:v>FMEG income growth</x:v>
      </x:c>
      <x:c r="D12" s="26" t="str">
        <x:f>'01_Historical+Segments'!D325</x:f>
        <x:v>n.a.</x:v>
      </x:c>
      <x:c r="E12" s="26" t="n">
        <x:f>'01_Historical+Segments'!E325</x:f>
        <x:v>-0.002571782302534409</x:v>
      </x:c>
      <x:c r="F12" s="26" t="n">
        <x:f>'01_Historical+Segments'!F325</x:f>
        <x:v>0.025257421730446428</x:v>
      </x:c>
      <x:c r="G12" s="26" t="n">
        <x:f>'01_Historical+Segments'!G325</x:f>
        <x:v>0.2890521828747119</x:v>
      </x:c>
      <x:c r="H12" s="26" t="n">
        <x:f>'01_Historical+Segments'!H325</x:f>
        <x:v>0.25145173209994076</x:v>
      </x:c>
      <x:c r="I12" s="25"/>
      <x:c r="J12" s="25"/>
      <x:c r="K12" s="25"/>
      <x:c r="L12" s="25"/>
      <x:c r="M12" s="25"/>
      <x:c r="N12" s="2"/>
      <x:c r="O12" s="2"/>
    </x:row>
    <x:row r="13" ht="20" customHeight="1">
      <x:c r="A13" s="2"/>
      <x:c r="B13" s="2"/>
      <x:c r="C13" s="24" t="str">
        <x:v>EPC income growth</x:v>
      </x:c>
      <x:c r="D13" s="26" t="str">
        <x:f>'01_Historical+Segments'!D326</x:f>
        <x:v>n.a.</x:v>
      </x:c>
      <x:c r="E13" s="26" t="n">
        <x:f>'01_Historical+Segments'!E326</x:f>
        <x:v>0.21800740113973482</x:v>
      </x:c>
      <x:c r="F13" s="26" t="n">
        <x:f>'01_Historical+Segments'!F326</x:f>
        <x:v>1.6901605316459936</x:v>
      </x:c>
      <x:c r="G13" s="26" t="n">
        <x:f>'01_Historical+Segments'!G326</x:f>
        <x:v>0.9904059652889046</x:v>
      </x:c>
      <x:c r="H13" s="26" t="n">
        <x:f>'01_Historical+Segments'!H326</x:f>
        <x:v>-0.1316891747197717</x:v>
      </x:c>
      <x:c r="I13" s="25"/>
      <x:c r="J13" s="25"/>
      <x:c r="K13" s="25"/>
      <x:c r="L13" s="25"/>
      <x:c r="M13" s="25"/>
      <x:c r="N13" s="2"/>
      <x:c r="O13" s="2"/>
    </x:row>
    <x:row r="14" ht="20" customHeight="1">
      <x:c r="A14" s="2"/>
      <x:c r="B14" s="2"/>
      <x:c r="C14" s="2" t="str">
        <x:v>Export income</x:v>
      </x:c>
      <x:c r="D14" s="22" t="n">
        <x:f>'01_Historical+Segments'!D362</x:f>
        <x:v>9229.26</x:v>
      </x:c>
      <x:c r="E14" s="22" t="n">
        <x:f>'01_Historical+Segments'!E362</x:f>
        <x:v>13835.23</x:v>
      </x:c>
      <x:c r="F14" s="22" t="n">
        <x:f>'01_Historical+Segments'!F362</x:f>
        <x:v>14359.61</x:v>
      </x:c>
      <x:c r="G14" s="22" t="n">
        <x:f>'01_Historical+Segments'!G362</x:f>
        <x:v>13451.86</x:v>
      </x:c>
      <x:c r="H14" s="22" t="n">
        <x:f>'01_Historical+Segments'!H362</x:f>
        <x:v>15694.66</x:v>
      </x:c>
      <x:c r="I14" s="3"/>
      <x:c r="J14" s="3"/>
      <x:c r="K14" s="3"/>
      <x:c r="L14" s="3"/>
      <x:c r="M14" s="3"/>
      <x:c r="N14" s="2"/>
      <x:c r="O14" s="2"/>
    </x:row>
    <x:row r="15" ht="20" customHeight="1">
      <x:c r="A15" s="2"/>
      <x:c r="B15" s="2"/>
      <x:c r="C15" s="24" t="str">
        <x:v>Exports / consolidated revenue</x:v>
      </x:c>
      <x:c r="D15" s="26" t="n">
        <x:f>'01_Historical+Segments'!D314</x:f>
        <x:v>0.07562635813664328</x:v>
      </x:c>
      <x:c r="E15" s="26" t="n">
        <x:f>'01_Historical+Segments'!E314</x:f>
        <x:v>0.09806810115668109</x:v>
      </x:c>
      <x:c r="F15" s="26" t="n">
        <x:f>'01_Historical+Segments'!F314</x:f>
        <x:v>0.0796011783955204</x:v>
      </x:c>
      <x:c r="G15" s="26" t="n">
        <x:f>'01_Historical+Segments'!G314</x:f>
        <x:v>0.060030668082867285</x:v>
      </x:c>
      <x:c r="H15" s="26" t="n">
        <x:f>'01_Historical+Segments'!H314</x:f>
        <x:v>0.05433725599464226</x:v>
      </x:c>
      <x:c r="I15" s="25"/>
      <x:c r="J15" s="25"/>
      <x:c r="K15" s="25"/>
      <x:c r="L15" s="25"/>
      <x:c r="M15" s="25"/>
      <x:c r="N15" s="2"/>
      <x:c r="O15" s="2"/>
    </x:row>
    <x:row r="16" ht="20" customHeight="1">
      <x:c r="A16" s="2"/>
      <x:c r="B16" s="2"/>
      <x:c r="C16" s="2"/>
      <x:c r="D16" s="3"/>
      <x:c r="E16" s="3"/>
      <x:c r="F16" s="3"/>
      <x:c r="G16" s="3"/>
      <x:c r="H16" s="3"/>
      <x:c r="I16" s="3"/>
      <x:c r="J16" s="3"/>
      <x:c r="K16" s="3"/>
      <x:c r="L16" s="3"/>
      <x:c r="M16" s="3"/>
      <x:c r="N16" s="2"/>
      <x:c r="O16" s="2"/>
    </x:row>
    <x:row r="17" ht="20" customHeight="1">
      <x:c r="A17" s="2"/>
      <x:c r="B17" s="2"/>
      <x:c r="C17" s="24" t="str">
        <x:v>W&amp;C EBIT margin</x:v>
      </x:c>
      <x:c r="D17" s="26" t="n">
        <x:f>'01_Historical+Segments'!D320</x:f>
        <x:v>0.09728750772533432</x:v>
      </x:c>
      <x:c r="E17" s="26" t="n">
        <x:f>'01_Historical+Segments'!E320</x:f>
        <x:v>0.13118610258427688</x:v>
      </x:c>
      <x:c r="F17" s="26" t="n">
        <x:f>'01_Historical+Segments'!F320</x:f>
        <x:v>0.14660811806539178</x:v>
      </x:c>
      <x:c r="G17" s="26" t="n">
        <x:f>'01_Historical+Segments'!G320</x:f>
        <x:v>0.13618350132885235</x:v>
      </x:c>
      <x:c r="H17" s="26" t="n">
        <x:f>'01_Historical+Segments'!H320</x:f>
        <x:v>0.13624052633633718</x:v>
      </x:c>
      <x:c r="I17" s="25"/>
      <x:c r="J17" s="25"/>
      <x:c r="K17" s="25"/>
      <x:c r="L17" s="25"/>
      <x:c r="M17" s="25"/>
      <x:c r="N17" s="2"/>
      <x:c r="O17" s="2"/>
    </x:row>
    <x:row r="18" ht="32" customHeight="1">
      <x:c r="A18" s="2"/>
      <x:c r="B18" s="2"/>
      <x:c r="C18" s="24" t="str">
        <x:v>W&amp;C EBITDA margin, derived</x:v>
      </x:c>
      <x:c r="D18" s="26" t="n">
        <x:f>('01_Historical+Segments'!D347+'01_Historical+Segments'!D350)/'01_Historical+Segments'!D341</x:f>
        <x:v>0.11387212923771403</x:v>
      </x:c>
      <x:c r="E18" s="26" t="n">
        <x:f>('01_Historical+Segments'!E347+'01_Historical+Segments'!E350)/'01_Historical+Segments'!E341</x:f>
        <x:v>0.14581907541358735</x:v>
      </x:c>
      <x:c r="F18" s="26" t="n">
        <x:f>('01_Historical+Segments'!F347+'01_Historical+Segments'!F350)/'01_Historical+Segments'!F341</x:f>
        <x:v>0.15973266147376608</x:v>
      </x:c>
      <x:c r="G18" s="26" t="n">
        <x:f>('01_Historical+Segments'!G347+'01_Historical+Segments'!G350)/'01_Historical+Segments'!G341</x:f>
        <x:v>0.15008600916672257</x:v>
      </x:c>
      <x:c r="H18" s="26" t="n">
        <x:f>('01_Historical+Segments'!H347+'01_Historical+Segments'!H350)/'01_Historical+Segments'!H341</x:f>
        <x:v>0.1496725767916374</x:v>
      </x:c>
      <x:c r="I18" s="25"/>
      <x:c r="J18" s="25"/>
      <x:c r="K18" s="25"/>
      <x:c r="L18" s="25"/>
      <x:c r="M18" s="25"/>
      <x:c r="N18" s="2"/>
      <x:c r="O18" s="16" t="str">
        <x:v>Derived segment EBIT + disclosed segment D&amp;A. External income includes allocated non-finance income; not a separate audited EBITDA disclosure.</x:v>
      </x:c>
    </x:row>
    <x:row r="19" ht="20" customHeight="1">
      <x:c r="A19" s="2"/>
      <x:c r="B19" s="2"/>
      <x:c r="C19" s="24" t="str">
        <x:v>FMEG EBIT margin</x:v>
      </x:c>
      <x:c r="D19" s="26" t="n">
        <x:f>'01_Historical+Segments'!D321</x:f>
        <x:v>0.01564275026048663</x:v>
      </x:c>
      <x:c r="E19" s="26" t="n">
        <x:f>'01_Historical+Segments'!E321</x:f>
        <x:v>-0.004984985897053687</x:v>
      </x:c>
      <x:c r="F19" s="26" t="n">
        <x:f>'01_Historical+Segments'!F321</x:f>
        <x:v>-0.07319073433960264</x:v>
      </x:c>
      <x:c r="G19" s="26" t="n">
        <x:f>'01_Historical+Segments'!G321</x:f>
        <x:v>-0.023089827775768627</x:v>
      </x:c>
      <x:c r="H19" s="26" t="n">
        <x:f>'01_Historical+Segments'!H321</x:f>
        <x:v>0.02650039046492388</x:v>
      </x:c>
      <x:c r="I19" s="25"/>
      <x:c r="J19" s="25"/>
      <x:c r="K19" s="25"/>
      <x:c r="L19" s="25"/>
      <x:c r="M19" s="25"/>
      <x:c r="N19" s="2"/>
      <x:c r="O19" s="2"/>
    </x:row>
    <x:row r="20" ht="20" customHeight="1">
      <x:c r="A20" s="2"/>
      <x:c r="B20" s="2"/>
      <x:c r="C20" s="24" t="str">
        <x:v>FMEG EBITDA margin, derived</x:v>
      </x:c>
      <x:c r="D20" s="26" t="n">
        <x:f>('01_Historical+Segments'!D348+'01_Historical+Segments'!D351)/'01_Historical+Segments'!D342</x:f>
        <x:v>0.03259929383609312</x:v>
      </x:c>
      <x:c r="E20" s="26" t="n">
        <x:f>('01_Historical+Segments'!E348+'01_Historical+Segments'!E351)/'01_Historical+Segments'!E342</x:f>
        <x:v>0.013073499169169016</x:v>
      </x:c>
      <x:c r="F20" s="26" t="n">
        <x:f>('01_Historical+Segments'!F348+'01_Historical+Segments'!F351)/'01_Historical+Segments'!F342</x:f>
        <x:v>-0.04784378659107954</x:v>
      </x:c>
      <x:c r="G20" s="26" t="n">
        <x:f>('01_Historical+Segments'!G348+'01_Historical+Segments'!G351)/'01_Historical+Segments'!G342</x:f>
        <x:v>-0.0024414257394127278</x:v>
      </x:c>
      <x:c r="H20" s="26" t="n">
        <x:f>('01_Historical+Segments'!H348+'01_Historical+Segments'!H351)/'01_Historical+Segments'!H342</x:f>
        <x:v>0.046843709648736215</x:v>
      </x:c>
      <x:c r="I20" s="25"/>
      <x:c r="J20" s="25"/>
      <x:c r="K20" s="25"/>
      <x:c r="L20" s="25"/>
      <x:c r="M20" s="25"/>
      <x:c r="N20" s="2"/>
      <x:c r="O20" s="2"/>
    </x:row>
    <x:row r="21" ht="20" customHeight="1">
      <x:c r="A21" s="2"/>
      <x:c r="B21" s="2"/>
      <x:c r="C21" s="24" t="str">
        <x:v>EPC EBIT margin</x:v>
      </x:c>
      <x:c r="D21" s="26" t="n">
        <x:f>'01_Historical+Segments'!D322</x:f>
        <x:v>0.1487228106660686</x:v>
      </x:c>
      <x:c r="E21" s="26" t="n">
        <x:f>'01_Historical+Segments'!E322</x:f>
        <x:v>0.12059960829608797</x:v>
      </x:c>
      <x:c r="F21" s="26" t="n">
        <x:f>'01_Historical+Segments'!F322</x:f>
        <x:v>0.11459017158502248</x:v>
      </x:c>
      <x:c r="G21" s="26" t="n">
        <x:f>'01_Historical+Segments'!G322</x:f>
        <x:v>0.09412063844054858</x:v>
      </x:c>
      <x:c r="H21" s="26" t="n">
        <x:f>'01_Historical+Segments'!H322</x:f>
        <x:v>0.09934017243365721</x:v>
      </x:c>
      <x:c r="I21" s="25"/>
      <x:c r="J21" s="25"/>
      <x:c r="K21" s="25"/>
      <x:c r="L21" s="25"/>
      <x:c r="M21" s="25"/>
      <x:c r="N21" s="2"/>
      <x:c r="O21" s="2"/>
    </x:row>
    <x:row r="22" ht="20" customHeight="1">
      <x:c r="A22" s="2"/>
      <x:c r="B22" s="2"/>
      <x:c r="C22" s="2"/>
      <x:c r="D22" s="3"/>
      <x:c r="E22" s="3"/>
      <x:c r="F22" s="3"/>
      <x:c r="G22" s="3"/>
      <x:c r="H22" s="3"/>
      <x:c r="I22" s="3"/>
      <x:c r="J22" s="3"/>
      <x:c r="K22" s="3"/>
      <x:c r="L22" s="3"/>
      <x:c r="M22" s="3"/>
      <x:c r="N22" s="2"/>
      <x:c r="O22" s="2"/>
    </x:row>
    <x:row r="23" ht="20" customHeight="1">
      <x:c r="A23" s="2"/>
      <x:c r="B23" s="2"/>
      <x:c r="C23" s="24" t="str">
        <x:v>Gross contribution margin</x:v>
      </x:c>
      <x:c r="D23" s="26" t="n">
        <x:f>'01_Historical+Segments'!D113</x:f>
        <x:v>0.2243640300723686</x:v>
      </x:c>
      <x:c r="E23" s="26" t="n">
        <x:f>'01_Historical+Segments'!E113</x:f>
        <x:v>0.25495737174202776</x:v>
      </x:c>
      <x:c r="F23" s="26" t="n">
        <x:f>'01_Historical+Segments'!F113</x:f>
        <x:v>0.2638187185813487</x:v>
      </x:c>
      <x:c r="G23" s="26" t="n">
        <x:f>'01_Historical+Segments'!G113</x:f>
        <x:v>0.24893797226056247</x:v>
      </x:c>
      <x:c r="H23" s="26" t="n">
        <x:f>'01_Historical+Segments'!H113</x:f>
        <x:v>0.252812892434622</x:v>
      </x:c>
      <x:c r="I23" s="25"/>
      <x:c r="J23" s="25"/>
      <x:c r="K23" s="25"/>
      <x:c r="L23" s="25"/>
      <x:c r="M23" s="25"/>
      <x:c r="N23" s="2"/>
      <x:c r="O23" s="2"/>
    </x:row>
    <x:row r="24" ht="20" customHeight="1">
      <x:c r="A24" s="2"/>
      <x:c r="B24" s="2"/>
      <x:c r="C24" s="24" t="str">
        <x:v>Group operating EBITDA margin</x:v>
      </x:c>
      <x:c r="D24" s="26" t="n">
        <x:f>'01_Historical+Segments'!D115/'01_Historical+Segments'!D143</x:f>
        <x:v>0.10367287592734724</x:v>
      </x:c>
      <x:c r="E24" s="26" t="n">
        <x:f>'01_Historical+Segments'!E115/'01_Historical+Segments'!E143</x:f>
        <x:v>0.1312831829363916</x:v>
      </x:c>
      <x:c r="F24" s="26" t="n">
        <x:f>'01_Historical+Segments'!F115/'01_Historical+Segments'!F143</x:f>
        <x:v>0.13813092022126622</x:v>
      </x:c>
      <x:c r="G24" s="26" t="n">
        <x:f>'01_Historical+Segments'!G115/'01_Historical+Segments'!G143</x:f>
        <x:v>0.13210454530869867</x:v>
      </x:c>
      <x:c r="H24" s="26" t="n">
        <x:f>'01_Historical+Segments'!H115/'01_Historical+Segments'!H143</x:f>
        <x:v>0.13868428355944384</x:v>
      </x:c>
      <x:c r="I24" s="25"/>
      <x:c r="J24" s="25"/>
      <x:c r="K24" s="25"/>
      <x:c r="L24" s="25"/>
      <x:c r="M24" s="25"/>
      <x:c r="N24" s="2"/>
      <x:c r="O24" s="2"/>
    </x:row>
    <x:row r="25" ht="20" customHeight="1">
      <x:c r="A25" s="2"/>
      <x:c r="B25" s="2"/>
      <x:c r="C25" s="24" t="str">
        <x:v>Effective tax rate</x:v>
      </x:c>
      <x:c r="D25" s="26" t="n">
        <x:f>'01_Historical+Segments'!D122</x:f>
        <x:v>0.24252817114722483</x:v>
      </x:c>
      <x:c r="E25" s="26" t="n">
        <x:f>'01_Historical+Segments'!E122</x:f>
        <x:v>0.2484513160299334</x:v>
      </x:c>
      <x:c r="F25" s="26" t="n">
        <x:f>'01_Historical+Segments'!F122</x:f>
        <x:v>0.23582545670325944</x:v>
      </x:c>
      <x:c r="G25" s="26" t="n">
        <x:f>'01_Historical+Segments'!G122</x:f>
        <x:v>0.24263073223380088</x:v>
      </x:c>
      <x:c r="H25" s="26" t="n">
        <x:f>'01_Historical+Segments'!H122</x:f>
        <x:v>0.2503817385468057</x:v>
      </x:c>
      <x:c r="I25" s="25"/>
      <x:c r="J25" s="25"/>
      <x:c r="K25" s="25"/>
      <x:c r="L25" s="25"/>
      <x:c r="M25" s="25"/>
      <x:c r="N25" s="2"/>
      <x:c r="O25" s="2"/>
    </x:row>
    <x:row r="26" ht="20" customHeight="1">
      <x:c r="A26" s="2"/>
      <x:c r="B26" s="2"/>
      <x:c r="C26" s="2"/>
      <x:c r="D26" s="3"/>
      <x:c r="E26" s="3"/>
      <x:c r="F26" s="3"/>
      <x:c r="G26" s="3"/>
      <x:c r="H26" s="3"/>
      <x:c r="I26" s="3"/>
      <x:c r="J26" s="3"/>
      <x:c r="K26" s="3"/>
      <x:c r="L26" s="3"/>
      <x:c r="M26" s="3"/>
      <x:c r="N26" s="2"/>
      <x:c r="O26" s="2"/>
    </x:row>
    <x:row r="27" ht="20" customHeight="1">
      <x:c r="A27" s="2"/>
      <x:c r="B27" s="2"/>
      <x:c r="C27" s="2" t="str">
        <x:v>Reported operating cash flow</x:v>
      </x:c>
      <x:c r="D27" s="22" t="n">
        <x:f>'01_Historical+Segments'!D127</x:f>
        <x:v>5116.11</x:v>
      </x:c>
      <x:c r="E27" s="22" t="n">
        <x:f>'01_Historical+Segments'!E127</x:f>
        <x:v>14275.21</x:v>
      </x:c>
      <x:c r="F27" s="22" t="n">
        <x:f>'01_Historical+Segments'!F127</x:f>
        <x:v>12962.4</x:v>
      </x:c>
      <x:c r="G27" s="22" t="n">
        <x:f>'01_Historical+Segments'!G127</x:f>
        <x:v>18085.34</x:v>
      </x:c>
      <x:c r="H27" s="22" t="n">
        <x:f>'01_Historical+Segments'!H127</x:f>
        <x:v>38106.67</x:v>
      </x:c>
      <x:c r="I27" s="3"/>
      <x:c r="J27" s="3"/>
      <x:c r="K27" s="3"/>
      <x:c r="L27" s="3"/>
      <x:c r="M27" s="3"/>
      <x:c r="N27" s="2"/>
      <x:c r="O27" s="2"/>
    </x:row>
    <x:row r="28" ht="20" customHeight="1">
      <x:c r="A28" s="2"/>
      <x:c r="B28" s="2"/>
      <x:c r="C28" s="24" t="str">
        <x:v>Reported CFO / total PAT</x:v>
      </x:c>
      <x:c r="D28" s="26" t="n">
        <x:f>'01_Historical+Segments'!D127/'01_Historical+Segments'!D159</x:f>
        <x:v>0.5577454746839583</x:v>
      </x:c>
      <x:c r="E28" s="26" t="n">
        <x:f>'01_Historical+Segments'!E127/'01_Historical+Segments'!E159</x:f>
        <x:v>1.1125684482567808</x:v>
      </x:c>
      <x:c r="F28" s="26" t="n">
        <x:f>'01_Historical+Segments'!F127/'01_Historical+Segments'!F159</x:f>
        <x:v>0.7189682054137823</x:v>
      </x:c>
      <x:c r="G28" s="26" t="n">
        <x:f>'01_Historical+Segments'!G127/'01_Historical+Segments'!G159</x:f>
        <x:v>0.8841365372515873</x:v>
      </x:c>
      <x:c r="H28" s="26" t="n">
        <x:f>'01_Historical+Segments'!H127/'01_Historical+Segments'!H159</x:f>
        <x:v>1.4069668482850008</x:v>
      </x:c>
      <x:c r="I28" s="25"/>
      <x:c r="J28" s="25"/>
      <x:c r="K28" s="25"/>
      <x:c r="L28" s="25"/>
      <x:c r="M28" s="25"/>
      <x:c r="N28" s="2"/>
      <x:c r="O28" s="2"/>
    </x:row>
    <x:row r="29" ht="20" customHeight="1">
      <x:c r="A29" s="2"/>
      <x:c r="B29" s="2"/>
      <x:c r="C29" s="2" t="str">
        <x:v>Gross cash capex</x:v>
      </x:c>
      <x:c r="D29" s="22" t="n">
        <x:f>'01_Historical+Segments'!D128</x:f>
        <x:v>5266.929999999999</x:v>
      </x:c>
      <x:c r="E29" s="22" t="n">
        <x:f>'01_Historical+Segments'!E128</x:f>
        <x:v>4794.53</x:v>
      </x:c>
      <x:c r="F29" s="22" t="n">
        <x:f>'01_Historical+Segments'!F128</x:f>
        <x:v>8585.189999999999</x:v>
      </x:c>
      <x:c r="G29" s="22" t="n">
        <x:f>'01_Historical+Segments'!G128</x:f>
        <x:v>9724.44</x:v>
      </x:c>
      <x:c r="H29" s="22" t="n">
        <x:f>'01_Historical+Segments'!H128</x:f>
        <x:v>14898.080000000002</x:v>
      </x:c>
      <x:c r="I29" s="3"/>
      <x:c r="J29" s="3"/>
      <x:c r="K29" s="3"/>
      <x:c r="L29" s="3"/>
      <x:c r="M29" s="3"/>
      <x:c r="N29" s="2"/>
      <x:c r="O29" s="2"/>
    </x:row>
    <x:row r="30" ht="20" customHeight="1">
      <x:c r="A30" s="2"/>
      <x:c r="B30" s="2"/>
      <x:c r="C30" s="24" t="str">
        <x:v>Gross cash capex / revenue</x:v>
      </x:c>
      <x:c r="D30" s="26" t="n">
        <x:f>'01_Historical+Segments'!D467</x:f>
        <x:v>0.043158252607536314</x:v>
      </x:c>
      <x:c r="E30" s="26" t="n">
        <x:f>'01_Historical+Segments'!E467</x:f>
        <x:v>0.033985011672284605</x:v>
      </x:c>
      <x:c r="F30" s="26" t="n">
        <x:f>'01_Historical+Segments'!F467</x:f>
        <x:v>0.04759121179122815</x:v>
      </x:c>
      <x:c r="G30" s="26" t="n">
        <x:f>'01_Historical+Segments'!G467</x:f>
        <x:v>0.04339657340559283</x:v>
      </x:c>
      <x:c r="H30" s="26" t="n">
        <x:f>'01_Historical+Segments'!H467</x:f>
        <x:v>0.05157937711225729</x:v>
      </x:c>
      <x:c r="I30" s="25"/>
      <x:c r="J30" s="25"/>
      <x:c r="K30" s="25"/>
      <x:c r="L30" s="25"/>
      <x:c r="M30" s="25"/>
      <x:c r="N30" s="2"/>
      <x:c r="O30" s="2"/>
    </x:row>
    <x:row r="31" ht="20" customHeight="1">
      <x:c r="A31" s="2"/>
      <x:c r="B31" s="2"/>
      <x:c r="C31" s="2" t="str">
        <x:v>CFO less net cash capex</x:v>
      </x:c>
      <x:c r="D31" s="22" t="n">
        <x:f>'01_Historical+Segments'!D130</x:f>
        <x:v>-83.92000000000007</x:v>
      </x:c>
      <x:c r="E31" s="22" t="n">
        <x:f>'01_Historical+Segments'!E130</x:f>
        <x:v>9691.029999999999</x:v>
      </x:c>
      <x:c r="F31" s="22" t="n">
        <x:f>'01_Historical+Segments'!F130</x:f>
        <x:v>4382.68</x:v>
      </x:c>
      <x:c r="G31" s="22" t="n">
        <x:f>'01_Historical+Segments'!G130</x:f>
        <x:v>8501.97</x:v>
      </x:c>
      <x:c r="H31" s="22" t="n">
        <x:f>'01_Historical+Segments'!H130</x:f>
        <x:v>23307.329999999994</x:v>
      </x:c>
      <x:c r="I31" s="3"/>
      <x:c r="J31" s="3"/>
      <x:c r="K31" s="3"/>
      <x:c r="L31" s="3"/>
      <x:c r="M31" s="3"/>
      <x:c r="N31" s="2"/>
      <x:c r="O31" s="2"/>
    </x:row>
    <x:row r="32" ht="20" customHeight="1">
      <x:c r="A32" s="2"/>
      <x:c r="B32" s="2"/>
      <x:c r="C32" s="2"/>
      <x:c r="D32" s="3"/>
      <x:c r="E32" s="3"/>
      <x:c r="F32" s="3"/>
      <x:c r="G32" s="3"/>
      <x:c r="H32" s="3"/>
      <x:c r="I32" s="3"/>
      <x:c r="J32" s="3"/>
      <x:c r="K32" s="3"/>
      <x:c r="L32" s="3"/>
      <x:c r="M32" s="3"/>
      <x:c r="N32" s="2"/>
      <x:c r="O32" s="2"/>
    </x:row>
    <x:row r="33" ht="20" customHeight="1">
      <x:c r="A33" s="2"/>
      <x:c r="B33" s="2"/>
      <x:c r="C33" s="2" t="str">
        <x:v>Closing receivable days, model</x:v>
      </x:c>
      <x:c r="D33" s="22" t="n">
        <x:f>'01_Historical+Segments'!D413</x:f>
        <x:v>38.773605120585366</x:v>
      </x:c>
      <x:c r="E33" s="22" t="n">
        <x:f>'01_Historical+Segments'!E413</x:f>
        <x:v>32.25224695200052</x:v>
      </x:c>
      <x:c r="F33" s="22" t="n">
        <x:f>'01_Historical+Segments'!F413</x:f>
        <x:v>41.4202181065004</x:v>
      </x:c>
      <x:c r="G33" s="22" t="n">
        <x:f>'01_Historical+Segments'!G413</x:f>
        <x:v>42.28956548402372</x:v>
      </x:c>
      <x:c r="H33" s="22" t="n">
        <x:f>'01_Historical+Segments'!H413</x:f>
        <x:v>47.49563215245423</x:v>
      </x:c>
      <x:c r="I33" s="3"/>
      <x:c r="J33" s="3"/>
      <x:c r="K33" s="3"/>
      <x:c r="L33" s="3"/>
      <x:c r="M33" s="3"/>
      <x:c r="N33" s="2"/>
      <x:c r="O33" s="2"/>
    </x:row>
    <x:row r="34" ht="20" customHeight="1">
      <x:c r="A34" s="2"/>
      <x:c r="B34" s="2"/>
      <x:c r="C34" s="2" t="str">
        <x:v>Closing inventory days, model</x:v>
      </x:c>
      <x:c r="D34" s="22" t="n">
        <x:f>'01_Historical+Segments'!D414</x:f>
        <x:v>84.81920942571877</x:v>
      </x:c>
      <x:c r="E34" s="22" t="n">
        <x:f>'01_Historical+Segments'!E414</x:f>
        <x:v>102.4893748354089</x:v>
      </x:c>
      <x:c r="F34" s="22" t="n">
        <x:f>'01_Historical+Segments'!F414</x:f>
        <x:v>101.00799748439435</x:v>
      </x:c>
      <x:c r="G34" s="22" t="n">
        <x:f>'01_Historical+Segments'!G414</x:f>
        <x:v>79.4041520893037</x:v>
      </x:c>
      <x:c r="H34" s="22" t="n">
        <x:f>'01_Historical+Segments'!H414</x:f>
        <x:v>94.02702079924853</x:v>
      </x:c>
      <x:c r="I34" s="3"/>
      <x:c r="J34" s="3"/>
      <x:c r="K34" s="3"/>
      <x:c r="L34" s="3"/>
      <x:c r="M34" s="3"/>
      <x:c r="N34" s="2"/>
      <x:c r="O34" s="2"/>
    </x:row>
    <x:row r="35" ht="20" customHeight="1">
      <x:c r="A35" s="2"/>
      <x:c r="B35" s="2"/>
      <x:c r="C35" s="2" t="str">
        <x:v>Closing payable days, excl acceptances</x:v>
      </x:c>
      <x:c r="D35" s="22" t="n">
        <x:f>'01_Historical+Segments'!D415</x:f>
        <x:v>22.40646890935206</x:v>
      </x:c>
      <x:c r="E35" s="22" t="n">
        <x:f>'01_Historical+Segments'!E415</x:f>
        <x:v>28.019887172320995</x:v>
      </x:c>
      <x:c r="F35" s="22" t="n">
        <x:f>'01_Historical+Segments'!F415</x:f>
        <x:v>27.521667995326307</x:v>
      </x:c>
      <x:c r="G35" s="22" t="n">
        <x:f>'01_Historical+Segments'!G415</x:f>
        <x:v>31.002579436415843</x:v>
      </x:c>
      <x:c r="H35" s="22" t="n">
        <x:f>'01_Historical+Segments'!H415</x:f>
        <x:v>30.42254518977441</x:v>
      </x:c>
      <x:c r="I35" s="3"/>
      <x:c r="J35" s="3"/>
      <x:c r="K35" s="3"/>
      <x:c r="L35" s="3"/>
      <x:c r="M35" s="3"/>
      <x:c r="N35" s="2"/>
      <x:c r="O35" s="2"/>
    </x:row>
    <x:row r="36" ht="20" customHeight="1">
      <x:c r="A36" s="2"/>
      <x:c r="B36" s="2"/>
      <x:c r="C36" s="2" t="str">
        <x:v>Closing acceptance days, model</x:v>
      </x:c>
      <x:c r="D36" s="22" t="n">
        <x:f>'01_Historical+Segments'!D416</x:f>
        <x:v>24.54194238213942</x:v>
      </x:c>
      <x:c r="E36" s="22" t="n">
        <x:f>'01_Historical+Segments'!E416</x:f>
        <x:v>42.565442565505364</x:v>
      </x:c>
      <x:c r="F36" s="22" t="n">
        <x:f>'01_Historical+Segments'!F416</x:f>
        <x:v>51.174863431182764</x:v>
      </x:c>
      <x:c r="G36" s="22" t="n">
        <x:f>'01_Historical+Segments'!G416</x:f>
        <x:v>28.32891088211176</x:v>
      </x:c>
      <x:c r="H36" s="22" t="n">
        <x:f>'01_Historical+Segments'!H416</x:f>
        <x:v>72.14252657020701</x:v>
      </x:c>
      <x:c r="I36" s="3"/>
      <x:c r="J36" s="3"/>
      <x:c r="K36" s="3"/>
      <x:c r="L36" s="3"/>
      <x:c r="M36" s="3"/>
      <x:c r="N36" s="2"/>
      <x:c r="O36" s="2"/>
    </x:row>
    <x:row r="37" ht="20" customHeight="1">
      <x:c r="A37" s="2"/>
      <x:c r="B37" s="2"/>
      <x:c r="C37" s="2" t="str">
        <x:v>Closing cycle, including acceptances</x:v>
      </x:c>
      <x:c r="D37" s="22" t="n">
        <x:f>'01_Historical+Segments'!D417</x:f>
        <x:v>76.64440325481266</x:v>
      </x:c>
      <x:c r="E37" s="22" t="n">
        <x:f>'01_Historical+Segments'!E417</x:f>
        <x:v>64.15629204958307</x:v>
      </x:c>
      <x:c r="F37" s="22" t="n">
        <x:f>'01_Historical+Segments'!F417</x:f>
        <x:v>63.731684164385676</x:v>
      </x:c>
      <x:c r="G37" s="22" t="n">
        <x:f>'01_Historical+Segments'!G417</x:f>
        <x:v>62.362227254799805</x:v>
      </x:c>
      <x:c r="H37" s="22" t="n">
        <x:f>'01_Historical+Segments'!H417</x:f>
        <x:v>38.95758119172133</x:v>
      </x:c>
      <x:c r="I37" s="3"/>
      <x:c r="J37" s="3"/>
      <x:c r="K37" s="3"/>
      <x:c r="L37" s="3"/>
      <x:c r="M37" s="3"/>
      <x:c r="N37" s="2"/>
      <x:c r="O37" s="2"/>
    </x:row>
    <x:row r="38" ht="32" customHeight="1">
      <x:c r="A38" s="2"/>
      <x:c r="B38" s="2"/>
      <x:c r="C38" s="2" t="str">
        <x:v>Company average cash cycle (disclosed)</x:v>
      </x:c>
      <x:c r="D38" s="3" t="str">
        <x:v>n.a.</x:v>
      </x:c>
      <x:c r="E38" s="3" t="str">
        <x:v>n.a.</x:v>
      </x:c>
      <x:c r="F38" s="3" t="str">
        <x:v>n.a.</x:v>
      </x:c>
      <x:c r="G38" s="17" t="n">
        <x:v>44</x:v>
      </x:c>
      <x:c r="H38" s="17" t="n">
        <x:v>25</x:v>
      </x:c>
      <x:c r="I38" s="3"/>
      <x:c r="J38" s="3"/>
      <x:c r="K38" s="3"/>
      <x:c r="L38" s="3"/>
      <x:c r="M38" s="3"/>
      <x:c r="N38" s="2"/>
      <x:c r="O38" s="16" t="str">
        <x:v>P26 p28: company average days. Not comparable to model closing ratios above; AR26 closing series and FY25 source conflict retained below.</x:v>
      </x:c>
    </x:row>
    <x:row r="39" ht="20" customHeight="1">
      <x:c r="A39" s="2"/>
      <x:c r="B39" s="2"/>
      <x:c r="C39" s="2"/>
      <x:c r="D39" s="3"/>
      <x:c r="E39" s="3"/>
      <x:c r="F39" s="3"/>
      <x:c r="G39" s="3"/>
      <x:c r="H39" s="3"/>
      <x:c r="I39" s="3"/>
      <x:c r="J39" s="3"/>
      <x:c r="K39" s="3"/>
      <x:c r="L39" s="3"/>
      <x:c r="M39" s="3"/>
      <x:c r="N39" s="2"/>
      <x:c r="O39" s="2"/>
    </x:row>
    <x:row r="40" ht="20" customHeight="1">
      <x:c r="A40" s="2"/>
      <x:c r="B40" s="2"/>
      <x:c r="C40" s="24" t="str">
        <x:v>Reported ROCE</x:v>
      </x:c>
      <x:c r="D40" s="26" t="n">
        <x:f>'01_Historical+Segments'!D266</x:f>
        <x:v>0.204</x:v>
      </x:c>
      <x:c r="E40" s="26" t="n">
        <x:f>'01_Historical+Segments'!E266</x:f>
        <x:v>0.257</x:v>
      </x:c>
      <x:c r="F40" s="26" t="n">
        <x:f>'01_Historical+Segments'!F266</x:f>
        <x:v>0.296</x:v>
      </x:c>
      <x:c r="G40" s="26" t="n">
        <x:f>'01_Historical+Segments'!G266</x:f>
        <x:v>0.287</x:v>
      </x:c>
      <x:c r="H40" s="26" t="n">
        <x:f>'01_Historical+Segments'!H266</x:f>
        <x:v>0.313</x:v>
      </x:c>
      <x:c r="I40" s="25"/>
      <x:c r="J40" s="25"/>
      <x:c r="K40" s="25"/>
      <x:c r="L40" s="25"/>
      <x:c r="M40" s="25"/>
      <x:c r="N40" s="2"/>
      <x:c r="O40" s="2"/>
    </x:row>
    <x:row r="41" ht="20" customHeight="1">
      <x:c r="A41" s="2"/>
      <x:c r="B41" s="2"/>
      <x:c r="C41" s="24" t="str">
        <x:v>Reported ROE</x:v>
      </x:c>
      <x:c r="D41" s="26" t="n">
        <x:f>'01_Historical+Segments'!D267</x:f>
        <x:v>0.177</x:v>
      </x:c>
      <x:c r="E41" s="26" t="n">
        <x:f>'01_Historical+Segments'!E267</x:f>
        <x:v>0.21</x:v>
      </x:c>
      <x:c r="F41" s="26" t="n">
        <x:f>'01_Historical+Segments'!F267</x:f>
        <x:v>0.242</x:v>
      </x:c>
      <x:c r="G41" s="26" t="n">
        <x:f>'01_Historical+Segments'!G267</x:f>
        <x:v>0.225</x:v>
      </x:c>
      <x:c r="H41" s="26" t="n">
        <x:f>'01_Historical+Segments'!H267</x:f>
        <x:v>0.246</x:v>
      </x:c>
      <x:c r="I41" s="25"/>
      <x:c r="J41" s="25"/>
      <x:c r="K41" s="25"/>
      <x:c r="L41" s="25"/>
      <x:c r="M41" s="25"/>
      <x:c r="N41" s="2"/>
      <x:c r="O41" s="2"/>
    </x:row>
    <x:row r="42" ht="20" customHeight="1">
      <x:c r="A42" s="2"/>
      <x:c r="B42" s="2"/>
      <x:c r="C42" s="24" t="str">
        <x:v>Organised domestic W&amp;C share midpoint</x:v>
      </x:c>
      <x:c r="D42" s="26" t="n">
        <x:f>AVERAGE('01_Historical+Segments'!D365,'01_Historical+Segments'!D366)</x:f>
        <x:v>0.22999999999999998</x:v>
      </x:c>
      <x:c r="E42" s="26" t="n">
        <x:f>AVERAGE('01_Historical+Segments'!E365,'01_Historical+Segments'!E366)</x:f>
        <x:v>0.22999999999999998</x:v>
      </x:c>
      <x:c r="F42" s="26" t="n">
        <x:f>AVERAGE('01_Historical+Segments'!F365,'01_Historical+Segments'!F366)</x:f>
        <x:v>0.255</x:v>
      </x:c>
      <x:c r="G42" s="26" t="n">
        <x:f>AVERAGE('01_Historical+Segments'!G365,'01_Historical+Segments'!G366)</x:f>
        <x:v>0.265</x:v>
      </x:c>
      <x:c r="H42" s="26" t="n">
        <x:f>AVERAGE('01_Historical+Segments'!H365,'01_Historical+Segments'!H366)</x:f>
        <x:v>0.305</x:v>
      </x:c>
      <x:c r="I42" s="25"/>
      <x:c r="J42" s="25"/>
      <x:c r="K42" s="25"/>
      <x:c r="L42" s="25"/>
      <x:c r="M42" s="25"/>
      <x:c r="N42" s="2"/>
      <x:c r="O42" s="2"/>
    </x:row>
    <x:row r="43" ht="44" customHeight="1">
      <x:c r="A43" s="2"/>
      <x:c r="B43" s="2"/>
      <x:c r="C43" s="24" t="str">
        <x:v>Domestic price/mix residual, indicative</x:v>
      </x:c>
      <x:c r="D43" s="25" t="str">
        <x:v>n.a.</x:v>
      </x:c>
      <x:c r="E43" s="25" t="str">
        <x:v>n.a.</x:v>
      </x:c>
      <x:c r="F43" s="25" t="str">
        <x:v>n.a.</x:v>
      </x:c>
      <x:c r="G43" s="25" t="str">
        <x:v>n.a.</x:v>
      </x:c>
      <x:c r="H43" s="26" t="n">
        <x:f>(1+'01_Historical+Segments'!H328)/(1+'01_Historical+Segments'!H373)-1</x:f>
        <x:v>0.14051607344202366</x:v>
      </x:c>
      <x:c r="I43" s="25"/>
      <x:c r="J43" s="25"/>
      <x:c r="K43" s="25"/>
      <x:c r="L43" s="25"/>
      <x:c r="M43" s="25"/>
      <x:c r="N43" s="2"/>
      <x:c r="O43" s="16" t="str">
        <x:v>FY26 proxy domestic nominal growth divided by 18% domestic volume growth. Residual includes mix, pricing and scope differences; not a measured copper contribution.</x:v>
      </x:c>
    </x:row>
    <x:row r="44" ht="20" customHeight="1">
      <x:c r="A44" s="2"/>
      <x:c r="B44" s="2"/>
      <x:c r="C44" s="2"/>
      <x:c r="D44" s="3"/>
      <x:c r="E44" s="3"/>
      <x:c r="F44" s="3"/>
      <x:c r="G44" s="3"/>
      <x:c r="H44" s="3"/>
      <x:c r="I44" s="3"/>
      <x:c r="J44" s="3"/>
      <x:c r="K44" s="3"/>
      <x:c r="L44" s="3"/>
      <x:c r="M44" s="3"/>
      <x:c r="N44" s="2"/>
      <x:c r="O44" s="2"/>
    </x:row>
    <x:row r="45" ht="20" customHeight="1">
      <x:c r="A45" s="2"/>
      <x:c r="B45" s="2"/>
      <x:c r="C45" s="2"/>
      <x:c r="D45" s="3"/>
      <x:c r="E45" s="3"/>
      <x:c r="F45" s="3"/>
      <x:c r="G45" s="3"/>
      <x:c r="H45" s="3"/>
      <x:c r="I45" s="3"/>
      <x:c r="J45" s="3"/>
      <x:c r="K45" s="3"/>
      <x:c r="L45" s="3"/>
      <x:c r="M45" s="3"/>
      <x:c r="N45" s="2"/>
      <x:c r="O45" s="2"/>
    </x:row>
    <x:row r="46" ht="20" customHeight="1">
      <x:c r="A46" s="2"/>
      <x:c r="B46" s="2"/>
      <x:c r="C46" s="31" t="str">
        <x:v>FY22–FY26 CAGR</x:v>
      </x:c>
      <x:c r="D46" s="32"/>
      <x:c r="E46" s="32"/>
      <x:c r="F46" s="32"/>
      <x:c r="G46" s="32"/>
      <x:c r="H46" s="32"/>
      <x:c r="I46" s="32"/>
      <x:c r="J46" s="32"/>
      <x:c r="K46" s="32"/>
      <x:c r="L46" s="32"/>
      <x:c r="M46" s="32"/>
      <x:c r="N46" s="2"/>
      <x:c r="O46" s="2"/>
    </x:row>
    <x:row r="47" ht="20" customHeight="1">
      <x:c r="A47" s="2"/>
      <x:c r="B47" s="2"/>
      <x:c r="C47" s="2"/>
      <x:c r="D47" s="3" t="str">
        <x:v>Revenue</x:v>
      </x:c>
      <x:c r="E47" s="33" t="n">
        <x:f>(H9/D9)^(1/4)-1</x:f>
        <x:v>0.24033822696627904</x:v>
      </x:c>
      <x:c r="F47" s="3" t="str">
        <x:v>W&amp;C</x:v>
      </x:c>
      <x:c r="G47" s="34" t="n">
        <x:f>('01_Historical+Segments'!H341/'01_Historical+Segments'!D341)^(1/4)-1</x:f>
        <x:v>0.23868408890362391</x:v>
      </x:c>
      <x:c r="H47" s="3"/>
      <x:c r="I47" s="3" t="str">
        <x:v>FMEG</x:v>
      </x:c>
      <x:c r="J47" s="34" t="n">
        <x:f>('01_Historical+Segments'!H342/'01_Historical+Segments'!D342)^(1/4)-1</x:f>
        <x:v>0.13331279945951224</x:v>
      </x:c>
      <x:c r="K47" s="3"/>
      <x:c r="L47" s="3" t="str">
        <x:v>Exports</x:v>
      </x:c>
      <x:c r="M47" s="34" t="n">
        <x:f>('01_Historical+Segments'!H362/'01_Historical+Segments'!D362)^(1/4)-1</x:f>
        <x:v>0.14194781471049644</x:v>
      </x:c>
      <x:c r="N47" s="2"/>
      <x:c r="O47" s="2"/>
    </x:row>
    <x:row r="48" ht="20" customHeight="1">
      <x:c r="A48" s="2"/>
      <x:c r="B48" s="2"/>
      <x:c r="C48" s="2"/>
      <x:c r="D48" s="3"/>
      <x:c r="E48" s="3"/>
      <x:c r="F48" s="3"/>
      <x:c r="G48" s="3"/>
      <x:c r="H48" s="3"/>
      <x:c r="I48" s="3"/>
      <x:c r="J48" s="3"/>
      <x:c r="K48" s="3"/>
      <x:c r="L48" s="3"/>
      <x:c r="M48" s="3"/>
      <x:c r="N48" s="2"/>
      <x:c r="O48" s="2"/>
    </x:row>
    <x:row r="49" ht="20" customHeight="1">
      <x:c r="A49" s="2"/>
      <x:c r="B49" s="2"/>
      <x:c r="C49" s="2"/>
      <x:c r="D49" s="3"/>
      <x:c r="E49" s="3"/>
      <x:c r="F49" s="3"/>
      <x:c r="G49" s="3"/>
      <x:c r="H49" s="3"/>
      <x:c r="I49" s="3"/>
      <x:c r="J49" s="3"/>
      <x:c r="K49" s="3"/>
      <x:c r="L49" s="3"/>
      <x:c r="M49" s="3"/>
      <x:c r="N49" s="2"/>
      <x:c r="O49" s="2"/>
    </x:row>
    <x:row r="50" ht="24" customHeight="1">
      <x:c r="A50" s="2"/>
      <x:c r="B50" s="2"/>
      <x:c r="C50" s="11" t="str">
        <x:v>Normalization findings</x:v>
      </x:c>
      <x:c r="D50" s="19"/>
      <x:c r="E50" s="19"/>
      <x:c r="F50" s="19"/>
      <x:c r="G50" s="19"/>
      <x:c r="H50" s="19"/>
      <x:c r="I50" s="19"/>
      <x:c r="J50" s="19"/>
      <x:c r="K50" s="19"/>
      <x:c r="L50" s="19"/>
      <x:c r="M50" s="19"/>
      <x:c r="N50" s="2"/>
      <x:c r="O50" s="2"/>
    </x:row>
    <x:row r="51" ht="20" customHeight="1">
      <x:c r="A51" s="2"/>
      <x:c r="B51" s="2"/>
      <x:c r="C51" s="2"/>
      <x:c r="D51" s="3"/>
      <x:c r="E51" s="3"/>
      <x:c r="F51" s="3"/>
      <x:c r="G51" s="3"/>
      <x:c r="H51" s="3"/>
      <x:c r="I51" s="3"/>
      <x:c r="J51" s="3"/>
      <x:c r="K51" s="3"/>
      <x:c r="L51" s="3"/>
      <x:c r="M51" s="3"/>
      <x:c r="N51" s="2"/>
      <x:c r="O51" s="2"/>
    </x:row>
    <x:row r="52" ht="22" customHeight="1">
      <x:c r="A52" s="2"/>
      <x:c r="B52" s="2"/>
      <x:c r="C52" s="2" t="str">
        <x:v>W&amp;C demand and share</x:v>
      </x:c>
      <x:c r="D52" s="3" t="str">
        <x:v>Structural + cyclical</x:v>
      </x:c>
      <x:c r="E52" s="3"/>
      <x:c r="F52" s="3"/>
      <x:c r="G52" s="3"/>
      <x:c r="H52" s="3"/>
      <x:c r="I52" s="3"/>
      <x:c r="J52" s="3"/>
      <x:c r="K52" s="3"/>
      <x:c r="L52" s="3"/>
      <x:c r="M52" s="3"/>
      <x:c r="N52" s="2"/>
      <x:c r="O52" s="16"/>
    </x:row>
    <x:row r="53" ht="34" customHeight="1">
      <x:c r="A53" s="2"/>
      <x:c r="B53" s="2"/>
      <x:c r="C53" s="16" t="str">
        <x:v>Infrastructure, power and formalisation support growth. FY26 share gain is not a recurring annual percentage-point assumption.</x:v>
      </x:c>
      <x:c r="D53" s="38"/>
      <x:c r="E53" s="38"/>
      <x:c r="F53" s="38"/>
      <x:c r="G53" s="38"/>
      <x:c r="H53" s="38"/>
      <x:c r="I53" s="38"/>
      <x:c r="J53" s="38"/>
      <x:c r="K53" s="38"/>
      <x:c r="L53" s="38"/>
      <x:c r="M53" s="38"/>
      <x:c r="N53" s="2"/>
      <x:c r="O53" s="2"/>
    </x:row>
    <x:row r="54" ht="20" customHeight="1">
      <x:c r="A54" s="2"/>
      <x:c r="B54" s="2"/>
      <x:c r="C54" s="2"/>
      <x:c r="D54" s="3"/>
      <x:c r="E54" s="3"/>
      <x:c r="F54" s="3"/>
      <x:c r="G54" s="3"/>
      <x:c r="H54" s="3"/>
      <x:c r="I54" s="3"/>
      <x:c r="J54" s="3"/>
      <x:c r="K54" s="3"/>
      <x:c r="L54" s="3"/>
      <x:c r="M54" s="3"/>
      <x:c r="N54" s="2"/>
      <x:c r="O54" s="2"/>
    </x:row>
    <x:row r="55" ht="22" customHeight="1">
      <x:c r="A55" s="2"/>
      <x:c r="B55" s="2"/>
      <x:c r="C55" s="2" t="str">
        <x:v>Revenue versus volume</x:v>
      </x:c>
      <x:c r="D55" s="3" t="str">
        <x:v>Commodity-driven</x:v>
      </x:c>
      <x:c r="E55" s="3"/>
      <x:c r="F55" s="3"/>
      <x:c r="G55" s="3"/>
      <x:c r="H55" s="3"/>
      <x:c r="I55" s="3"/>
      <x:c r="J55" s="3"/>
      <x:c r="K55" s="3"/>
      <x:c r="L55" s="3"/>
      <x:c r="M55" s="3"/>
      <x:c r="N55" s="2"/>
      <x:c r="O55" s="16"/>
    </x:row>
    <x:row r="56" ht="32" customHeight="1">
      <x:c r="A56" s="2"/>
      <x:c r="B56" s="2"/>
      <x:c r="C56" s="16" t="str">
        <x:v>FY26 nominal growth exceeds volume growth. Q1FY27 domestic W&amp;C income rose 43%, while total W&amp;C rose 39% and volume grew low/mid single digits.</x:v>
      </x:c>
      <x:c r="D56" s="38"/>
      <x:c r="E56" s="38"/>
      <x:c r="F56" s="38"/>
      <x:c r="G56" s="38"/>
      <x:c r="H56" s="38"/>
      <x:c r="I56" s="38"/>
      <x:c r="J56" s="38"/>
      <x:c r="K56" s="38"/>
      <x:c r="L56" s="38"/>
      <x:c r="M56" s="38"/>
      <x:c r="N56" s="2"/>
      <x:c r="O56" s="2"/>
    </x:row>
    <x:row r="57" ht="20" customHeight="1">
      <x:c r="A57" s="2"/>
      <x:c r="B57" s="2"/>
      <x:c r="C57" s="2"/>
      <x:c r="D57" s="3"/>
      <x:c r="E57" s="3"/>
      <x:c r="F57" s="3"/>
      <x:c r="G57" s="3"/>
      <x:c r="H57" s="3"/>
      <x:c r="I57" s="3"/>
      <x:c r="J57" s="3"/>
      <x:c r="K57" s="3"/>
      <x:c r="L57" s="3"/>
      <x:c r="M57" s="3"/>
      <x:c r="N57" s="2"/>
      <x:c r="O57" s="2"/>
    </x:row>
    <x:row r="58" ht="22" customHeight="1">
      <x:c r="A58" s="2"/>
      <x:c r="B58" s="2"/>
      <x:c r="C58" s="2" t="str">
        <x:v>W&amp;C profitability</x:v>
      </x:c>
      <x:c r="D58" s="3" t="str">
        <x:v>Cyclical + mix</x:v>
      </x:c>
      <x:c r="E58" s="3"/>
      <x:c r="F58" s="3"/>
      <x:c r="G58" s="3"/>
      <x:c r="H58" s="3"/>
      <x:c r="I58" s="3"/>
      <x:c r="J58" s="3"/>
      <x:c r="K58" s="3"/>
      <x:c r="L58" s="3"/>
      <x:c r="M58" s="3"/>
      <x:c r="N58" s="2"/>
      <x:c r="O58" s="16"/>
    </x:row>
    <x:row r="59" ht="34" customHeight="1">
      <x:c r="A59" s="2"/>
      <x:c r="B59" s="2"/>
      <x:c r="C59" s="16" t="str">
        <x:v>FY26 EBITDA is about 15.0%. Base fades from 14% in FY27 to 12.5% by FY30, within long-term Spring guidance.</x:v>
      </x:c>
      <x:c r="D59" s="38"/>
      <x:c r="E59" s="38"/>
      <x:c r="F59" s="38"/>
      <x:c r="G59" s="38"/>
      <x:c r="H59" s="38"/>
      <x:c r="I59" s="38"/>
      <x:c r="J59" s="38"/>
      <x:c r="K59" s="38"/>
      <x:c r="L59" s="38"/>
      <x:c r="M59" s="38"/>
      <x:c r="N59" s="2"/>
      <x:c r="O59" s="2"/>
    </x:row>
    <x:row r="60" ht="20" customHeight="1">
      <x:c r="A60" s="2"/>
      <x:c r="B60" s="2"/>
      <x:c r="C60" s="2"/>
      <x:c r="D60" s="3"/>
      <x:c r="E60" s="3"/>
      <x:c r="F60" s="3"/>
      <x:c r="G60" s="3"/>
      <x:c r="H60" s="3"/>
      <x:c r="I60" s="3"/>
      <x:c r="J60" s="3"/>
      <x:c r="K60" s="3"/>
      <x:c r="L60" s="3"/>
      <x:c r="M60" s="3"/>
      <x:c r="N60" s="2"/>
      <x:c r="O60" s="2"/>
    </x:row>
    <x:row r="61" ht="22" customHeight="1">
      <x:c r="A61" s="2"/>
      <x:c r="B61" s="2"/>
      <x:c r="C61" s="2" t="str">
        <x:v>FMEG profitability</x:v>
      </x:c>
      <x:c r="D61" s="3" t="str">
        <x:v>Structural + cyclical</x:v>
      </x:c>
      <x:c r="E61" s="3"/>
      <x:c r="F61" s="3"/>
      <x:c r="G61" s="3"/>
      <x:c r="H61" s="3"/>
      <x:c r="I61" s="3"/>
      <x:c r="J61" s="3"/>
      <x:c r="K61" s="3"/>
      <x:c r="L61" s="3"/>
      <x:c r="M61" s="3"/>
      <x:c r="N61" s="2"/>
      <x:c r="O61" s="16"/>
    </x:row>
    <x:row r="62" ht="34" customHeight="1">
      <x:c r="A62" s="2"/>
      <x:c r="B62" s="2"/>
      <x:c r="C62" s="16" t="str">
        <x:v>Distribution, solar and scale support turnaround. FY26 EBIT 2.7%; Q1FY27 8.0% benefits from mix and seasonality.</x:v>
      </x:c>
      <x:c r="D62" s="38"/>
      <x:c r="E62" s="38"/>
      <x:c r="F62" s="38"/>
      <x:c r="G62" s="38"/>
      <x:c r="H62" s="38"/>
      <x:c r="I62" s="38"/>
      <x:c r="J62" s="38"/>
      <x:c r="K62" s="38"/>
      <x:c r="L62" s="38"/>
      <x:c r="M62" s="38"/>
      <x:c r="N62" s="2"/>
      <x:c r="O62" s="2"/>
    </x:row>
    <x:row r="63" ht="20" customHeight="1">
      <x:c r="A63" s="2"/>
      <x:c r="B63" s="2"/>
      <x:c r="C63" s="2"/>
      <x:c r="D63" s="3"/>
      <x:c r="E63" s="3"/>
      <x:c r="F63" s="3"/>
      <x:c r="G63" s="3"/>
      <x:c r="H63" s="3"/>
      <x:c r="I63" s="3"/>
      <x:c r="J63" s="3"/>
      <x:c r="K63" s="3"/>
      <x:c r="L63" s="3"/>
      <x:c r="M63" s="3"/>
      <x:c r="N63" s="2"/>
      <x:c r="O63" s="2"/>
    </x:row>
    <x:row r="64" ht="22" customHeight="1">
      <x:c r="A64" s="2"/>
      <x:c r="B64" s="2"/>
      <x:c r="C64" s="2" t="str">
        <x:v>EPC</x:v>
      </x:c>
      <x:c r="D64" s="3" t="str">
        <x:v>Cyclical / execution timing</x:v>
      </x:c>
      <x:c r="E64" s="3"/>
      <x:c r="F64" s="3"/>
      <x:c r="G64" s="3"/>
      <x:c r="H64" s="3"/>
      <x:c r="I64" s="3"/>
      <x:c r="J64" s="3"/>
      <x:c r="K64" s="3"/>
      <x:c r="L64" s="3"/>
      <x:c r="M64" s="3"/>
      <x:c r="N64" s="2"/>
      <x:c r="O64" s="16"/>
    </x:row>
    <x:row r="65" ht="34" customHeight="1">
      <x:c r="A65" s="2"/>
      <x:c r="B65" s="2"/>
      <x:c r="C65" s="16" t="str">
        <x:v>FY26 revenue declines despite prior rapid growth. Normalize EBIT to 8.5%, with no automatic rebound to prior growth rates.</x:v>
      </x:c>
      <x:c r="D65" s="38"/>
      <x:c r="E65" s="38"/>
      <x:c r="F65" s="38"/>
      <x:c r="G65" s="38"/>
      <x:c r="H65" s="38"/>
      <x:c r="I65" s="38"/>
      <x:c r="J65" s="38"/>
      <x:c r="K65" s="38"/>
      <x:c r="L65" s="38"/>
      <x:c r="M65" s="38"/>
      <x:c r="N65" s="2"/>
      <x:c r="O65" s="2"/>
    </x:row>
    <x:row r="66" ht="20" customHeight="1">
      <x:c r="A66" s="2"/>
      <x:c r="B66" s="2"/>
      <x:c r="C66" s="2"/>
      <x:c r="D66" s="3"/>
      <x:c r="E66" s="3"/>
      <x:c r="F66" s="3"/>
      <x:c r="G66" s="3"/>
      <x:c r="H66" s="3"/>
      <x:c r="I66" s="3"/>
      <x:c r="J66" s="3"/>
      <x:c r="K66" s="3"/>
      <x:c r="L66" s="3"/>
      <x:c r="M66" s="3"/>
      <x:c r="N66" s="2"/>
      <x:c r="O66" s="2"/>
    </x:row>
    <x:row r="67" ht="22" customHeight="1">
      <x:c r="A67" s="2"/>
      <x:c r="B67" s="2"/>
      <x:c r="C67" s="2" t="str">
        <x:v>Working capital</x:v>
      </x:c>
      <x:c r="D67" s="3" t="str">
        <x:v>Temporary financing benefit</x:v>
      </x:c>
      <x:c r="E67" s="3"/>
      <x:c r="F67" s="3"/>
      <x:c r="G67" s="3"/>
      <x:c r="H67" s="3"/>
      <x:c r="I67" s="3"/>
      <x:c r="J67" s="3"/>
      <x:c r="K67" s="3"/>
      <x:c r="L67" s="3"/>
      <x:c r="M67" s="3"/>
      <x:c r="N67" s="2"/>
      <x:c r="O67" s="16"/>
    </x:row>
    <x:row r="68" ht="34" customHeight="1">
      <x:c r="A68" s="2"/>
      <x:c r="B68" s="2"/>
      <x:c r="C68" s="16" t="str">
        <x:v>FY26 acceptances rise sharply. Normalize model closing cycle to its FY23–FY25 median. Company 45–50 day guidance uses a different basis.</x:v>
      </x:c>
      <x:c r="D68" s="38"/>
      <x:c r="E68" s="38"/>
      <x:c r="F68" s="38"/>
      <x:c r="G68" s="38"/>
      <x:c r="H68" s="38"/>
      <x:c r="I68" s="38"/>
      <x:c r="J68" s="38"/>
      <x:c r="K68" s="38"/>
      <x:c r="L68" s="38"/>
      <x:c r="M68" s="38"/>
      <x:c r="N68" s="2"/>
      <x:c r="O68" s="2"/>
    </x:row>
    <x:row r="69" ht="20" customHeight="1">
      <x:c r="A69" s="2"/>
      <x:c r="B69" s="2"/>
      <x:c r="C69" s="2"/>
      <x:c r="D69" s="3"/>
      <x:c r="E69" s="3"/>
      <x:c r="F69" s="3"/>
      <x:c r="G69" s="3"/>
      <x:c r="H69" s="3"/>
      <x:c r="I69" s="3"/>
      <x:c r="J69" s="3"/>
      <x:c r="K69" s="3"/>
      <x:c r="L69" s="3"/>
      <x:c r="M69" s="3"/>
      <x:c r="N69" s="2"/>
      <x:c r="O69" s="2"/>
    </x:row>
    <x:row r="70" ht="22" customHeight="1">
      <x:c r="A70" s="2"/>
      <x:c r="B70" s="2"/>
      <x:c r="C70" s="2" t="str">
        <x:v>Other operating liabilities</x:v>
      </x:c>
      <x:c r="D70" s="3" t="str">
        <x:v>Potential one-off timing</x:v>
      </x:c>
      <x:c r="E70" s="3"/>
      <x:c r="F70" s="3"/>
      <x:c r="G70" s="3"/>
      <x:c r="H70" s="3"/>
      <x:c r="I70" s="3"/>
      <x:c r="J70" s="3"/>
      <x:c r="K70" s="3"/>
      <x:c r="L70" s="3"/>
      <x:c r="M70" s="3"/>
      <x:c r="N70" s="2"/>
      <x:c r="O70" s="16"/>
    </x:row>
    <x:row r="71" ht="34" customHeight="1">
      <x:c r="A71" s="2"/>
      <x:c r="B71" s="2"/>
      <x:c r="C71" s="16" t="str">
        <x:v>FY26 contract/other current liabilities surge. Revert other operating-liability ratio to FY24–FY25 average, reversing the benefit.</x:v>
      </x:c>
      <x:c r="D71" s="38"/>
      <x:c r="E71" s="38"/>
      <x:c r="F71" s="38"/>
      <x:c r="G71" s="38"/>
      <x:c r="H71" s="38"/>
      <x:c r="I71" s="38"/>
      <x:c r="J71" s="38"/>
      <x:c r="K71" s="38"/>
      <x:c r="L71" s="38"/>
      <x:c r="M71" s="38"/>
      <x:c r="N71" s="2"/>
      <x:c r="O71" s="2"/>
    </x:row>
    <x:row r="72" ht="20" customHeight="1">
      <x:c r="A72" s="2"/>
      <x:c r="B72" s="2"/>
      <x:c r="C72" s="2"/>
      <x:c r="D72" s="3"/>
      <x:c r="E72" s="3"/>
      <x:c r="F72" s="3"/>
      <x:c r="G72" s="3"/>
      <x:c r="H72" s="3"/>
      <x:c r="I72" s="3"/>
      <x:c r="J72" s="3"/>
      <x:c r="K72" s="3"/>
      <x:c r="L72" s="3"/>
      <x:c r="M72" s="3"/>
      <x:c r="N72" s="2"/>
      <x:c r="O72" s="2"/>
    </x:row>
    <x:row r="73" ht="22" customHeight="1">
      <x:c r="A73" s="2"/>
      <x:c r="B73" s="2"/>
      <x:c r="C73" s="2" t="str">
        <x:v>Capex</x:v>
      </x:c>
      <x:c r="D73" s="3" t="str">
        <x:v>Structural investment cycle</x:v>
      </x:c>
      <x:c r="E73" s="3"/>
      <x:c r="F73" s="3"/>
      <x:c r="G73" s="3"/>
      <x:c r="H73" s="3"/>
      <x:c r="I73" s="3"/>
      <x:c r="J73" s="3"/>
      <x:c r="K73" s="3"/>
      <x:c r="L73" s="3"/>
      <x:c r="M73" s="3"/>
      <x:c r="N73" s="2"/>
      <x:c r="O73" s="16"/>
    </x:row>
    <x:row r="74" ht="34" customHeight="1">
      <x:c r="A74" s="2"/>
      <x:c r="B74" s="2"/>
      <x:c r="C74" s="16" t="str">
        <x:v>Keep FY27–FY30 net cash capex at INR14bn midpoint. FY31 maintains FY30 capex intensity rather than dropping to depreciation.</x:v>
      </x:c>
      <x:c r="D74" s="38"/>
      <x:c r="E74" s="38"/>
      <x:c r="F74" s="38"/>
      <x:c r="G74" s="38"/>
      <x:c r="H74" s="38"/>
      <x:c r="I74" s="38"/>
      <x:c r="J74" s="38"/>
      <x:c r="K74" s="38"/>
      <x:c r="L74" s="38"/>
      <x:c r="M74" s="38"/>
      <x:c r="N74" s="2"/>
      <x:c r="O74" s="2"/>
    </x:row>
    <x:row r="75" ht="20" customHeight="1">
      <x:c r="A75" s="2"/>
      <x:c r="B75" s="2"/>
      <x:c r="C75" s="2"/>
      <x:c r="D75" s="3"/>
      <x:c r="E75" s="3"/>
      <x:c r="F75" s="3"/>
      <x:c r="G75" s="3"/>
      <x:c r="H75" s="3"/>
      <x:c r="I75" s="3"/>
      <x:c r="J75" s="3"/>
      <x:c r="K75" s="3"/>
      <x:c r="L75" s="3"/>
      <x:c r="M75" s="3"/>
      <x:c r="N75" s="2"/>
      <x:c r="O75" s="2"/>
    </x:row>
    <x:row r="76" ht="22" customHeight="1">
      <x:c r="A76" s="2"/>
      <x:c r="B76" s="2"/>
      <x:c r="C76" s="2" t="str">
        <x:v>Tax and discontinued items</x:v>
      </x:c>
      <x:c r="D76" s="3" t="str">
        <x:v>One-off / accounting</x:v>
      </x:c>
      <x:c r="E76" s="3"/>
      <x:c r="F76" s="3"/>
      <x:c r="G76" s="3"/>
      <x:c r="H76" s="3"/>
      <x:c r="I76" s="3"/>
      <x:c r="J76" s="3"/>
      <x:c r="K76" s="3"/>
      <x:c r="L76" s="3"/>
      <x:c r="M76" s="3"/>
      <x:c r="N76" s="2"/>
      <x:c r="O76" s="16"/>
    </x:row>
    <x:row r="77" ht="34" customHeight="1">
      <x:c r="A77" s="2"/>
      <x:c r="B77" s="2"/>
      <x:c r="C77" s="16" t="str">
        <x:v>FY22 discontinued PAT is separate. FY25 merger restatement retained. Use FY26 ETR for forecasts; no arbitrary FY26 PAT add-back.</x:v>
      </x:c>
      <x:c r="D77" s="38"/>
      <x:c r="E77" s="38"/>
      <x:c r="F77" s="38"/>
      <x:c r="G77" s="38"/>
      <x:c r="H77" s="38"/>
      <x:c r="I77" s="38"/>
      <x:c r="J77" s="38"/>
      <x:c r="K77" s="38"/>
      <x:c r="L77" s="38"/>
      <x:c r="M77" s="38"/>
      <x:c r="N77" s="2"/>
      <x:c r="O77" s="2"/>
    </x:row>
    <x:row r="78" ht="20" customHeight="1">
      <x:c r="A78" s="2"/>
      <x:c r="B78" s="2"/>
      <x:c r="C78" s="2"/>
      <x:c r="D78" s="3"/>
      <x:c r="E78" s="3"/>
      <x:c r="F78" s="3"/>
      <x:c r="G78" s="3"/>
      <x:c r="H78" s="3"/>
      <x:c r="I78" s="3"/>
      <x:c r="J78" s="3"/>
      <x:c r="K78" s="3"/>
      <x:c r="L78" s="3"/>
      <x:c r="M78" s="3"/>
      <x:c r="N78" s="2"/>
      <x:c r="O78" s="2"/>
    </x:row>
    <x:row r="79" ht="22" customHeight="1">
      <x:c r="A79" s="2"/>
      <x:c r="B79" s="2"/>
      <x:c r="C79" s="2" t="str">
        <x:v>Exports</x:v>
      </x:c>
      <x:c r="D79" s="3" t="str">
        <x:v>Structural opportunity + execution risk</x:v>
      </x:c>
      <x:c r="E79" s="3"/>
      <x:c r="F79" s="3"/>
      <x:c r="G79" s="3"/>
      <x:c r="H79" s="3"/>
      <x:c r="I79" s="3"/>
      <x:c r="J79" s="3"/>
      <x:c r="K79" s="3"/>
      <x:c r="L79" s="3"/>
      <x:c r="M79" s="3"/>
      <x:c r="N79" s="2"/>
      <x:c r="O79" s="16"/>
    </x:row>
    <x:row r="80" ht="34" customHeight="1">
      <x:c r="A80" s="2"/>
      <x:c r="B80" s="2"/>
      <x:c r="C80" s="16" t="str">
        <x:v>Base uses 15% FY27 growth then 25%, below growth needed for &gt;10% FY30 mix. Target is retained as an ambition, not forced.</x:v>
      </x:c>
      <x:c r="D80" s="38"/>
      <x:c r="E80" s="38"/>
      <x:c r="F80" s="38"/>
      <x:c r="G80" s="38"/>
      <x:c r="H80" s="38"/>
      <x:c r="I80" s="38"/>
      <x:c r="J80" s="38"/>
      <x:c r="K80" s="38"/>
      <x:c r="L80" s="38"/>
      <x:c r="M80" s="38"/>
      <x:c r="N80" s="2"/>
      <x:c r="O80" s="2"/>
    </x:row>
    <x:row r="81" ht="20" customHeight="1">
      <x:c r="A81" s="2"/>
      <x:c r="B81" s="2"/>
      <x:c r="C81" s="2"/>
      <x:c r="D81" s="3"/>
      <x:c r="E81" s="3"/>
      <x:c r="F81" s="3"/>
      <x:c r="G81" s="3"/>
      <x:c r="H81" s="3"/>
      <x:c r="I81" s="3"/>
      <x:c r="J81" s="3"/>
      <x:c r="K81" s="3"/>
      <x:c r="L81" s="3"/>
      <x:c r="M81" s="3"/>
      <x:c r="N81" s="2"/>
      <x:c r="O81" s="2"/>
    </x:row>
    <x:row r="82" ht="20" customHeight="1">
      <x:c r="A82" s="2"/>
      <x:c r="B82" s="2"/>
      <x:c r="C82" s="2"/>
      <x:c r="D82" s="3"/>
      <x:c r="E82" s="3"/>
      <x:c r="F82" s="3"/>
      <x:c r="G82" s="3"/>
      <x:c r="H82" s="3"/>
      <x:c r="I82" s="3"/>
      <x:c r="J82" s="3"/>
      <x:c r="K82" s="3"/>
      <x:c r="L82" s="3"/>
      <x:c r="M82" s="3"/>
      <x:c r="N82" s="2"/>
      <x:c r="O82" s="2"/>
    </x:row>
    <x:row r="83" ht="20" customHeight="1">
      <x:c r="A83" s="2"/>
      <x:c r="B83" s="2"/>
      <x:c r="C83" s="2"/>
      <x:c r="D83" s="3"/>
      <x:c r="E83" s="3"/>
      <x:c r="F83" s="3"/>
      <x:c r="G83" s="3"/>
      <x:c r="H83" s="3"/>
      <x:c r="I83" s="3"/>
      <x:c r="J83" s="3"/>
      <x:c r="K83" s="3"/>
      <x:c r="L83" s="3"/>
      <x:c r="M83" s="3"/>
      <x:c r="N83" s="2"/>
      <x:c r="O83" s="2"/>
    </x:row>
    <x:row r="84" ht="24" customHeight="1">
      <x:c r="A84" s="2"/>
      <x:c r="B84" s="2"/>
      <x:c r="C84" s="11" t="str">
        <x:v>FY26 normalization at unchanged sales</x:v>
      </x:c>
      <x:c r="D84" s="19"/>
      <x:c r="E84" s="19"/>
      <x:c r="F84" s="19"/>
      <x:c r="G84" s="19"/>
      <x:c r="H84" s="19"/>
      <x:c r="I84" s="19"/>
      <x:c r="J84" s="19"/>
      <x:c r="K84" s="19"/>
      <x:c r="L84" s="19"/>
      <x:c r="M84" s="19"/>
      <x:c r="N84" s="2"/>
      <x:c r="O84" s="2"/>
    </x:row>
    <x:row r="85" ht="20" customHeight="1">
      <x:c r="A85" s="2"/>
      <x:c r="B85" s="2"/>
      <x:c r="C85" s="2"/>
      <x:c r="D85" s="3"/>
      <x:c r="E85" s="3"/>
      <x:c r="F85" s="3"/>
      <x:c r="G85" s="3"/>
      <x:c r="H85" s="3"/>
      <x:c r="I85" s="3"/>
      <x:c r="J85" s="3"/>
      <x:c r="K85" s="3"/>
      <x:c r="L85" s="3"/>
      <x:c r="M85" s="3"/>
      <x:c r="N85" s="2"/>
      <x:c r="O85" s="2"/>
    </x:row>
    <x:row r="86" ht="20" customHeight="1">
      <x:c r="A86" s="2"/>
      <x:c r="B86" s="2"/>
      <x:c r="C86" s="2" t="str">
        <x:v>Reported W&amp;C EBITDA</x:v>
      </x:c>
      <x:c r="D86" s="3"/>
      <x:c r="E86" s="3"/>
      <x:c r="F86" s="3"/>
      <x:c r="G86" s="3"/>
      <x:c r="H86" s="22" t="n">
        <x:f>'01_Historical+Segments'!H347+'01_Historical+Segments'!H350</x:f>
        <x:v>37685.88</x:v>
      </x:c>
      <x:c r="I86" s="3"/>
      <x:c r="J86" s="3"/>
      <x:c r="K86" s="3"/>
      <x:c r="L86" s="3"/>
      <x:c r="M86" s="3"/>
      <x:c r="N86" s="2"/>
      <x:c r="O86" s="2"/>
    </x:row>
    <x:row r="87" ht="20" customHeight="1">
      <x:c r="A87" s="2"/>
      <x:c r="B87" s="2"/>
      <x:c r="C87" s="2" t="str">
        <x:v>W&amp;C EBITDA at FY27 base margin</x:v>
      </x:c>
      <x:c r="D87" s="3"/>
      <x:c r="E87" s="3"/>
      <x:c r="F87" s="3"/>
      <x:c r="G87" s="3"/>
      <x:c r="H87" s="22" t="n">
        <x:f>'01_Historical+Segments'!H341*'02_Drivers+Scenarios'!I30</x:f>
        <x:v>35250.4334</x:v>
      </x:c>
      <x:c r="I87" s="3"/>
      <x:c r="J87" s="3"/>
      <x:c r="K87" s="3"/>
      <x:c r="L87" s="3"/>
      <x:c r="M87" s="3"/>
      <x:c r="N87" s="2"/>
      <x:c r="O87" s="2"/>
    </x:row>
    <x:row r="88" ht="20" customHeight="1">
      <x:c r="A88" s="2"/>
      <x:c r="B88" s="2"/>
      <x:c r="C88" s="2" t="str">
        <x:v>EBITDA normalization impact</x:v>
      </x:c>
      <x:c r="D88" s="3"/>
      <x:c r="E88" s="3"/>
      <x:c r="F88" s="3"/>
      <x:c r="G88" s="3"/>
      <x:c r="H88" s="14" t="n">
        <x:f>H87-H86</x:f>
        <x:v>-2435.4465999999957</x:v>
      </x:c>
      <x:c r="I88" s="3"/>
      <x:c r="J88" s="3"/>
      <x:c r="K88" s="3"/>
      <x:c r="L88" s="3"/>
      <x:c r="M88" s="3"/>
      <x:c r="N88" s="2"/>
      <x:c r="O88" s="2"/>
    </x:row>
    <x:row r="89" ht="20" customHeight="1">
      <x:c r="A89" s="2"/>
      <x:c r="B89" s="2"/>
      <x:c r="C89" s="2" t="str">
        <x:v>Reported acceptance funding</x:v>
      </x:c>
      <x:c r="D89" s="3"/>
      <x:c r="E89" s="3"/>
      <x:c r="F89" s="3"/>
      <x:c r="G89" s="3"/>
      <x:c r="H89" s="22" t="n">
        <x:f>'01_Historical+Segments'!H204</x:f>
        <x:v>42656.19</x:v>
      </x:c>
      <x:c r="I89" s="3"/>
      <x:c r="J89" s="3"/>
      <x:c r="K89" s="3"/>
      <x:c r="L89" s="3"/>
      <x:c r="M89" s="3"/>
      <x:c r="N89" s="2"/>
      <x:c r="O89" s="2"/>
    </x:row>
    <x:row r="90" ht="20" customHeight="1">
      <x:c r="A90" s="2"/>
      <x:c r="B90" s="2"/>
      <x:c r="C90" s="2" t="str">
        <x:v>Acceptance funding at normal cycle</x:v>
      </x:c>
      <x:c r="D90" s="3"/>
      <x:c r="E90" s="3"/>
      <x:c r="F90" s="3"/>
      <x:c r="G90" s="3"/>
      <x:c r="H90" s="22" t="n">
        <x:f>'01_Historical+Segments'!H111*('02_Drivers+Scenarios'!I55+'02_Drivers+Scenarios'!I60-'02_Drivers+Scenarios'!I70-'02_Drivers+Scenarios'!I65)/365</x:f>
        <x:v>25583.54397898484</x:v>
      </x:c>
      <x:c r="I90" s="3"/>
      <x:c r="J90" s="3"/>
      <x:c r="K90" s="3"/>
      <x:c r="L90" s="3"/>
      <x:c r="M90" s="3"/>
      <x:c r="N90" s="2"/>
      <x:c r="O90" s="2"/>
    </x:row>
    <x:row r="91" ht="32" customHeight="1">
      <x:c r="A91" s="2"/>
      <x:c r="B91" s="2"/>
      <x:c r="C91" s="2" t="str">
        <x:v>Indicative funding reversal at FY26 scale</x:v>
      </x:c>
      <x:c r="D91" s="3"/>
      <x:c r="E91" s="3"/>
      <x:c r="F91" s="3"/>
      <x:c r="G91" s="3"/>
      <x:c r="H91" s="14" t="n">
        <x:f>H89-H90</x:f>
        <x:v>17072.646021015164</x:v>
      </x:c>
      <x:c r="I91" s="3"/>
      <x:c r="J91" s="3"/>
      <x:c r="K91" s="3"/>
      <x:c r="L91" s="3"/>
      <x:c r="M91" s="3"/>
      <x:c r="N91" s="2"/>
      <x:c r="O91" s="16" t="str">
        <x:v>Run-rate funding illustration, not a restatement of audited cash flow. Full FY27 forecast also includes growth and other operating balances.</x:v>
      </x:c>
    </x:row>
    <x:row r="92" ht="20" customHeight="1">
      <x:c r="A92" s="2"/>
      <x:c r="B92" s="2"/>
      <x:c r="C92" s="2"/>
      <x:c r="D92" s="3"/>
      <x:c r="E92" s="3"/>
      <x:c r="F92" s="3"/>
      <x:c r="G92" s="3"/>
      <x:c r="H92" s="3"/>
      <x:c r="I92" s="3"/>
      <x:c r="J92" s="3"/>
      <x:c r="K92" s="3"/>
      <x:c r="L92" s="3"/>
      <x:c r="M92" s="3"/>
      <x:c r="N92" s="2"/>
      <x:c r="O92" s="2"/>
    </x:row>
    <x:row r="93" ht="20" customHeight="1">
      <x:c r="A93" s="2"/>
      <x:c r="B93" s="2"/>
      <x:c r="C93" s="2"/>
      <x:c r="D93" s="3"/>
      <x:c r="E93" s="3"/>
      <x:c r="F93" s="3"/>
      <x:c r="G93" s="3"/>
      <x:c r="H93" s="3"/>
      <x:c r="I93" s="3"/>
      <x:c r="J93" s="3"/>
      <x:c r="K93" s="3"/>
      <x:c r="L93" s="3"/>
      <x:c r="M93" s="3"/>
      <x:c r="N93" s="2"/>
      <x:c r="O93" s="2"/>
    </x:row>
    <x:row r="94" ht="20" customHeight="1">
      <x:c r="A94" s="2"/>
      <x:c r="B94" s="2"/>
      <x:c r="C94" s="2"/>
      <x:c r="D94" s="3"/>
      <x:c r="E94" s="3"/>
      <x:c r="F94" s="3"/>
      <x:c r="G94" s="3"/>
      <x:c r="H94" s="3"/>
      <x:c r="I94" s="3"/>
      <x:c r="J94" s="3"/>
      <x:c r="K94" s="3"/>
      <x:c r="L94" s="3"/>
      <x:c r="M94" s="3"/>
      <x:c r="N94" s="2"/>
      <x:c r="O94" s="2"/>
    </x:row>
    <x:row r="95" ht="20" customHeight="1">
      <x:c r="A95" s="2"/>
      <x:c r="B95" s="2"/>
      <x:c r="C95" s="2"/>
      <x:c r="D95" s="3"/>
      <x:c r="E95" s="3"/>
      <x:c r="F95" s="3"/>
      <x:c r="G95" s="3"/>
      <x:c r="H95" s="3"/>
      <x:c r="I95" s="3"/>
      <x:c r="J95" s="3"/>
      <x:c r="K95" s="3"/>
      <x:c r="L95" s="3"/>
      <x:c r="M95" s="3"/>
      <x:c r="N95" s="2"/>
      <x:c r="O95" s="2"/>
    </x:row>
    <x:row r="96" ht="20" customHeight="1">
      <x:c r="A96" s="2"/>
      <x:c r="B96" s="2"/>
      <x:c r="C96" s="2"/>
      <x:c r="D96" s="3"/>
      <x:c r="E96" s="3"/>
      <x:c r="F96" s="3"/>
      <x:c r="G96" s="3"/>
      <x:c r="H96" s="3"/>
      <x:c r="I96" s="3"/>
      <x:c r="J96" s="3"/>
      <x:c r="K96" s="3"/>
      <x:c r="L96" s="3"/>
      <x:c r="M96" s="3"/>
      <x:c r="N96" s="2"/>
      <x:c r="O96" s="2"/>
    </x:row>
    <x:row r="97" ht="20" customHeight="1">
      <x:c r="A97" s="2"/>
      <x:c r="B97" s="2"/>
      <x:c r="C97" s="2"/>
      <x:c r="D97" s="3"/>
      <x:c r="E97" s="3"/>
      <x:c r="F97" s="3"/>
      <x:c r="G97" s="3"/>
      <x:c r="H97" s="3"/>
      <x:c r="I97" s="3"/>
      <x:c r="J97" s="3"/>
      <x:c r="K97" s="3"/>
      <x:c r="L97" s="3"/>
      <x:c r="M97" s="3"/>
      <x:c r="N97" s="2"/>
      <x:c r="O97" s="2"/>
    </x:row>
    <x:row r="98" ht="20" customHeight="1">
      <x:c r="A98" s="2"/>
      <x:c r="B98" s="2"/>
      <x:c r="C98" s="2"/>
      <x:c r="D98" s="3"/>
      <x:c r="E98" s="3"/>
      <x:c r="F98" s="3"/>
      <x:c r="G98" s="3"/>
      <x:c r="H98" s="3"/>
      <x:c r="I98" s="3"/>
      <x:c r="J98" s="3"/>
      <x:c r="K98" s="3"/>
      <x:c r="L98" s="3"/>
      <x:c r="M98" s="3"/>
      <x:c r="N98" s="2"/>
      <x:c r="O98" s="2"/>
    </x:row>
    <x:row r="99" ht="20" customHeight="1">
      <x:c r="A99" s="2"/>
      <x:c r="B99" s="2"/>
      <x:c r="C99" s="2"/>
      <x:c r="D99" s="3"/>
      <x:c r="E99" s="3"/>
      <x:c r="F99" s="3"/>
      <x:c r="G99" s="3"/>
      <x:c r="H99" s="3"/>
      <x:c r="I99" s="3"/>
      <x:c r="J99" s="3"/>
      <x:c r="K99" s="3"/>
      <x:c r="L99" s="3"/>
      <x:c r="M99" s="3"/>
      <x:c r="N99" s="2"/>
      <x:c r="O99" s="2"/>
    </x:row>
    <x:row r="100" ht="20" customHeight="1">
      <x:c r="A100" s="2"/>
      <x:c r="B100" s="2"/>
      <x:c r="C100" s="2"/>
      <x:c r="D100" s="3"/>
      <x:c r="E100" s="3"/>
      <x:c r="F100" s="3"/>
      <x:c r="G100" s="3"/>
      <x:c r="H100" s="3"/>
      <x:c r="I100" s="3"/>
      <x:c r="J100" s="3"/>
      <x:c r="K100" s="3"/>
      <x:c r="L100" s="3"/>
      <x:c r="M100" s="3"/>
      <x:c r="N100" s="2"/>
      <x:c r="O100" s="2"/>
    </x:row>
    <x:row r="101" ht="20" customHeight="1">
      <x:c r="A101" s="2"/>
      <x:c r="B101" s="2"/>
      <x:c r="C101" s="2"/>
      <x:c r="D101" s="3"/>
      <x:c r="E101" s="3"/>
      <x:c r="F101" s="3"/>
      <x:c r="G101" s="3"/>
      <x:c r="H101" s="3"/>
      <x:c r="I101" s="3"/>
      <x:c r="J101" s="3"/>
      <x:c r="K101" s="3"/>
      <x:c r="L101" s="3"/>
      <x:c r="M101" s="3"/>
      <x:c r="N101" s="2"/>
      <x:c r="O101" s="2"/>
    </x:row>
    <x:row r="102" ht="24" customHeight="1">
      <x:c r="A102" s="2"/>
      <x:c r="B102" s="2"/>
      <x:c r="C102" s="11" t="str">
        <x:v>Historical financial statements and original source inputs</x:v>
      </x:c>
      <x:c r="D102" s="19"/>
      <x:c r="E102" s="19"/>
      <x:c r="F102" s="19"/>
      <x:c r="G102" s="19"/>
      <x:c r="H102" s="19"/>
      <x:c r="I102" s="19"/>
      <x:c r="J102" s="19"/>
      <x:c r="K102" s="19"/>
      <x:c r="L102" s="19"/>
      <x:c r="M102" s="19"/>
      <x:c r="N102" s="2"/>
      <x:c r="O102" s="2"/>
    </x:row>
    <x:row r="103" ht="20" customHeight="1">
      <x:c r="A103" s="2"/>
      <x:c r="B103" s="2"/>
      <x:c r="C103" s="2"/>
      <x:c r="D103" s="3"/>
      <x:c r="E103" s="3"/>
      <x:c r="F103" s="3"/>
      <x:c r="G103" s="3"/>
      <x:c r="H103" s="3"/>
      <x:c r="I103" s="3"/>
      <x:c r="J103" s="3"/>
      <x:c r="K103" s="3"/>
      <x:c r="L103" s="3"/>
      <x:c r="M103" s="3"/>
      <x:c r="N103" s="2"/>
      <x:c r="O103" s="2"/>
    </x:row>
    <x:row r="104" ht="20" customHeight="1">
      <x:c r="A104" s="2"/>
      <x:c r="B104" s="2"/>
      <x:c r="C104" s="2" t="str">
        <x:v>Consolidated Ind AS. March year-end. Audited statement inputs and linked analysis.</x:v>
      </x:c>
      <x:c r="D104" s="3"/>
      <x:c r="E104" s="3"/>
      <x:c r="F104" s="3"/>
      <x:c r="G104" s="3"/>
      <x:c r="H104" s="3"/>
      <x:c r="I104" s="3"/>
      <x:c r="J104" s="3"/>
      <x:c r="K104" s="3"/>
      <x:c r="L104" s="3"/>
      <x:c r="M104" s="3"/>
      <x:c r="N104" s="2"/>
      <x:c r="O104" s="2"/>
    </x:row>
    <x:row r="105" ht="20" customHeight="1">
      <x:c r="A105" s="2"/>
      <x:c r="B105" s="2"/>
      <x:c r="C105" s="2"/>
      <x:c r="D105" s="3"/>
      <x:c r="E105" s="3"/>
      <x:c r="F105" s="3"/>
      <x:c r="G105" s="3"/>
      <x:c r="H105" s="3"/>
      <x:c r="I105" s="3"/>
      <x:c r="J105" s="3"/>
      <x:c r="K105" s="3"/>
      <x:c r="L105" s="3"/>
      <x:c r="M105" s="3"/>
      <x:c r="N105" s="2"/>
      <x:c r="O105" s="2"/>
    </x:row>
    <x:row r="106" ht="20" customHeight="1">
      <x:c r="A106" s="2"/>
      <x:c r="B106" s="2"/>
      <x:c r="C106" s="2" t="str">
        <x:v>INR million, unless specified</x:v>
      </x:c>
      <x:c r="D106" s="21" t="str">
        <x:v>FY22A</x:v>
      </x:c>
      <x:c r="E106" s="21" t="str">
        <x:v>FY23A</x:v>
      </x:c>
      <x:c r="F106" s="21" t="str">
        <x:v>FY24A</x:v>
      </x:c>
      <x:c r="G106" s="21" t="str">
        <x:v>FY25A</x:v>
      </x:c>
      <x:c r="H106" s="21" t="str">
        <x:v>FY26A</x:v>
      </x:c>
      <x:c r="I106" s="3"/>
      <x:c r="J106" s="3"/>
      <x:c r="K106" s="3"/>
      <x:c r="L106" s="3"/>
      <x:c r="M106" s="3"/>
      <x:c r="N106" s="2"/>
      <x:c r="O106" s="2"/>
    </x:row>
    <x:row r="107" ht="20" customHeight="1">
      <x:c r="A107" s="2"/>
      <x:c r="B107" s="2"/>
      <x:c r="C107" s="2"/>
      <x:c r="D107" s="3"/>
      <x:c r="E107" s="3"/>
      <x:c r="F107" s="3"/>
      <x:c r="G107" s="3"/>
      <x:c r="H107" s="3"/>
      <x:c r="I107" s="3"/>
      <x:c r="J107" s="3"/>
      <x:c r="K107" s="3"/>
      <x:c r="L107" s="3"/>
      <x:c r="M107" s="3"/>
      <x:c r="N107" s="2"/>
      <x:c r="O107" s="2"/>
    </x:row>
    <x:row r="108" ht="20" customHeight="1">
      <x:c r="A108" s="2"/>
      <x:c r="B108" s="2"/>
      <x:c r="C108" s="2" t="str">
        <x:v>Revenue</x:v>
      </x:c>
      <x:c r="D108" s="14" t="n">
        <x:f>D143</x:f>
        <x:v>122037.61</x:v>
      </x:c>
      <x:c r="E108" s="14" t="n">
        <x:f>E143</x:f>
        <x:v>141077.78</x:v>
      </x:c>
      <x:c r="F108" s="14" t="n">
        <x:f>F143</x:f>
        <x:v>180394.44</x:v>
      </x:c>
      <x:c r="G108" s="14" t="n">
        <x:f>G143</x:f>
        <x:v>224083.13</x:v>
      </x:c>
      <x:c r="H108" s="14" t="n">
        <x:f>H143</x:f>
        <x:v>288837.92</x:v>
      </x:c>
      <x:c r="I108" s="3"/>
      <x:c r="J108" s="3"/>
      <x:c r="K108" s="3"/>
      <x:c r="L108" s="3"/>
      <x:c r="M108" s="3"/>
      <x:c r="N108" s="2"/>
      <x:c r="O108" s="2"/>
    </x:row>
    <x:row r="109" ht="20" customHeight="1">
      <x:c r="A109" s="2"/>
      <x:c r="B109" s="2"/>
      <x:c r="C109" s="2" t="str">
        <x:v>Revenue growth</x:v>
      </x:c>
      <x:c r="D109" s="23" t="str">
        <x:v>n.a.</x:v>
      </x:c>
      <x:c r="E109" s="33" t="n">
        <x:f>E143/D143-1</x:f>
        <x:v>0.1560188699205105</x:v>
      </x:c>
      <x:c r="F109" s="33" t="n">
        <x:f>F143/E143-1</x:f>
        <x:v>0.278687827381463</x:v>
      </x:c>
      <x:c r="G109" s="33" t="n">
        <x:f>G143/F143-1</x:f>
        <x:v>0.24218423805079592</x:v>
      </x:c>
      <x:c r="H109" s="33" t="n">
        <x:f>H143/G143-1</x:f>
        <x:v>0.28897664005318013</x:v>
      </x:c>
      <x:c r="I109" s="3"/>
      <x:c r="J109" s="3"/>
      <x:c r="K109" s="3"/>
      <x:c r="L109" s="3"/>
      <x:c r="M109" s="3"/>
      <x:c r="N109" s="2"/>
      <x:c r="O109" s="2"/>
    </x:row>
    <x:row r="110" ht="20" customHeight="1">
      <x:c r="A110" s="2"/>
      <x:c r="B110" s="2"/>
      <x:c r="C110" s="2"/>
      <x:c r="D110" s="3"/>
      <x:c r="E110" s="3"/>
      <x:c r="F110" s="3"/>
      <x:c r="G110" s="3"/>
      <x:c r="H110" s="3"/>
      <x:c r="I110" s="3"/>
      <x:c r="J110" s="3"/>
      <x:c r="K110" s="3"/>
      <x:c r="L110" s="3"/>
      <x:c r="M110" s="3"/>
      <x:c r="N110" s="2"/>
      <x:c r="O110" s="2"/>
    </x:row>
    <x:row r="111" ht="20" customHeight="1">
      <x:c r="A111" s="2"/>
      <x:c r="B111" s="2"/>
      <x:c r="C111" s="2" t="str">
        <x:v>Materials, traded goods and project costs</x:v>
      </x:c>
      <x:c r="D111" s="14" t="n">
        <x:f>SUM(D145:D148)</x:f>
        <x:v>94656.76000000001</x:v>
      </x:c>
      <x:c r="E111" s="14" t="n">
        <x:f>SUM(E145:E148)</x:f>
        <x:v>105108.95999999999</x:v>
      </x:c>
      <x:c r="F111" s="14" t="n">
        <x:f>SUM(F145:F148)</x:f>
        <x:v>132803.01</x:v>
      </x:c>
      <x:c r="G111" s="14" t="n">
        <x:f>SUM(G145:G148)</x:f>
        <x:v>168300.33</x:v>
      </x:c>
      <x:c r="H111" s="14" t="n">
        <x:f>SUM(H145:H148)</x:f>
        <x:v>215815.97000000003</x:v>
      </x:c>
      <x:c r="I111" s="3"/>
      <x:c r="J111" s="3"/>
      <x:c r="K111" s="3"/>
      <x:c r="L111" s="3"/>
      <x:c r="M111" s="3"/>
      <x:c r="N111" s="2"/>
      <x:c r="O111" s="2"/>
    </x:row>
    <x:row r="112" ht="32" customHeight="1">
      <x:c r="A112" s="2"/>
      <x:c r="B112" s="2"/>
      <x:c r="C112" s="2" t="str">
        <x:v>Gross contribution</x:v>
      </x:c>
      <x:c r="D112" s="14" t="n">
        <x:f>D143-D111</x:f>
        <x:v>27380.84999999999</x:v>
      </x:c>
      <x:c r="E112" s="14" t="n">
        <x:f>E143-E111</x:f>
        <x:v>35968.82000000001</x:v>
      </x:c>
      <x:c r="F112" s="14" t="n">
        <x:f>F143-F111</x:f>
        <x:v>47591.42999999999</x:v>
      </x:c>
      <x:c r="G112" s="14" t="n">
        <x:f>G143-G111</x:f>
        <x:v>55782.80000000002</x:v>
      </x:c>
      <x:c r="H112" s="14" t="n">
        <x:f>H143-H111</x:f>
        <x:v>73021.94999999995</x:v>
      </x:c>
      <x:c r="I112" s="3"/>
      <x:c r="J112" s="3"/>
      <x:c r="K112" s="3"/>
      <x:c r="L112" s="3"/>
      <x:c r="M112" s="3"/>
      <x:c r="N112" s="2"/>
      <x:c r="O112" s="16" t="str">
        <x:v>Gross contribution is a model subtotal, before employee costs and other expenses. It is not statutory gross profit.</x:v>
      </x:c>
    </x:row>
    <x:row r="113" ht="20" customHeight="1">
      <x:c r="A113" s="2"/>
      <x:c r="B113" s="2"/>
      <x:c r="C113" s="2" t="str">
        <x:v>Gross contribution margin</x:v>
      </x:c>
      <x:c r="D113" s="33" t="n">
        <x:f>D112/D143</x:f>
        <x:v>0.2243640300723686</x:v>
      </x:c>
      <x:c r="E113" s="33" t="n">
        <x:f>E112/E143</x:f>
        <x:v>0.25495737174202776</x:v>
      </x:c>
      <x:c r="F113" s="33" t="n">
        <x:f>F112/F143</x:f>
        <x:v>0.2638187185813487</x:v>
      </x:c>
      <x:c r="G113" s="33" t="n">
        <x:f>G112/G143</x:f>
        <x:v>0.24893797226056247</x:v>
      </x:c>
      <x:c r="H113" s="33" t="n">
        <x:f>H112/H143</x:f>
        <x:v>0.252812892434622</x:v>
      </x:c>
      <x:c r="I113" s="3"/>
      <x:c r="J113" s="3"/>
      <x:c r="K113" s="3"/>
      <x:c r="L113" s="3"/>
      <x:c r="M113" s="3"/>
      <x:c r="N113" s="2"/>
      <x:c r="O113" s="2"/>
    </x:row>
    <x:row r="114" ht="20" customHeight="1">
      <x:c r="A114" s="2"/>
      <x:c r="B114" s="2"/>
      <x:c r="C114" s="2"/>
      <x:c r="D114" s="3"/>
      <x:c r="E114" s="3"/>
      <x:c r="F114" s="3"/>
      <x:c r="G114" s="3"/>
      <x:c r="H114" s="3"/>
      <x:c r="I114" s="3"/>
      <x:c r="J114" s="3"/>
      <x:c r="K114" s="3"/>
      <x:c r="L114" s="3"/>
      <x:c r="M114" s="3"/>
      <x:c r="N114" s="2"/>
      <x:c r="O114" s="2"/>
    </x:row>
    <x:row r="115" ht="20" customHeight="1">
      <x:c r="A115" s="2"/>
      <x:c r="B115" s="2"/>
      <x:c r="C115" s="2" t="str">
        <x:v>Operating EBITDA before JV result</x:v>
      </x:c>
      <x:c r="D115" s="14" t="n">
        <x:f>D112-SUM(D149:D150)</x:f>
        <x:v>12651.98999999999</x:v>
      </x:c>
      <x:c r="E115" s="14" t="n">
        <x:f>E112-SUM(E149:E150)</x:f>
        <x:v>18521.140000000007</x:v>
      </x:c>
      <x:c r="F115" s="14" t="n">
        <x:f>F112-SUM(F149:F150)</x:f>
        <x:v>24918.049999999996</x:v>
      </x:c>
      <x:c r="G115" s="14" t="n">
        <x:f>G112-SUM(G149:G150)</x:f>
        <x:v>29602.400000000016</x:v>
      </x:c>
      <x:c r="H115" s="14" t="n">
        <x:f>H112-SUM(H149:H150)</x:f>
        <x:v>40057.279999999955</x:v>
      </x:c>
      <x:c r="I115" s="3"/>
      <x:c r="J115" s="3"/>
      <x:c r="K115" s="3"/>
      <x:c r="L115" s="3"/>
      <x:c r="M115" s="3"/>
      <x:c r="N115" s="2"/>
      <x:c r="O115" s="2"/>
    </x:row>
    <x:row r="116" ht="32" customHeight="1">
      <x:c r="A116" s="2"/>
      <x:c r="B116" s="2"/>
      <x:c r="C116" s="2" t="str">
        <x:v>EBITDA, company definition</x:v>
      </x:c>
      <x:c r="D116" s="14" t="n">
        <x:f>D154+D152+D151-D144</x:f>
        <x:v>12626.44</x:v>
      </x:c>
      <x:c r="E116" s="14" t="n">
        <x:f>E154+E152+E151-E144</x:f>
        <x:v>18428.510000000002</x:v>
      </x:c>
      <x:c r="F116" s="14" t="n">
        <x:f>F154+F152+F151-F144</x:f>
        <x:v>24918.050000000003</x:v>
      </x:c>
      <x:c r="G116" s="14" t="n">
        <x:f>G154+G152+G151-G144</x:f>
        <x:v>29602.399999999998</x:v>
      </x:c>
      <x:c r="H116" s="14" t="n">
        <x:f>H154+H152+H151-H144</x:f>
        <x:v>40057.280000000006</x:v>
      </x:c>
      <x:c r="I116" s="3"/>
      <x:c r="J116" s="3"/>
      <x:c r="K116" s="3"/>
      <x:c r="L116" s="3"/>
      <x:c r="M116" s="3"/>
      <x:c r="N116" s="2"/>
      <x:c r="O116" s="16" t="str">
        <x:v>PBT + finance costs + D&amp;A - other income. FY22/FY23 include the JV loss, consistent with company EBITDA.</x:v>
      </x:c>
    </x:row>
    <x:row r="117" ht="20" customHeight="1">
      <x:c r="A117" s="2"/>
      <x:c r="B117" s="2"/>
      <x:c r="C117" s="2" t="str">
        <x:v>EBITDA margin</x:v>
      </x:c>
      <x:c r="D117" s="33" t="n">
        <x:f>D116/D143</x:f>
        <x:v>0.10346351423958565</x:v>
      </x:c>
      <x:c r="E117" s="33" t="n">
        <x:f>E116/E143</x:f>
        <x:v>0.1306265947763</x:v>
      </x:c>
      <x:c r="F117" s="33" t="n">
        <x:f>F116/F143</x:f>
        <x:v>0.13813092022126625</x:v>
      </x:c>
      <x:c r="G117" s="33" t="n">
        <x:f>G116/G143</x:f>
        <x:v>0.13210454530869858</x:v>
      </x:c>
      <x:c r="H117" s="33" t="n">
        <x:f>H116/H143</x:f>
        <x:v>0.13868428355944404</x:v>
      </x:c>
      <x:c r="I117" s="3"/>
      <x:c r="J117" s="3"/>
      <x:c r="K117" s="3"/>
      <x:c r="L117" s="3"/>
      <x:c r="M117" s="3"/>
      <x:c r="N117" s="2"/>
      <x:c r="O117" s="2"/>
    </x:row>
    <x:row r="118" ht="20" customHeight="1">
      <x:c r="A118" s="2"/>
      <x:c r="B118" s="2"/>
      <x:c r="C118" s="2"/>
      <x:c r="D118" s="3"/>
      <x:c r="E118" s="3"/>
      <x:c r="F118" s="3"/>
      <x:c r="G118" s="3"/>
      <x:c r="H118" s="3"/>
      <x:c r="I118" s="3"/>
      <x:c r="J118" s="3"/>
      <x:c r="K118" s="3"/>
      <x:c r="L118" s="3"/>
      <x:c r="M118" s="3"/>
      <x:c r="N118" s="2"/>
      <x:c r="O118" s="2"/>
    </x:row>
    <x:row r="119" ht="20" customHeight="1">
      <x:c r="A119" s="2"/>
      <x:c r="B119" s="2"/>
      <x:c r="C119" s="2" t="str">
        <x:v>EBIT, company definition</x:v>
      </x:c>
      <x:c r="D119" s="14" t="n">
        <x:f>D116-D151</x:f>
        <x:v>10611.25</x:v>
      </x:c>
      <x:c r="E119" s="14" t="n">
        <x:f>E116-E151</x:f>
        <x:v>16336.870000000003</x:v>
      </x:c>
      <x:c r="F119" s="14" t="n">
        <x:f>F116-F151</x:f>
        <x:v>22467.65</x:v>
      </x:c>
      <x:c r="G119" s="14" t="n">
        <x:f>G116-G151</x:f>
        <x:v>26621.37</x:v>
      </x:c>
      <x:c r="H119" s="14" t="n">
        <x:f>H116-H151</x:f>
        <x:v>36198.590000000004</x:v>
      </x:c>
      <x:c r="I119" s="3"/>
      <x:c r="J119" s="3"/>
      <x:c r="K119" s="3"/>
      <x:c r="L119" s="3"/>
      <x:c r="M119" s="3"/>
      <x:c r="N119" s="2"/>
      <x:c r="O119" s="2"/>
    </x:row>
    <x:row r="120" ht="20" customHeight="1">
      <x:c r="A120" s="2"/>
      <x:c r="B120" s="2"/>
      <x:c r="C120" s="2" t="str">
        <x:v>Profit before tax</x:v>
      </x:c>
      <x:c r="D120" s="14" t="n">
        <x:f>D115-D151+D144-D152+D153</x:f>
        <x:v>11158.57999999999</x:v>
      </x:c>
      <x:c r="E120" s="14" t="n">
        <x:f>E115-E151+E144-E152+E153</x:f>
        <x:v>17072.560000000005</x:v>
      </x:c>
      <x:c r="F120" s="14" t="n">
        <x:f>F115-F151+F144-F152+F153</x:f>
        <x:v>23592.999999999993</x:v>
      </x:c>
      <x:c r="G120" s="14" t="n">
        <x:f>G115-G151+G144-G152+G153</x:f>
        <x:v>27008.45000000002</x:v>
      </x:c>
      <x:c r="H120" s="14" t="n">
        <x:f>H115-H151+H144-H152+H153</x:f>
        <x:v>36130.74999999995</x:v>
      </x:c>
      <x:c r="I120" s="3"/>
      <x:c r="J120" s="3"/>
      <x:c r="K120" s="3"/>
      <x:c r="L120" s="3"/>
      <x:c r="M120" s="3"/>
      <x:c r="N120" s="2"/>
      <x:c r="O120" s="2"/>
    </x:row>
    <x:row r="121" ht="20" customHeight="1">
      <x:c r="A121" s="2"/>
      <x:c r="B121" s="2"/>
      <x:c r="C121" s="2" t="str">
        <x:v>Total tax expense</x:v>
      </x:c>
      <x:c r="D121" s="14" t="n">
        <x:f>SUM(D155:D156)</x:f>
        <x:v>2706.27</x:v>
      </x:c>
      <x:c r="E121" s="14" t="n">
        <x:f>SUM(E155:E156)</x:f>
        <x:v>4241.7</x:v>
      </x:c>
      <x:c r="F121" s="14" t="n">
        <x:f>SUM(F155:F156)</x:f>
        <x:v>5563.83</x:v>
      </x:c>
      <x:c r="G121" s="14" t="n">
        <x:f>SUM(G155:G156)</x:f>
        <x:v>6553.08</x:v>
      </x:c>
      <x:c r="H121" s="14" t="n">
        <x:f>SUM(H155:H156)</x:f>
        <x:v>9046.48</x:v>
      </x:c>
      <x:c r="I121" s="3"/>
      <x:c r="J121" s="3"/>
      <x:c r="K121" s="3"/>
      <x:c r="L121" s="3"/>
      <x:c r="M121" s="3"/>
      <x:c r="N121" s="2"/>
      <x:c r="O121" s="2"/>
    </x:row>
    <x:row r="122" ht="20" customHeight="1">
      <x:c r="A122" s="2"/>
      <x:c r="B122" s="2"/>
      <x:c r="C122" s="2" t="str">
        <x:v>Effective tax rate</x:v>
      </x:c>
      <x:c r="D122" s="33" t="n">
        <x:f>D121/D154</x:f>
        <x:v>0.24252817114722483</x:v>
      </x:c>
      <x:c r="E122" s="33" t="n">
        <x:f>E121/E154</x:f>
        <x:v>0.2484513160299334</x:v>
      </x:c>
      <x:c r="F122" s="33" t="n">
        <x:f>F121/F154</x:f>
        <x:v>0.23582545670325944</x:v>
      </x:c>
      <x:c r="G122" s="33" t="n">
        <x:f>G121/G154</x:f>
        <x:v>0.24263073223380088</x:v>
      </x:c>
      <x:c r="H122" s="33" t="n">
        <x:f>H121/H154</x:f>
        <x:v>0.2503817385468057</x:v>
      </x:c>
      <x:c r="I122" s="3"/>
      <x:c r="J122" s="3"/>
      <x:c r="K122" s="3"/>
      <x:c r="L122" s="3"/>
      <x:c r="M122" s="3"/>
      <x:c r="N122" s="2"/>
      <x:c r="O122" s="2"/>
    </x:row>
    <x:row r="123" ht="20" customHeight="1">
      <x:c r="A123" s="2"/>
      <x:c r="B123" s="2"/>
      <x:c r="C123" s="2"/>
      <x:c r="D123" s="3"/>
      <x:c r="E123" s="3"/>
      <x:c r="F123" s="3"/>
      <x:c r="G123" s="3"/>
      <x:c r="H123" s="3"/>
      <x:c r="I123" s="3"/>
      <x:c r="J123" s="3"/>
      <x:c r="K123" s="3"/>
      <x:c r="L123" s="3"/>
      <x:c r="M123" s="3"/>
      <x:c r="N123" s="2"/>
      <x:c r="O123" s="2"/>
    </x:row>
    <x:row r="124" ht="20" customHeight="1">
      <x:c r="A124" s="2"/>
      <x:c r="B124" s="2"/>
      <x:c r="C124" s="2" t="str">
        <x:v>PAT, total operations</x:v>
      </x:c>
      <x:c r="D124" s="14" t="n">
        <x:f>D154-D121+D158</x:f>
        <x:v>9172.84</x:v>
      </x:c>
      <x:c r="E124" s="14" t="n">
        <x:f>E154-E121+E158</x:f>
        <x:v>12830.86</x:v>
      </x:c>
      <x:c r="F124" s="14" t="n">
        <x:f>F154-F121+F158</x:f>
        <x:v>18029.17</x:v>
      </x:c>
      <x:c r="G124" s="14" t="n">
        <x:f>G154-G121+G158</x:f>
        <x:v>20455.370000000003</x:v>
      </x:c>
      <x:c r="H124" s="14" t="n">
        <x:f>H154-H121+H158</x:f>
        <x:v>27084.27</x:v>
      </x:c>
      <x:c r="I124" s="3"/>
      <x:c r="J124" s="3"/>
      <x:c r="K124" s="3"/>
      <x:c r="L124" s="3"/>
      <x:c r="M124" s="3"/>
      <x:c r="N124" s="2"/>
      <x:c r="O124" s="2"/>
    </x:row>
    <x:row r="125" ht="20" customHeight="1">
      <x:c r="A125" s="2"/>
      <x:c r="B125" s="2"/>
      <x:c r="C125" s="2" t="str">
        <x:v>PAT margin, total operations</x:v>
      </x:c>
      <x:c r="D125" s="33" t="n">
        <x:f>D124/D143</x:f>
        <x:v>0.07516404164257232</x:v>
      </x:c>
      <x:c r="E125" s="33" t="n">
        <x:f>E124/E143</x:f>
        <x:v>0.09094883687565825</x:v>
      </x:c>
      <x:c r="F125" s="33" t="n">
        <x:f>F124/F143</x:f>
        <x:v>0.09994304702517438</x:v>
      </x:c>
      <x:c r="G125" s="33" t="n">
        <x:f>G124/G143</x:f>
        <x:v>0.09128473883776972</x:v>
      </x:c>
      <x:c r="H125" s="33" t="n">
        <x:f>H124/H143</x:f>
        <x:v>0.09376978618319923</x:v>
      </x:c>
      <x:c r="I125" s="3"/>
      <x:c r="J125" s="3"/>
      <x:c r="K125" s="3"/>
      <x:c r="L125" s="3"/>
      <x:c r="M125" s="3"/>
      <x:c r="N125" s="2"/>
      <x:c r="O125" s="2"/>
    </x:row>
    <x:row r="126" ht="20" customHeight="1">
      <x:c r="A126" s="2"/>
      <x:c r="B126" s="2"/>
      <x:c r="C126" s="2"/>
      <x:c r="D126" s="3"/>
      <x:c r="E126" s="3"/>
      <x:c r="F126" s="3"/>
      <x:c r="G126" s="3"/>
      <x:c r="H126" s="3"/>
      <x:c r="I126" s="3"/>
      <x:c r="J126" s="3"/>
      <x:c r="K126" s="3"/>
      <x:c r="L126" s="3"/>
      <x:c r="M126" s="3"/>
      <x:c r="N126" s="2"/>
      <x:c r="O126" s="2"/>
    </x:row>
    <x:row r="127" ht="20" customHeight="1">
      <x:c r="A127" s="2"/>
      <x:c r="B127" s="2"/>
      <x:c r="C127" s="2" t="str">
        <x:v>Operating cash flow</x:v>
      </x:c>
      <x:c r="D127" s="14" t="n">
        <x:f>D225</x:f>
        <x:v>5116.11</x:v>
      </x:c>
      <x:c r="E127" s="14" t="n">
        <x:f>E225</x:f>
        <x:v>14275.21</x:v>
      </x:c>
      <x:c r="F127" s="14" t="n">
        <x:f>F225</x:f>
        <x:v>12962.4</x:v>
      </x:c>
      <x:c r="G127" s="14" t="n">
        <x:f>G225</x:f>
        <x:v>18085.34</x:v>
      </x:c>
      <x:c r="H127" s="14" t="n">
        <x:f>H225</x:f>
        <x:v>38106.67</x:v>
      </x:c>
      <x:c r="I127" s="3"/>
      <x:c r="J127" s="3"/>
      <x:c r="K127" s="3"/>
      <x:c r="L127" s="3"/>
      <x:c r="M127" s="3"/>
      <x:c r="N127" s="2"/>
      <x:c r="O127" s="2"/>
    </x:row>
    <x:row r="128" ht="20" customHeight="1">
      <x:c r="A128" s="2"/>
      <x:c r="B128" s="2"/>
      <x:c r="C128" s="2" t="str">
        <x:v>Gross cash capex</x:v>
      </x:c>
      <x:c r="D128" s="14" t="n">
        <x:f>-SUM(D226:D228)</x:f>
        <x:v>5266.929999999999</x:v>
      </x:c>
      <x:c r="E128" s="14" t="n">
        <x:f>-SUM(E226:E228)</x:f>
        <x:v>4794.53</x:v>
      </x:c>
      <x:c r="F128" s="14" t="n">
        <x:f>-SUM(F226:F228)</x:f>
        <x:v>8585.189999999999</x:v>
      </x:c>
      <x:c r="G128" s="14" t="n">
        <x:f>-SUM(G226:G228)</x:f>
        <x:v>9724.44</x:v>
      </x:c>
      <x:c r="H128" s="14" t="n">
        <x:f>-SUM(H226:H228)</x:f>
        <x:v>14898.080000000002</x:v>
      </x:c>
      <x:c r="I128" s="3"/>
      <x:c r="J128" s="3"/>
      <x:c r="K128" s="3"/>
      <x:c r="L128" s="3"/>
      <x:c r="M128" s="3"/>
      <x:c r="N128" s="2"/>
      <x:c r="O128" s="2"/>
    </x:row>
    <x:row r="129" ht="20" customHeight="1">
      <x:c r="A129" s="2"/>
      <x:c r="B129" s="2"/>
      <x:c r="C129" s="2" t="str">
        <x:v>Net cash capex</x:v>
      </x:c>
      <x:c r="D129" s="14" t="n">
        <x:f>D128-D229</x:f>
        <x:v>5200.03</x:v>
      </x:c>
      <x:c r="E129" s="14" t="n">
        <x:f>E128-E229</x:f>
        <x:v>4584.179999999999</x:v>
      </x:c>
      <x:c r="F129" s="14" t="n">
        <x:f>F128-F229</x:f>
        <x:v>8579.72</x:v>
      </x:c>
      <x:c r="G129" s="14" t="n">
        <x:f>G128-G229</x:f>
        <x:v>9583.37</x:v>
      </x:c>
      <x:c r="H129" s="14" t="n">
        <x:f>H128-H229</x:f>
        <x:v>14799.340000000002</x:v>
      </x:c>
      <x:c r="I129" s="3"/>
      <x:c r="J129" s="3"/>
      <x:c r="K129" s="3"/>
      <x:c r="L129" s="3"/>
      <x:c r="M129" s="3"/>
      <x:c r="N129" s="2"/>
      <x:c r="O129" s="2"/>
    </x:row>
    <x:row r="130" ht="32" customHeight="1">
      <x:c r="A130" s="2"/>
      <x:c r="B130" s="2"/>
      <x:c r="C130" s="2" t="str">
        <x:v>CFO less net cash capex</x:v>
      </x:c>
      <x:c r="D130" s="14" t="n">
        <x:f>D127-D129</x:f>
        <x:v>-83.92000000000007</x:v>
      </x:c>
      <x:c r="E130" s="14" t="n">
        <x:f>E127-E129</x:f>
        <x:v>9691.029999999999</x:v>
      </x:c>
      <x:c r="F130" s="14" t="n">
        <x:f>F127-F129</x:f>
        <x:v>4382.68</x:v>
      </x:c>
      <x:c r="G130" s="14" t="n">
        <x:f>G127-G129</x:f>
        <x:v>8501.97</x:v>
      </x:c>
      <x:c r="H130" s="14" t="n">
        <x:f>H127-H129</x:f>
        <x:v>23307.329999999994</x:v>
      </x:c>
      <x:c r="I130" s="3"/>
      <x:c r="J130" s="3"/>
      <x:c r="K130" s="3"/>
      <x:c r="L130" s="3"/>
      <x:c r="M130" s="3"/>
      <x:c r="N130" s="2"/>
      <x:c r="O130" s="16" t="str">
        <x:v>Cash-flow metric includes the historical group perimeter. FY22 cash flows include discontinued copper operations.</x:v>
      </x:c>
    </x:row>
    <x:row r="131" ht="20" customHeight="1">
      <x:c r="A131" s="2"/>
      <x:c r="B131" s="2"/>
      <x:c r="C131" s="2" t="str">
        <x:v>Cash FCF margin</x:v>
      </x:c>
      <x:c r="D131" s="33" t="n">
        <x:f>D130/D143</x:f>
        <x:v>-0.0006876568625032895</x:v>
      </x:c>
      <x:c r="E131" s="33" t="n">
        <x:f>E130/E143</x:f>
        <x:v>0.06869281611888137</x:v>
      </x:c>
      <x:c r="F131" s="33" t="n">
        <x:f>F130/F143</x:f>
        <x:v>0.02429498381435703</x:v>
      </x:c>
      <x:c r="G131" s="33" t="n">
        <x:f>G130/G143</x:f>
        <x:v>0.03794114264648124</x:v>
      </x:c>
      <x:c r="H131" s="33" t="n">
        <x:f>H130/H143</x:f>
        <x:v>0.08069345603929012</x:v>
      </x:c>
      <x:c r="I131" s="3"/>
      <x:c r="J131" s="3"/>
      <x:c r="K131" s="3"/>
      <x:c r="L131" s="3"/>
      <x:c r="M131" s="3"/>
      <x:c r="N131" s="2"/>
      <x:c r="O131" s="2"/>
    </x:row>
    <x:row r="132" ht="20" customHeight="1">
      <x:c r="A132" s="2"/>
      <x:c r="B132" s="2"/>
      <x:c r="C132" s="2"/>
      <x:c r="D132" s="3"/>
      <x:c r="E132" s="3"/>
      <x:c r="F132" s="3"/>
      <x:c r="G132" s="3"/>
      <x:c r="H132" s="3"/>
      <x:c r="I132" s="3"/>
      <x:c r="J132" s="3"/>
      <x:c r="K132" s="3"/>
      <x:c r="L132" s="3"/>
      <x:c r="M132" s="3"/>
      <x:c r="N132" s="2"/>
      <x:c r="O132" s="2"/>
    </x:row>
    <x:row r="133" ht="20" customHeight="1">
      <x:c r="A133" s="2"/>
      <x:c r="B133" s="2"/>
      <x:c r="C133" s="2" t="str">
        <x:v>Borrowings, excluding leases/acceptances</x:v>
      </x:c>
      <x:c r="D133" s="14" t="n">
        <x:f>D195+D202</x:f>
        <x:v>831.35</x:v>
      </x:c>
      <x:c r="E133" s="14" t="n">
        <x:f>E195+E202</x:f>
        <x:v>730.1800000000001</x:v>
      </x:c>
      <x:c r="F133" s="14" t="n">
        <x:f>F195+F202</x:f>
        <x:v>897.74</x:v>
      </x:c>
      <x:c r="G133" s="14" t="n">
        <x:f>G195+G202</x:f>
        <x:v>1090.04</x:v>
      </x:c>
      <x:c r="H133" s="14" t="n">
        <x:f>H195+H202</x:f>
        <x:v>1324.9</x:v>
      </x:c>
      <x:c r="I133" s="3"/>
      <x:c r="J133" s="3"/>
      <x:c r="K133" s="3"/>
      <x:c r="L133" s="3"/>
      <x:c r="M133" s="3"/>
      <x:c r="N133" s="2"/>
      <x:c r="O133" s="2"/>
    </x:row>
    <x:row r="134" ht="20" customHeight="1">
      <x:c r="A134" s="2"/>
      <x:c r="B134" s="2"/>
      <x:c r="C134" s="2" t="str">
        <x:v>Cash and other bank balances</x:v>
      </x:c>
      <x:c r="D134" s="14" t="n">
        <x:f>D184+D185</x:f>
        <x:v>4071.1800000000003</x:v>
      </x:c>
      <x:c r="E134" s="14" t="n">
        <x:f>E184+E185</x:f>
        <x:v>6952.43</x:v>
      </x:c>
      <x:c r="F134" s="14" t="n">
        <x:f>F184+F185</x:f>
        <x:v>4023.58</x:v>
      </x:c>
      <x:c r="G134" s="14" t="n">
        <x:f>G184+G185</x:f>
        <x:v>7706.36</x:v>
      </x:c>
      <x:c r="H134" s="14" t="n">
        <x:f>H184+H185</x:f>
        <x:v>8824.7</x:v>
      </x:c>
      <x:c r="I134" s="3"/>
      <x:c r="J134" s="3"/>
      <x:c r="K134" s="3"/>
      <x:c r="L134" s="3"/>
      <x:c r="M134" s="3"/>
      <x:c r="N134" s="2"/>
      <x:c r="O134" s="2"/>
    </x:row>
    <x:row r="135" ht="32" customHeight="1">
      <x:c r="A135" s="2"/>
      <x:c r="B135" s="2"/>
      <x:c r="C135" s="2" t="str">
        <x:v>Cash, bank and investments less borrowings</x:v>
      </x:c>
      <x:c r="D135" s="14" t="n">
        <x:f>D134+D182-D133</x:f>
        <x:v>10880.34</x:v>
      </x:c>
      <x:c r="E135" s="14" t="n">
        <x:f>E134+E182-E133</x:f>
        <x:v>19727.2</x:v>
      </x:c>
      <x:c r="F135" s="14" t="n">
        <x:f>F134+F182-F133</x:f>
        <x:v>21350.01</x:v>
      </x:c>
      <x:c r="G135" s="14" t="n">
        <x:f>G134+G182-G133</x:f>
        <x:v>24106.739999999998</x:v>
      </x:c>
      <x:c r="H135" s="14" t="n">
        <x:f>H134+H182-H133</x:f>
        <x:v>41548.030000000006</x:v>
      </x:c>
      <x:c r="I135" s="3"/>
      <x:c r="J135" s="3"/>
      <x:c r="K135" s="3"/>
      <x:c r="L135" s="3"/>
      <x:c r="M135" s="3"/>
      <x:c r="N135" s="2"/>
      <x:c r="O135" s="16" t="str">
        <x:v>Liquidity proxy only. Excludes non-current deposits and does not deduct leases or supplier acceptances.</x:v>
      </x:c>
    </x:row>
    <x:row r="136" ht="20" customHeight="1">
      <x:c r="A136" s="2"/>
      <x:c r="B136" s="2"/>
      <x:c r="C136" s="2" t="str">
        <x:v>Equity attributable to shareholders</x:v>
      </x:c>
      <x:c r="D136" s="14" t="n">
        <x:f>D192+D193</x:f>
        <x:v>55437.41</x:v>
      </x:c>
      <x:c r="E136" s="14" t="n">
        <x:f>E192+E193</x:f>
        <x:v>66372.06999999999</x:v>
      </x:c>
      <x:c r="F136" s="14" t="n">
        <x:f>F192+F193</x:f>
        <x:v>81871.34</x:v>
      </x:c>
      <x:c r="G136" s="14" t="n">
        <x:f>G192+G193</x:f>
        <x:v>98280.54999999999</x:v>
      </x:c>
      <x:c r="H136" s="14" t="n">
        <x:f>H192+H193</x:f>
        <x:v>120085.76</x:v>
      </x:c>
      <x:c r="I136" s="3"/>
      <x:c r="J136" s="3"/>
      <x:c r="K136" s="3"/>
      <x:c r="L136" s="3"/>
      <x:c r="M136" s="3"/>
      <x:c r="N136" s="2"/>
      <x:c r="O136" s="2"/>
    </x:row>
    <x:row r="137" ht="20" customHeight="1">
      <x:c r="A137" s="2"/>
      <x:c r="B137" s="2"/>
      <x:c r="C137" s="2" t="str">
        <x:v>Total assets</x:v>
      </x:c>
      <x:c r="D137" s="14" t="n">
        <x:f>D191</x:f>
        <x:v>74119.06</x:v>
      </x:c>
      <x:c r="E137" s="14" t="n">
        <x:f>E191</x:f>
        <x:v>94254.76</x:v>
      </x:c>
      <x:c r="F137" s="14" t="n">
        <x:f>F191</x:f>
        <x:v>120788.84</x:v>
      </x:c>
      <x:c r="G137" s="14" t="n">
        <x:f>G191</x:f>
        <x:v>137757.66</x:v>
      </x:c>
      <x:c r="H137" s="14" t="n">
        <x:f>H191</x:f>
        <x:v>204761.9</x:v>
      </x:c>
      <x:c r="I137" s="3"/>
      <x:c r="J137" s="3"/>
      <x:c r="K137" s="3"/>
      <x:c r="L137" s="3"/>
      <x:c r="M137" s="3"/>
      <x:c r="N137" s="2"/>
      <x:c r="O137" s="2"/>
    </x:row>
    <x:row r="138" ht="20" customHeight="1">
      <x:c r="A138" s="2"/>
      <x:c r="B138" s="2"/>
      <x:c r="C138" s="2" t="str">
        <x:v>Total liabilities</x:v>
      </x:c>
      <x:c r="D138" s="14" t="n">
        <x:f>D201+D211</x:f>
        <x:v>18430.95</x:v>
      </x:c>
      <x:c r="E138" s="14" t="n">
        <x:f>E201+E211</x:f>
        <x:v>27508.92</x:v>
      </x:c>
      <x:c r="F138" s="14" t="n">
        <x:f>F201+F211</x:f>
        <x:v>38355.43</x:v>
      </x:c>
      <x:c r="G138" s="14" t="n">
        <x:f>G201+G211</x:f>
        <x:v>38659.42</x:v>
      </x:c>
      <x:c r="H138" s="14" t="n">
        <x:f>H201+H211</x:f>
        <x:v>83494.21</x:v>
      </x:c>
      <x:c r="I138" s="3"/>
      <x:c r="J138" s="3"/>
      <x:c r="K138" s="3"/>
      <x:c r="L138" s="3"/>
      <x:c r="M138" s="3"/>
      <x:c r="N138" s="2"/>
      <x:c r="O138" s="2"/>
    </x:row>
    <x:row r="139" ht="20" customHeight="1">
      <x:c r="A139" s="2"/>
      <x:c r="B139" s="2"/>
      <x:c r="C139" s="2"/>
      <x:c r="D139" s="3"/>
      <x:c r="E139" s="3"/>
      <x:c r="F139" s="3"/>
      <x:c r="G139" s="3"/>
      <x:c r="H139" s="3"/>
      <x:c r="I139" s="3"/>
      <x:c r="J139" s="3"/>
      <x:c r="K139" s="3"/>
      <x:c r="L139" s="3"/>
      <x:c r="M139" s="3"/>
      <x:c r="N139" s="2"/>
      <x:c r="O139" s="2"/>
    </x:row>
    <x:row r="140" ht="20" customHeight="1">
      <x:c r="A140" s="2"/>
      <x:c r="B140" s="2"/>
      <x:c r="C140" s="2"/>
      <x:c r="D140" s="3"/>
      <x:c r="E140" s="3"/>
      <x:c r="F140" s="3"/>
      <x:c r="G140" s="3"/>
      <x:c r="H140" s="3"/>
      <x:c r="I140" s="3"/>
      <x:c r="J140" s="3"/>
      <x:c r="K140" s="3"/>
      <x:c r="L140" s="3"/>
      <x:c r="M140" s="3"/>
      <x:c r="N140" s="2"/>
      <x:c r="O140" s="2"/>
    </x:row>
    <x:row r="141" ht="20" customHeight="1">
      <x:c r="A141" s="2"/>
      <x:c r="B141" s="2"/>
      <x:c r="C141" s="2"/>
      <x:c r="D141" s="3"/>
      <x:c r="E141" s="3"/>
      <x:c r="F141" s="3"/>
      <x:c r="G141" s="3"/>
      <x:c r="H141" s="3"/>
      <x:c r="I141" s="3"/>
      <x:c r="J141" s="3"/>
      <x:c r="K141" s="3"/>
      <x:c r="L141" s="3"/>
      <x:c r="M141" s="3"/>
      <x:c r="N141" s="2"/>
      <x:c r="O141" s="2"/>
    </x:row>
    <x:row r="142" ht="20" customHeight="1">
      <x:c r="A142" s="2"/>
      <x:c r="B142" s="2"/>
      <x:c r="C142" s="2" t="str">
        <x:v>INCOME STATEMENT</x:v>
      </x:c>
      <x:c r="D142" s="3"/>
      <x:c r="E142" s="3"/>
      <x:c r="F142" s="3"/>
      <x:c r="G142" s="3"/>
      <x:c r="H142" s="3"/>
      <x:c r="I142" s="3"/>
      <x:c r="J142" s="3"/>
      <x:c r="K142" s="3"/>
      <x:c r="L142" s="3"/>
      <x:c r="M142" s="3"/>
      <x:c r="N142" s="2"/>
      <x:c r="O142" s="2"/>
    </x:row>
    <x:row r="143" ht="22" customHeight="1">
      <x:c r="A143" s="2"/>
      <x:c r="B143" s="2"/>
      <x:c r="C143" s="2" t="str">
        <x:v>Revenue from operations</x:v>
      </x:c>
      <x:c r="D143" s="17" t="n">
        <x:v>122037.61</x:v>
      </x:c>
      <x:c r="E143" s="17" t="n">
        <x:v>141077.78</x:v>
      </x:c>
      <x:c r="F143" s="17" t="n">
        <x:v>180394.44</x:v>
      </x:c>
      <x:c r="G143" s="17" t="n">
        <x:v>224083.13</x:v>
      </x:c>
      <x:c r="H143" s="17" t="n">
        <x:v>288837.92</x:v>
      </x:c>
      <x:c r="I143" s="3"/>
      <x:c r="J143" s="3"/>
      <x:c r="K143" s="3"/>
      <x:c r="L143" s="3"/>
      <x:c r="M143" s="3"/>
      <x:c r="N143" s="2"/>
      <x:c r="O143" s="16" t="str">
        <x:v>FS. </x:v>
      </x:c>
    </x:row>
    <x:row r="144" ht="22" customHeight="1">
      <x:c r="A144" s="2"/>
      <x:c r="B144" s="2"/>
      <x:c r="C144" s="2" t="str">
        <x:v>Other income</x:v>
      </x:c>
      <x:c r="D144" s="17" t="n">
        <x:v>899.23</x:v>
      </x:c>
      <x:c r="E144" s="17" t="n">
        <x:v>1333.26</x:v>
      </x:c>
      <x:c r="F144" s="17" t="n">
        <x:v>2208.75</x:v>
      </x:c>
      <x:c r="G144" s="17" t="n">
        <x:v>2076.36</x:v>
      </x:c>
      <x:c r="H144" s="17" t="n">
        <x:v>2362.52</x:v>
      </x:c>
      <x:c r="I144" s="3"/>
      <x:c r="J144" s="3"/>
      <x:c r="K144" s="3"/>
      <x:c r="L144" s="3"/>
      <x:c r="M144" s="3"/>
      <x:c r="N144" s="2"/>
      <x:c r="O144" s="16" t="str">
        <x:v>FS. </x:v>
      </x:c>
    </x:row>
    <x:row r="145" ht="22" customHeight="1">
      <x:c r="A145" s="2"/>
      <x:c r="B145" s="2"/>
      <x:c r="C145" s="2" t="str">
        <x:v>Cost of materials consumed</x:v>
      </x:c>
      <x:c r="D145" s="17" t="n">
        <x:v>92042.53</x:v>
      </x:c>
      <x:c r="E145" s="17" t="n">
        <x:v>97711.55</x:v>
      </x:c>
      <x:c r="F145" s="17" t="n">
        <x:v>126615.96</x:v>
      </x:c>
      <x:c r="G145" s="17" t="n">
        <x:v>154173.73</x:v>
      </x:c>
      <x:c r="H145" s="17" t="n">
        <x:v>206156.67</x:v>
      </x:c>
      <x:c r="I145" s="3"/>
      <x:c r="J145" s="3"/>
      <x:c r="K145" s="3"/>
      <x:c r="L145" s="3"/>
      <x:c r="M145" s="3"/>
      <x:c r="N145" s="2"/>
      <x:c r="O145" s="16" t="str">
        <x:v>FS. </x:v>
      </x:c>
    </x:row>
    <x:row r="146" ht="22" customHeight="1">
      <x:c r="A146" s="2"/>
      <x:c r="B146" s="2"/>
      <x:c r="C146" s="2" t="str">
        <x:v>Purchases of stock-in-trade</x:v>
      </x:c>
      <x:c r="D146" s="17" t="n">
        <x:v>6427.02</x:v>
      </x:c>
      <x:c r="E146" s="17" t="n">
        <x:v>5699.12</x:v>
      </x:c>
      <x:c r="F146" s="17" t="n">
        <x:v>5658.67</x:v>
      </x:c>
      <x:c r="G146" s="17" t="n">
        <x:v>6076.37</x:v>
      </x:c>
      <x:c r="H146" s="17" t="n">
        <x:v>7314.54</x:v>
      </x:c>
      <x:c r="I146" s="3"/>
      <x:c r="J146" s="3"/>
      <x:c r="K146" s="3"/>
      <x:c r="L146" s="3"/>
      <x:c r="M146" s="3"/>
      <x:c r="N146" s="2"/>
      <x:c r="O146" s="16" t="str">
        <x:v>FS. </x:v>
      </x:c>
    </x:row>
    <x:row r="147" ht="22" customHeight="1">
      <x:c r="A147" s="2"/>
      <x:c r="B147" s="2"/>
      <x:c r="C147" s="2" t="str">
        <x:v>Change in finished goods, WIP and stock</x:v>
      </x:c>
      <x:c r="D147" s="17" t="n">
        <x:v>-4927.51</x:v>
      </x:c>
      <x:c r="E147" s="17" t="n">
        <x:v>346.76</x:v>
      </x:c>
      <x:c r="F147" s="17" t="n">
        <x:v>-4215.09</x:v>
      </x:c>
      <x:c r="G147" s="17" t="n">
        <x:v>-4518.64</x:v>
      </x:c>
      <x:c r="H147" s="17" t="n">
        <x:v>-7601.62</x:v>
      </x:c>
      <x:c r="I147" s="3"/>
      <x:c r="J147" s="3"/>
      <x:c r="K147" s="3"/>
      <x:c r="L147" s="3"/>
      <x:c r="M147" s="3"/>
      <x:c r="N147" s="2"/>
      <x:c r="O147" s="16" t="str">
        <x:v>FS. Expense sign as reported.</x:v>
      </x:c>
    </x:row>
    <x:row r="148" ht="22" customHeight="1">
      <x:c r="A148" s="2"/>
      <x:c r="B148" s="2"/>
      <x:c r="C148" s="2" t="str">
        <x:v>Project bought-outs and subcontracting</x:v>
      </x:c>
      <x:c r="D148" s="17" t="n">
        <x:v>1114.72</x:v>
      </x:c>
      <x:c r="E148" s="17" t="n">
        <x:v>1351.53</x:v>
      </x:c>
      <x:c r="F148" s="17" t="n">
        <x:v>4743.47</x:v>
      </x:c>
      <x:c r="G148" s="17" t="n">
        <x:v>12568.87</x:v>
      </x:c>
      <x:c r="H148" s="17" t="n">
        <x:v>9946.38</x:v>
      </x:c>
      <x:c r="I148" s="3"/>
      <x:c r="J148" s="3"/>
      <x:c r="K148" s="3"/>
      <x:c r="L148" s="3"/>
      <x:c r="M148" s="3"/>
      <x:c r="N148" s="2"/>
      <x:c r="O148" s="16" t="str">
        <x:v>FS. </x:v>
      </x:c>
    </x:row>
    <x:row r="149" ht="22" customHeight="1">
      <x:c r="A149" s="2"/>
      <x:c r="B149" s="2"/>
      <x:c r="C149" s="2" t="str">
        <x:v>Employee benefits expense</x:v>
      </x:c>
      <x:c r="D149" s="17" t="n">
        <x:v>4066.28</x:v>
      </x:c>
      <x:c r="E149" s="17" t="n">
        <x:v>4567.72</x:v>
      </x:c>
      <x:c r="F149" s="17" t="n">
        <x:v>6095.42</x:v>
      </x:c>
      <x:c r="G149" s="17" t="n">
        <x:v>7367.26</x:v>
      </x:c>
      <x:c r="H149" s="17" t="n">
        <x:v>8794.24</x:v>
      </x:c>
      <x:c r="I149" s="3"/>
      <x:c r="J149" s="3"/>
      <x:c r="K149" s="3"/>
      <x:c r="L149" s="3"/>
      <x:c r="M149" s="3"/>
      <x:c r="N149" s="2"/>
      <x:c r="O149" s="16" t="str">
        <x:v>FS. </x:v>
      </x:c>
    </x:row>
    <x:row r="150" ht="22" customHeight="1">
      <x:c r="A150" s="2"/>
      <x:c r="B150" s="2"/>
      <x:c r="C150" s="2" t="str">
        <x:v>Other expenses</x:v>
      </x:c>
      <x:c r="D150" s="17" t="n">
        <x:v>10662.58</x:v>
      </x:c>
      <x:c r="E150" s="17" t="n">
        <x:v>12879.96</x:v>
      </x:c>
      <x:c r="F150" s="17" t="n">
        <x:v>16577.96</x:v>
      </x:c>
      <x:c r="G150" s="17" t="n">
        <x:v>18813.14</x:v>
      </x:c>
      <x:c r="H150" s="17" t="n">
        <x:v>24170.43</x:v>
      </x:c>
      <x:c r="I150" s="3"/>
      <x:c r="J150" s="3"/>
      <x:c r="K150" s="3"/>
      <x:c r="L150" s="3"/>
      <x:c r="M150" s="3"/>
      <x:c r="N150" s="2"/>
      <x:c r="O150" s="16" t="str">
        <x:v>FS. </x:v>
      </x:c>
    </x:row>
    <x:row r="151" ht="22" customHeight="1">
      <x:c r="A151" s="2"/>
      <x:c r="B151" s="2"/>
      <x:c r="C151" s="2" t="str">
        <x:v>Depreciation and amortisation</x:v>
      </x:c>
      <x:c r="D151" s="17" t="n">
        <x:v>2015.19</x:v>
      </x:c>
      <x:c r="E151" s="17" t="n">
        <x:v>2091.64</x:v>
      </x:c>
      <x:c r="F151" s="17" t="n">
        <x:v>2450.4</x:v>
      </x:c>
      <x:c r="G151" s="17" t="n">
        <x:v>2981.03</x:v>
      </x:c>
      <x:c r="H151" s="17" t="n">
        <x:v>3858.69</x:v>
      </x:c>
      <x:c r="I151" s="3"/>
      <x:c r="J151" s="3"/>
      <x:c r="K151" s="3"/>
      <x:c r="L151" s="3"/>
      <x:c r="M151" s="3"/>
      <x:c r="N151" s="2"/>
      <x:c r="O151" s="16" t="str">
        <x:v>FS. </x:v>
      </x:c>
    </x:row>
    <x:row r="152" ht="22" customHeight="1">
      <x:c r="A152" s="2"/>
      <x:c r="B152" s="2"/>
      <x:c r="C152" s="2" t="str">
        <x:v>Finance costs</x:v>
      </x:c>
      <x:c r="D152" s="17" t="n">
        <x:v>351.9</x:v>
      </x:c>
      <x:c r="E152" s="17" t="n">
        <x:v>597.57</x:v>
      </x:c>
      <x:c r="F152" s="17" t="n">
        <x:v>1083.4</x:v>
      </x:c>
      <x:c r="G152" s="17" t="n">
        <x:v>1689.28</x:v>
      </x:c>
      <x:c r="H152" s="17" t="n">
        <x:v>2430.36</x:v>
      </x:c>
      <x:c r="I152" s="3"/>
      <x:c r="J152" s="3"/>
      <x:c r="K152" s="3"/>
      <x:c r="L152" s="3"/>
      <x:c r="M152" s="3"/>
      <x:c r="N152" s="2"/>
      <x:c r="O152" s="16" t="str">
        <x:v>FS. </x:v>
      </x:c>
    </x:row>
    <x:row r="153" ht="22" customHeight="1">
      <x:c r="A153" s="2"/>
      <x:c r="B153" s="2"/>
      <x:c r="C153" s="2" t="str">
        <x:v>Share of joint-venture profit / (loss)</x:v>
      </x:c>
      <x:c r="D153" s="17" t="n">
        <x:v>-25.55</x:v>
      </x:c>
      <x:c r="E153" s="17" t="n">
        <x:v>-92.63</x:v>
      </x:c>
      <x:c r="F153" s="17" t="n">
        <x:v>0</x:v>
      </x:c>
      <x:c r="G153" s="17" t="n">
        <x:v>0</x:v>
      </x:c>
      <x:c r="H153" s="17" t="n">
        <x:v>0</x:v>
      </x:c>
      <x:c r="I153" s="3"/>
      <x:c r="J153" s="3"/>
      <x:c r="K153" s="3"/>
      <x:c r="L153" s="3"/>
      <x:c r="M153" s="3"/>
      <x:c r="N153" s="2"/>
      <x:c r="O153" s="16" t="str">
        <x:v>FS. </x:v>
      </x:c>
    </x:row>
    <x:row r="154" ht="22" customHeight="1">
      <x:c r="A154" s="2"/>
      <x:c r="B154" s="2"/>
      <x:c r="C154" s="2" t="str">
        <x:v>Reported profit before tax</x:v>
      </x:c>
      <x:c r="D154" s="17" t="n">
        <x:v>11158.58</x:v>
      </x:c>
      <x:c r="E154" s="17" t="n">
        <x:v>17072.56</x:v>
      </x:c>
      <x:c r="F154" s="17" t="n">
        <x:v>23593</x:v>
      </x:c>
      <x:c r="G154" s="17" t="n">
        <x:v>27008.45</x:v>
      </x:c>
      <x:c r="H154" s="17" t="n">
        <x:v>36130.75</x:v>
      </x:c>
      <x:c r="I154" s="3"/>
      <x:c r="J154" s="3"/>
      <x:c r="K154" s="3"/>
      <x:c r="L154" s="3"/>
      <x:c r="M154" s="3"/>
      <x:c r="N154" s="2"/>
      <x:c r="O154" s="16" t="str">
        <x:v>FS. </x:v>
      </x:c>
    </x:row>
    <x:row r="155" ht="22" customHeight="1">
      <x:c r="A155" s="2"/>
      <x:c r="B155" s="2"/>
      <x:c r="C155" s="2" t="str">
        <x:v>Current tax, including prior-year adjustments</x:v>
      </x:c>
      <x:c r="D155" s="17" t="n">
        <x:v>2809.27</x:v>
      </x:c>
      <x:c r="E155" s="17" t="n">
        <x:v>4060.5</x:v>
      </x:c>
      <x:c r="F155" s="17" t="n">
        <x:v>5535.25</x:v>
      </x:c>
      <x:c r="G155" s="17" t="n">
        <x:v>6154.98</x:v>
      </x:c>
      <x:c r="H155" s="17" t="n">
        <x:v>9390.58</x:v>
      </x:c>
      <x:c r="I155" s="3"/>
      <x:c r="J155" s="3"/>
      <x:c r="K155" s="3"/>
      <x:c r="L155" s="3"/>
      <x:c r="M155" s="3"/>
      <x:c r="N155" s="2"/>
      <x:c r="O155" s="16" t="str">
        <x:v>FS. </x:v>
      </x:c>
    </x:row>
    <x:row r="156" ht="22" customHeight="1">
      <x:c r="A156" s="2"/>
      <x:c r="B156" s="2"/>
      <x:c r="C156" s="2" t="str">
        <x:v>Deferred tax expense / (credit)</x:v>
      </x:c>
      <x:c r="D156" s="17" t="n">
        <x:v>-103</x:v>
      </x:c>
      <x:c r="E156" s="17" t="n">
        <x:v>181.2</x:v>
      </x:c>
      <x:c r="F156" s="17" t="n">
        <x:v>28.58</x:v>
      </x:c>
      <x:c r="G156" s="17" t="n">
        <x:v>398.1</x:v>
      </x:c>
      <x:c r="H156" s="17" t="n">
        <x:v>-344.1</x:v>
      </x:c>
      <x:c r="I156" s="3"/>
      <x:c r="J156" s="3"/>
      <x:c r="K156" s="3"/>
      <x:c r="L156" s="3"/>
      <x:c r="M156" s="3"/>
      <x:c r="N156" s="2"/>
      <x:c r="O156" s="16" t="str">
        <x:v>FS. </x:v>
      </x:c>
    </x:row>
    <x:row r="157" ht="22" customHeight="1">
      <x:c r="A157" s="2"/>
      <x:c r="B157" s="2"/>
      <x:c r="C157" s="2" t="str">
        <x:v>Reported PAT, continuing operations</x:v>
      </x:c>
      <x:c r="D157" s="17" t="n">
        <x:v>8452.31</x:v>
      </x:c>
      <x:c r="E157" s="17" t="n">
        <x:v>12830.86</x:v>
      </x:c>
      <x:c r="F157" s="17" t="n">
        <x:v>18029.17</x:v>
      </x:c>
      <x:c r="G157" s="17" t="n">
        <x:v>20455.37</x:v>
      </x:c>
      <x:c r="H157" s="17" t="n">
        <x:v>27084.27</x:v>
      </x:c>
      <x:c r="I157" s="3"/>
      <x:c r="J157" s="3"/>
      <x:c r="K157" s="3"/>
      <x:c r="L157" s="3"/>
      <x:c r="M157" s="3"/>
      <x:c r="N157" s="2"/>
      <x:c r="O157" s="16" t="str">
        <x:v>FS. </x:v>
      </x:c>
    </x:row>
    <x:row r="158" ht="22" customHeight="1">
      <x:c r="A158" s="2"/>
      <x:c r="B158" s="2"/>
      <x:c r="C158" s="2" t="str">
        <x:v>PAT, discontinued operations</x:v>
      </x:c>
      <x:c r="D158" s="17" t="n">
        <x:v>720.53</x:v>
      </x:c>
      <x:c r="E158" s="17" t="n">
        <x:v>0</x:v>
      </x:c>
      <x:c r="F158" s="17" t="n">
        <x:v>0</x:v>
      </x:c>
      <x:c r="G158" s="17" t="n">
        <x:v>0</x:v>
      </x:c>
      <x:c r="H158" s="17" t="n">
        <x:v>0</x:v>
      </x:c>
      <x:c r="I158" s="3"/>
      <x:c r="J158" s="3"/>
      <x:c r="K158" s="3"/>
      <x:c r="L158" s="3"/>
      <x:c r="M158" s="3"/>
      <x:c r="N158" s="2"/>
      <x:c r="O158" s="16" t="str">
        <x:v>FS. FY22 copper operation, including disposal gain. Kept outside recurring earnings.</x:v>
      </x:c>
    </x:row>
    <x:row r="159" ht="22" customHeight="1">
      <x:c r="A159" s="2"/>
      <x:c r="B159" s="2"/>
      <x:c r="C159" s="2" t="str">
        <x:v>Reported total PAT</x:v>
      </x:c>
      <x:c r="D159" s="17" t="n">
        <x:v>9172.84</x:v>
      </x:c>
      <x:c r="E159" s="17" t="n">
        <x:v>12830.86</x:v>
      </x:c>
      <x:c r="F159" s="17" t="n">
        <x:v>18029.17</x:v>
      </x:c>
      <x:c r="G159" s="17" t="n">
        <x:v>20455.37</x:v>
      </x:c>
      <x:c r="H159" s="17" t="n">
        <x:v>27084.27</x:v>
      </x:c>
      <x:c r="I159" s="3"/>
      <x:c r="J159" s="3"/>
      <x:c r="K159" s="3"/>
      <x:c r="L159" s="3"/>
      <x:c r="M159" s="3"/>
      <x:c r="N159" s="2"/>
      <x:c r="O159" s="16" t="str">
        <x:v>FS. </x:v>
      </x:c>
    </x:row>
    <x:row r="160" ht="22" customHeight="1">
      <x:c r="A160" s="2"/>
      <x:c r="B160" s="2"/>
      <x:c r="C160" s="2" t="str">
        <x:v>PAT attributable to shareholders</x:v>
      </x:c>
      <x:c r="D160" s="17" t="n">
        <x:v>9085.77</x:v>
      </x:c>
      <x:c r="E160" s="17" t="n">
        <x:v>12707.83</x:v>
      </x:c>
      <x:c r="F160" s="17" t="n">
        <x:v>17840.45</x:v>
      </x:c>
      <x:c r="G160" s="17" t="n">
        <x:v>20199.9</x:v>
      </x:c>
      <x:c r="H160" s="17" t="n">
        <x:v>26720.33</x:v>
      </x:c>
      <x:c r="I160" s="3"/>
      <x:c r="J160" s="3"/>
      <x:c r="K160" s="3"/>
      <x:c r="L160" s="3"/>
      <x:c r="M160" s="3"/>
      <x:c r="N160" s="2"/>
      <x:c r="O160" s="16" t="str">
        <x:v>FS. </x:v>
      </x:c>
    </x:row>
    <x:row r="161" ht="22" customHeight="1">
      <x:c r="A161" s="2"/>
      <x:c r="B161" s="2"/>
      <x:c r="C161" s="2" t="str">
        <x:v>PAT attributable to non-controlling interests</x:v>
      </x:c>
      <x:c r="D161" s="17" t="n">
        <x:v>87.07</x:v>
      </x:c>
      <x:c r="E161" s="17" t="n">
        <x:v>123.03</x:v>
      </x:c>
      <x:c r="F161" s="17" t="n">
        <x:v>188.72</x:v>
      </x:c>
      <x:c r="G161" s="17" t="n">
        <x:v>255.47</x:v>
      </x:c>
      <x:c r="H161" s="17" t="n">
        <x:v>363.94</x:v>
      </x:c>
      <x:c r="I161" s="3"/>
      <x:c r="J161" s="3"/>
      <x:c r="K161" s="3"/>
      <x:c r="L161" s="3"/>
      <x:c r="M161" s="3"/>
      <x:c r="N161" s="2"/>
      <x:c r="O161" s="16" t="str">
        <x:v>FS. </x:v>
      </x:c>
    </x:row>
    <x:row r="162" ht="22" customHeight="1">
      <x:c r="A162" s="2"/>
      <x:c r="B162" s="2"/>
      <x:c r="C162" s="2" t="str">
        <x:v>Other comprehensive income / (loss)</x:v>
      </x:c>
      <x:c r="D162" s="17" t="n">
        <x:v>0.01</x:v>
      </x:c>
      <x:c r="E162" s="17" t="n">
        <x:v>33.69</x:v>
      </x:c>
      <x:c r="F162" s="17" t="n">
        <x:v>-102.49</x:v>
      </x:c>
      <x:c r="G162" s="17" t="n">
        <x:v>-69.7</x:v>
      </x:c>
      <x:c r="H162" s="17" t="n">
        <x:v>-4.53</x:v>
      </x:c>
      <x:c r="I162" s="3"/>
      <x:c r="J162" s="3"/>
      <x:c r="K162" s="3"/>
      <x:c r="L162" s="3"/>
      <x:c r="M162" s="3"/>
      <x:c r="N162" s="2"/>
      <x:c r="O162" s="16" t="str">
        <x:v>FS. </x:v>
      </x:c>
    </x:row>
    <x:row r="163" ht="22" customHeight="1">
      <x:c r="A163" s="2"/>
      <x:c r="B163" s="2"/>
      <x:c r="C163" s="2" t="str">
        <x:v>Basic EPS, total operations (INR/share)</x:v>
      </x:c>
      <x:c r="D163" s="17" t="n">
        <x:v>60.87</x:v>
      </x:c>
      <x:c r="E163" s="17" t="n">
        <x:v>84.93</x:v>
      </x:c>
      <x:c r="F163" s="17" t="n">
        <x:v>118.93</x:v>
      </x:c>
      <x:c r="G163" s="17" t="n">
        <x:v>134.34</x:v>
      </x:c>
      <x:c r="H163" s="17" t="n">
        <x:v>177.53</x:v>
      </x:c>
      <x:c r="I163" s="3"/>
      <x:c r="J163" s="3"/>
      <x:c r="K163" s="3"/>
      <x:c r="L163" s="3"/>
      <x:c r="M163" s="3"/>
      <x:c r="N163" s="2"/>
      <x:c r="O163" s="16" t="str">
        <x:v>FS. </x:v>
      </x:c>
    </x:row>
    <x:row r="164" ht="22" customHeight="1">
      <x:c r="A164" s="2"/>
      <x:c r="B164" s="2"/>
      <x:c r="C164" s="2" t="str">
        <x:v>Diluted EPS, total operations (INR/share)</x:v>
      </x:c>
      <x:c r="D164" s="17" t="n">
        <x:v>60.6</x:v>
      </x:c>
      <x:c r="E164" s="17" t="n">
        <x:v>84.66</x:v>
      </x:c>
      <x:c r="F164" s="17" t="n">
        <x:v>118.49</x:v>
      </x:c>
      <x:c r="G164" s="17" t="n">
        <x:v>133.8</x:v>
      </x:c>
      <x:c r="H164" s="17" t="n">
        <x:v>176.95</x:v>
      </x:c>
      <x:c r="I164" s="3"/>
      <x:c r="J164" s="3"/>
      <x:c r="K164" s="3"/>
      <x:c r="L164" s="3"/>
      <x:c r="M164" s="3"/>
      <x:c r="N164" s="2"/>
      <x:c r="O164" s="16" t="str">
        <x:v>FS. </x:v>
      </x:c>
    </x:row>
    <x:row r="165" ht="22" customHeight="1">
      <x:c r="A165" s="2"/>
      <x:c r="B165" s="2"/>
      <x:c r="C165" s="2" t="str">
        <x:v>Weighted average basic shares (million)</x:v>
      </x:c>
      <x:c r="D165" s="17" t="n">
        <x:v>149.268712</x:v>
      </x:c>
      <x:c r="E165" s="17" t="n">
        <x:v>149.631506</x:v>
      </x:c>
      <x:c r="F165" s="17" t="n">
        <x:v>150.014272</x:v>
      </x:c>
      <x:c r="G165" s="17" t="n">
        <x:v>150.364869</x:v>
      </x:c>
      <x:c r="H165" s="17" t="n">
        <x:v>150.509597</x:v>
      </x:c>
      <x:c r="I165" s="3"/>
      <x:c r="J165" s="3"/>
      <x:c r="K165" s="3"/>
      <x:c r="L165" s="3"/>
      <x:c r="M165" s="3"/>
      <x:c r="N165" s="2"/>
      <x:c r="O165" s="16" t="str">
        <x:v>FS. </x:v>
      </x:c>
    </x:row>
    <x:row r="166" ht="22" customHeight="1">
      <x:c r="A166" s="2"/>
      <x:c r="B166" s="2"/>
      <x:c r="C166" s="2" t="str">
        <x:v>Weighted average diluted shares (million)</x:v>
      </x:c>
      <x:c r="D166" s="17" t="n">
        <x:v>149.923144</x:v>
      </x:c>
      <x:c r="E166" s="17" t="n">
        <x:v>150.099705</x:v>
      </x:c>
      <x:c r="F166" s="17" t="n">
        <x:v>150.566475</x:v>
      </x:c>
      <x:c r="G166" s="17" t="n">
        <x:v>150.974137</x:v>
      </x:c>
      <x:c r="H166" s="17" t="n">
        <x:v>151.001427</x:v>
      </x:c>
      <x:c r="I166" s="3"/>
      <x:c r="J166" s="3"/>
      <x:c r="K166" s="3"/>
      <x:c r="L166" s="3"/>
      <x:c r="M166" s="3"/>
      <x:c r="N166" s="2"/>
      <x:c r="O166" s="16" t="str">
        <x:v>FS. </x:v>
      </x:c>
    </x:row>
    <x:row r="167" ht="20" customHeight="1">
      <x:c r="A167" s="2"/>
      <x:c r="B167" s="2"/>
      <x:c r="C167" s="2" t="str">
        <x:v>BALANCE SHEET</x:v>
      </x:c>
      <x:c r="D167" s="3"/>
      <x:c r="E167" s="3"/>
      <x:c r="F167" s="3"/>
      <x:c r="G167" s="3"/>
      <x:c r="H167" s="3"/>
      <x:c r="I167" s="3"/>
      <x:c r="J167" s="3"/>
      <x:c r="K167" s="3"/>
      <x:c r="L167" s="3"/>
      <x:c r="M167" s="3"/>
      <x:c r="N167" s="2"/>
      <x:c r="O167" s="2"/>
    </x:row>
    <x:row r="168" ht="22" customHeight="1">
      <x:c r="A168" s="2"/>
      <x:c r="B168" s="2"/>
      <x:c r="C168" s="2" t="str">
        <x:v>Property, plant and equipment, net</x:v>
      </x:c>
      <x:c r="D168" s="17" t="n">
        <x:v>16170.25</x:v>
      </x:c>
      <x:c r="E168" s="17" t="n">
        <x:v>20104.28</x:v>
      </x:c>
      <x:c r="F168" s="17" t="n">
        <x:v>21677.57</x:v>
      </x:c>
      <x:c r="G168" s="17" t="n">
        <x:v>27913.26</x:v>
      </x:c>
      <x:c r="H168" s="17" t="n">
        <x:v>35050.71</x:v>
      </x:c>
      <x:c r="I168" s="3"/>
      <x:c r="J168" s="3"/>
      <x:c r="K168" s="3"/>
      <x:c r="L168" s="3"/>
      <x:c r="M168" s="3"/>
      <x:c r="N168" s="2"/>
      <x:c r="O168" s="16" t="str">
        <x:v>FS. </x:v>
      </x:c>
    </x:row>
    <x:row r="169" ht="22" customHeight="1">
      <x:c r="A169" s="2"/>
      <x:c r="B169" s="2"/>
      <x:c r="C169" s="2" t="str">
        <x:v>Capital work-in-progress</x:v>
      </x:c>
      <x:c r="D169" s="17" t="n">
        <x:v>3754.5</x:v>
      </x:c>
      <x:c r="E169" s="17" t="n">
        <x:v>2507.67</x:v>
      </x:c>
      <x:c r="F169" s="17" t="n">
        <x:v>5784.46</x:v>
      </x:c>
      <x:c r="G169" s="17" t="n">
        <x:v>7081.44</x:v>
      </x:c>
      <x:c r="H169" s="17" t="n">
        <x:v>11392.59</x:v>
      </x:c>
      <x:c r="I169" s="3"/>
      <x:c r="J169" s="3"/>
      <x:c r="K169" s="3"/>
      <x:c r="L169" s="3"/>
      <x:c r="M169" s="3"/>
      <x:c r="N169" s="2"/>
      <x:c r="O169" s="16" t="str">
        <x:v>FS. </x:v>
      </x:c>
    </x:row>
    <x:row r="170" ht="22" customHeight="1">
      <x:c r="A170" s="2"/>
      <x:c r="B170" s="2"/>
      <x:c r="C170" s="2" t="str">
        <x:v>Investment property under construction</x:v>
      </x:c>
      <x:c r="D170" s="17" t="n">
        <x:v>0</x:v>
      </x:c>
      <x:c r="E170" s="17" t="n">
        <x:v>0</x:v>
      </x:c>
      <x:c r="F170" s="17" t="n">
        <x:v>762.98</x:v>
      </x:c>
      <x:c r="G170" s="17" t="n">
        <x:v>790.08</x:v>
      </x:c>
      <x:c r="H170" s="17" t="n">
        <x:v>883.02</x:v>
      </x:c>
      <x:c r="I170" s="3"/>
      <x:c r="J170" s="3"/>
      <x:c r="K170" s="3"/>
      <x:c r="L170" s="3"/>
      <x:c r="M170" s="3"/>
      <x:c r="N170" s="2"/>
      <x:c r="O170" s="16" t="str">
        <x:v>FS. </x:v>
      </x:c>
    </x:row>
    <x:row r="171" ht="22" customHeight="1">
      <x:c r="A171" s="2"/>
      <x:c r="B171" s="2"/>
      <x:c r="C171" s="2" t="str">
        <x:v>Right-of-use assets</x:v>
      </x:c>
      <x:c r="D171" s="17" t="n">
        <x:v>351.36</x:v>
      </x:c>
      <x:c r="E171" s="17" t="n">
        <x:v>361.82</x:v>
      </x:c>
      <x:c r="F171" s="17" t="n">
        <x:v>728.26</x:v>
      </x:c>
      <x:c r="G171" s="17" t="n">
        <x:v>1309.71</x:v>
      </x:c>
      <x:c r="H171" s="17" t="n">
        <x:v>1426.27</x:v>
      </x:c>
      <x:c r="I171" s="3"/>
      <x:c r="J171" s="3"/>
      <x:c r="K171" s="3"/>
      <x:c r="L171" s="3"/>
      <x:c r="M171" s="3"/>
      <x:c r="N171" s="2"/>
      <x:c r="O171" s="16" t="str">
        <x:v>FS. </x:v>
      </x:c>
    </x:row>
    <x:row r="172" ht="22" customHeight="1">
      <x:c r="A172" s="2"/>
      <x:c r="B172" s="2"/>
      <x:c r="C172" s="2" t="str">
        <x:v>Other intangible assets</x:v>
      </x:c>
      <x:c r="D172" s="17" t="n">
        <x:v>183.4</x:v>
      </x:c>
      <x:c r="E172" s="17" t="n">
        <x:v>157.08</x:v>
      </x:c>
      <x:c r="F172" s="17" t="n">
        <x:v>160.17</x:v>
      </x:c>
      <x:c r="G172" s="17" t="n">
        <x:v>98.45</x:v>
      </x:c>
      <x:c r="H172" s="17" t="n">
        <x:v>40.97</x:v>
      </x:c>
      <x:c r="I172" s="3"/>
      <x:c r="J172" s="3"/>
      <x:c r="K172" s="3"/>
      <x:c r="L172" s="3"/>
      <x:c r="M172" s="3"/>
      <x:c r="N172" s="2"/>
      <x:c r="O172" s="16" t="str">
        <x:v>FS. </x:v>
      </x:c>
    </x:row>
    <x:row r="173" ht="22" customHeight="1">
      <x:c r="A173" s="2"/>
      <x:c r="B173" s="2"/>
      <x:c r="C173" s="2" t="str">
        <x:v>Goodwill</x:v>
      </x:c>
      <x:c r="D173" s="17" t="n">
        <x:v>46.22</x:v>
      </x:c>
      <x:c r="E173" s="17" t="n">
        <x:v>46.22</x:v>
      </x:c>
      <x:c r="F173" s="17" t="n">
        <x:v>46.22</x:v>
      </x:c>
      <x:c r="G173" s="17" t="n">
        <x:v>0</x:v>
      </x:c>
      <x:c r="H173" s="17" t="n">
        <x:v>0</x:v>
      </x:c>
      <x:c r="I173" s="3"/>
      <x:c r="J173" s="3"/>
      <x:c r="K173" s="3"/>
      <x:c r="L173" s="3"/>
      <x:c r="M173" s="3"/>
      <x:c r="N173" s="2"/>
      <x:c r="O173" s="16" t="str">
        <x:v>FS. </x:v>
      </x:c>
    </x:row>
    <x:row r="174" ht="22" customHeight="1">
      <x:c r="A174" s="2"/>
      <x:c r="B174" s="2"/>
      <x:c r="C174" s="2" t="str">
        <x:v>Investments accounted under equity method</x:v>
      </x:c>
      <x:c r="D174" s="17" t="n">
        <x:v>92.63</x:v>
      </x:c>
      <x:c r="E174" s="17" t="n">
        <x:v>0</x:v>
      </x:c>
      <x:c r="F174" s="17" t="n">
        <x:v>0</x:v>
      </x:c>
      <x:c r="G174" s="17" t="n">
        <x:v>0</x:v>
      </x:c>
      <x:c r="H174" s="17" t="n">
        <x:v>0</x:v>
      </x:c>
      <x:c r="I174" s="3"/>
      <x:c r="J174" s="3"/>
      <x:c r="K174" s="3"/>
      <x:c r="L174" s="3"/>
      <x:c r="M174" s="3"/>
      <x:c r="N174" s="2"/>
      <x:c r="O174" s="16" t="str">
        <x:v>FS. </x:v>
      </x:c>
    </x:row>
    <x:row r="175" ht="22" customHeight="1">
      <x:c r="A175" s="2"/>
      <x:c r="B175" s="2"/>
      <x:c r="C175" s="2" t="str">
        <x:v>Non-current trade receivables</x:v>
      </x:c>
      <x:c r="D175" s="17" t="n">
        <x:v>799.31</x:v>
      </x:c>
      <x:c r="E175" s="17" t="n">
        <x:v>526.37</x:v>
      </x:c>
      <x:c r="F175" s="17" t="n">
        <x:v>1190.7</x:v>
      </x:c>
      <x:c r="G175" s="17" t="n">
        <x:v>2994.38</x:v>
      </x:c>
      <x:c r="H175" s="17" t="n">
        <x:v>4477.84</x:v>
      </x:c>
      <x:c r="I175" s="3"/>
      <x:c r="J175" s="3"/>
      <x:c r="K175" s="3"/>
      <x:c r="L175" s="3"/>
      <x:c r="M175" s="3"/>
      <x:c r="N175" s="2"/>
      <x:c r="O175" s="16" t="str">
        <x:v>FS. </x:v>
      </x:c>
    </x:row>
    <x:row r="176" ht="22" customHeight="1">
      <x:c r="A176" s="2"/>
      <x:c r="B176" s="2"/>
      <x:c r="C176" s="2" t="str">
        <x:v>Other non-current financial assets</x:v>
      </x:c>
      <x:c r="D176" s="17" t="n">
        <x:v>166.52</x:v>
      </x:c>
      <x:c r="E176" s="17" t="n">
        <x:v>70.4</x:v>
      </x:c>
      <x:c r="F176" s="17" t="n">
        <x:v>311.34</x:v>
      </x:c>
      <x:c r="G176" s="17" t="n">
        <x:v>712.41</x:v>
      </x:c>
      <x:c r="H176" s="17" t="n">
        <x:v>571.94</x:v>
      </x:c>
      <x:c r="I176" s="3"/>
      <x:c r="J176" s="3"/>
      <x:c r="K176" s="3"/>
      <x:c r="L176" s="3"/>
      <x:c r="M176" s="3"/>
      <x:c r="N176" s="2"/>
      <x:c r="O176" s="16" t="str">
        <x:v>FS. </x:v>
      </x:c>
    </x:row>
    <x:row r="177" ht="22" customHeight="1">
      <x:c r="A177" s="2"/>
      <x:c r="B177" s="2"/>
      <x:c r="C177" s="2" t="str">
        <x:v>Non-current tax assets, net</x:v>
      </x:c>
      <x:c r="D177" s="17" t="n">
        <x:v>479.46</x:v>
      </x:c>
      <x:c r="E177" s="17" t="n">
        <x:v>251.89</x:v>
      </x:c>
      <x:c r="F177" s="17" t="n">
        <x:v>297.08</x:v>
      </x:c>
      <x:c r="G177" s="17" t="n">
        <x:v>503.73</x:v>
      </x:c>
      <x:c r="H177" s="17" t="n">
        <x:v>558.74</x:v>
      </x:c>
      <x:c r="I177" s="3"/>
      <x:c r="J177" s="3"/>
      <x:c r="K177" s="3"/>
      <x:c r="L177" s="3"/>
      <x:c r="M177" s="3"/>
      <x:c r="N177" s="2"/>
      <x:c r="O177" s="16" t="str">
        <x:v>FS. </x:v>
      </x:c>
    </x:row>
    <x:row r="178" ht="22" customHeight="1">
      <x:c r="A178" s="2"/>
      <x:c r="B178" s="2"/>
      <x:c r="C178" s="2" t="str">
        <x:v>Deferred tax assets, net</x:v>
      </x:c>
      <x:c r="D178" s="17" t="n">
        <x:v>0.09</x:v>
      </x:c>
      <x:c r="E178" s="17" t="n">
        <x:v>13.44</x:v>
      </x:c>
      <x:c r="F178" s="17" t="n">
        <x:v>128.69</x:v>
      </x:c>
      <x:c r="G178" s="17" t="n">
        <x:v>270.7</x:v>
      </x:c>
      <x:c r="H178" s="17" t="n">
        <x:v>116.02</x:v>
      </x:c>
      <x:c r="I178" s="3"/>
      <x:c r="J178" s="3"/>
      <x:c r="K178" s="3"/>
      <x:c r="L178" s="3"/>
      <x:c r="M178" s="3"/>
      <x:c r="N178" s="2"/>
      <x:c r="O178" s="16" t="str">
        <x:v>FS. FY25 uses restated FY26 comparative; FY24 follows FY25 published comparative.</x:v>
      </x:c>
    </x:row>
    <x:row r="179" ht="22" customHeight="1">
      <x:c r="A179" s="2"/>
      <x:c r="B179" s="2"/>
      <x:c r="C179" s="2" t="str">
        <x:v>Other non-current assets</x:v>
      </x:c>
      <x:c r="D179" s="17" t="n">
        <x:v>663.96</x:v>
      </x:c>
      <x:c r="E179" s="17" t="n">
        <x:v>1128.1</x:v>
      </x:c>
      <x:c r="F179" s="17" t="n">
        <x:v>2561.76</x:v>
      </x:c>
      <x:c r="G179" s="17" t="n">
        <x:v>2893.54</x:v>
      </x:c>
      <x:c r="H179" s="17" t="n">
        <x:v>3638.74</x:v>
      </x:c>
      <x:c r="I179" s="3"/>
      <x:c r="J179" s="3"/>
      <x:c r="K179" s="3"/>
      <x:c r="L179" s="3"/>
      <x:c r="M179" s="3"/>
      <x:c r="N179" s="2"/>
      <x:c r="O179" s="16" t="str">
        <x:v>FS. </x:v>
      </x:c>
    </x:row>
    <x:row r="180" ht="22" customHeight="1">
      <x:c r="A180" s="2"/>
      <x:c r="B180" s="2"/>
      <x:c r="C180" s="2" t="str">
        <x:v>Reported non-current assets</x:v>
      </x:c>
      <x:c r="D180" s="17" t="n">
        <x:v>22707.7</x:v>
      </x:c>
      <x:c r="E180" s="17" t="n">
        <x:v>25167.27</x:v>
      </x:c>
      <x:c r="F180" s="17" t="n">
        <x:v>33649.23</x:v>
      </x:c>
      <x:c r="G180" s="17" t="n">
        <x:v>44567.7</x:v>
      </x:c>
      <x:c r="H180" s="17" t="n">
        <x:v>58156.84</x:v>
      </x:c>
      <x:c r="I180" s="3"/>
      <x:c r="J180" s="3"/>
      <x:c r="K180" s="3"/>
      <x:c r="L180" s="3"/>
      <x:c r="M180" s="3"/>
      <x:c r="N180" s="2"/>
      <x:c r="O180" s="16" t="str">
        <x:v>FS. </x:v>
      </x:c>
    </x:row>
    <x:row r="181" ht="22" customHeight="1">
      <x:c r="A181" s="2"/>
      <x:c r="B181" s="2"/>
      <x:c r="C181" s="2" t="str">
        <x:v>Inventories</x:v>
      </x:c>
      <x:c r="D181" s="17" t="n">
        <x:v>21996.47</x:v>
      </x:c>
      <x:c r="E181" s="17" t="n">
        <x:v>29513.84</x:v>
      </x:c>
      <x:c r="F181" s="17" t="n">
        <x:v>36751.14</x:v>
      </x:c>
      <x:c r="G181" s="17" t="n">
        <x:v>36613</x:v>
      </x:c>
      <x:c r="H181" s="17" t="n">
        <x:v>55595.98</x:v>
      </x:c>
      <x:c r="I181" s="3"/>
      <x:c r="J181" s="3"/>
      <x:c r="K181" s="3"/>
      <x:c r="L181" s="3"/>
      <x:c r="M181" s="3"/>
      <x:c r="N181" s="2"/>
      <x:c r="O181" s="16" t="str">
        <x:v>FS. </x:v>
      </x:c>
    </x:row>
    <x:row r="182" ht="22" customHeight="1">
      <x:c r="A182" s="2"/>
      <x:c r="B182" s="2"/>
      <x:c r="C182" s="2" t="str">
        <x:v>Current investments</x:v>
      </x:c>
      <x:c r="D182" s="17" t="n">
        <x:v>7640.51</x:v>
      </x:c>
      <x:c r="E182" s="17" t="n">
        <x:v>13504.95</x:v>
      </x:c>
      <x:c r="F182" s="17" t="n">
        <x:v>18224.17</x:v>
      </x:c>
      <x:c r="G182" s="17" t="n">
        <x:v>17490.42</x:v>
      </x:c>
      <x:c r="H182" s="17" t="n">
        <x:v>34048.23</x:v>
      </x:c>
      <x:c r="I182" s="3"/>
      <x:c r="J182" s="3"/>
      <x:c r="K182" s="3"/>
      <x:c r="L182" s="3"/>
      <x:c r="M182" s="3"/>
      <x:c r="N182" s="2"/>
      <x:c r="O182" s="16" t="str">
        <x:v>FS. </x:v>
      </x:c>
    </x:row>
    <x:row r="183" ht="22" customHeight="1">
      <x:c r="A183" s="2"/>
      <x:c r="B183" s="2"/>
      <x:c r="C183" s="2" t="str">
        <x:v>Current trade receivables</x:v>
      </x:c>
      <x:c r="D183" s="17" t="n">
        <x:v>12963.94</x:v>
      </x:c>
      <x:c r="E183" s="17" t="n">
        <x:v>12465.96</x:v>
      </x:c>
      <x:c r="F183" s="17" t="n">
        <x:v>20471.17</x:v>
      </x:c>
      <x:c r="G183" s="17" t="n">
        <x:v>25962.68</x:v>
      </x:c>
      <x:c r="H183" s="17" t="n">
        <x:v>37585.04</x:v>
      </x:c>
      <x:c r="I183" s="3"/>
      <x:c r="J183" s="3"/>
      <x:c r="K183" s="3"/>
      <x:c r="L183" s="3"/>
      <x:c r="M183" s="3"/>
      <x:c r="N183" s="2"/>
      <x:c r="O183" s="16" t="str">
        <x:v>FS. </x:v>
      </x:c>
    </x:row>
    <x:row r="184" ht="22" customHeight="1">
      <x:c r="A184" s="2"/>
      <x:c r="B184" s="2"/>
      <x:c r="C184" s="2" t="str">
        <x:v>Cash and cash equivalents</x:v>
      </x:c>
      <x:c r="D184" s="17" t="n">
        <x:v>1216.91</x:v>
      </x:c>
      <x:c r="E184" s="17" t="n">
        <x:v>1527.52</x:v>
      </x:c>
      <x:c r="F184" s="17" t="n">
        <x:v>3070.31</x:v>
      </x:c>
      <x:c r="G184" s="17" t="n">
        <x:v>2173.87</x:v>
      </x:c>
      <x:c r="H184" s="17" t="n">
        <x:v>3903.43</x:v>
      </x:c>
      <x:c r="I184" s="3"/>
      <x:c r="J184" s="3"/>
      <x:c r="K184" s="3"/>
      <x:c r="L184" s="3"/>
      <x:c r="M184" s="3"/>
      <x:c r="N184" s="2"/>
      <x:c r="O184" s="16" t="str">
        <x:v>FS. </x:v>
      </x:c>
    </x:row>
    <x:row r="185" ht="22" customHeight="1">
      <x:c r="A185" s="2"/>
      <x:c r="B185" s="2"/>
      <x:c r="C185" s="2" t="str">
        <x:v>Other bank balances</x:v>
      </x:c>
      <x:c r="D185" s="17" t="n">
        <x:v>2854.27</x:v>
      </x:c>
      <x:c r="E185" s="17" t="n">
        <x:v>5424.91</x:v>
      </x:c>
      <x:c r="F185" s="17" t="n">
        <x:v>953.27</x:v>
      </x:c>
      <x:c r="G185" s="17" t="n">
        <x:v>5532.49</x:v>
      </x:c>
      <x:c r="H185" s="17" t="n">
        <x:v>4921.27</x:v>
      </x:c>
      <x:c r="I185" s="3"/>
      <x:c r="J185" s="3"/>
      <x:c r="K185" s="3"/>
      <x:c r="L185" s="3"/>
      <x:c r="M185" s="3"/>
      <x:c r="N185" s="2"/>
      <x:c r="O185" s="16" t="str">
        <x:v>FS. </x:v>
      </x:c>
    </x:row>
    <x:row r="186" ht="22" customHeight="1">
      <x:c r="A186" s="2"/>
      <x:c r="B186" s="2"/>
      <x:c r="C186" s="2" t="str">
        <x:v>Current loans</x:v>
      </x:c>
      <x:c r="D186" s="17" t="n">
        <x:v>126.8</x:v>
      </x:c>
      <x:c r="E186" s="17" t="n">
        <x:v>103.47</x:v>
      </x:c>
      <x:c r="F186" s="17" t="n">
        <x:v>106.26</x:v>
      </x:c>
      <x:c r="G186" s="17" t="n">
        <x:v>111</x:v>
      </x:c>
      <x:c r="H186" s="17" t="n">
        <x:v>112.31</x:v>
      </x:c>
      <x:c r="I186" s="3"/>
      <x:c r="J186" s="3"/>
      <x:c r="K186" s="3"/>
      <x:c r="L186" s="3"/>
      <x:c r="M186" s="3"/>
      <x:c r="N186" s="2"/>
      <x:c r="O186" s="16" t="str">
        <x:v>FS. </x:v>
      </x:c>
    </x:row>
    <x:row r="187" ht="22" customHeight="1">
      <x:c r="A187" s="2"/>
      <x:c r="B187" s="2"/>
      <x:c r="C187" s="2" t="str">
        <x:v>Other current financial assets</x:v>
      </x:c>
      <x:c r="D187" s="17" t="n">
        <x:v>409.45</x:v>
      </x:c>
      <x:c r="E187" s="17" t="n">
        <x:v>295.91</x:v>
      </x:c>
      <x:c r="F187" s="17" t="n">
        <x:v>335.52</x:v>
      </x:c>
      <x:c r="G187" s="17" t="n">
        <x:v>1147.49</x:v>
      </x:c>
      <x:c r="H187" s="17" t="n">
        <x:v>2632.57</x:v>
      </x:c>
      <x:c r="I187" s="3"/>
      <x:c r="J187" s="3"/>
      <x:c r="K187" s="3"/>
      <x:c r="L187" s="3"/>
      <x:c r="M187" s="3"/>
      <x:c r="N187" s="2"/>
      <x:c r="O187" s="16" t="str">
        <x:v>FS. FY22 reclassified comparative in FY23 annual report.</x:v>
      </x:c>
    </x:row>
    <x:row r="188" ht="22" customHeight="1">
      <x:c r="A188" s="2"/>
      <x:c r="B188" s="2"/>
      <x:c r="C188" s="2" t="str">
        <x:v>Other current assets</x:v>
      </x:c>
      <x:c r="D188" s="17" t="n">
        <x:v>4203.01</x:v>
      </x:c>
      <x:c r="E188" s="17" t="n">
        <x:v>6250.93</x:v>
      </x:c>
      <x:c r="F188" s="17" t="n">
        <x:v>7227.77</x:v>
      </x:c>
      <x:c r="G188" s="17" t="n">
        <x:v>4159.01</x:v>
      </x:c>
      <x:c r="H188" s="17" t="n">
        <x:v>7780.05</x:v>
      </x:c>
      <x:c r="I188" s="3"/>
      <x:c r="J188" s="3"/>
      <x:c r="K188" s="3"/>
      <x:c r="L188" s="3"/>
      <x:c r="M188" s="3"/>
      <x:c r="N188" s="2"/>
      <x:c r="O188" s="16" t="str">
        <x:v>FS. </x:v>
      </x:c>
    </x:row>
    <x:row r="189" ht="22" customHeight="1">
      <x:c r="A189" s="2"/>
      <x:c r="B189" s="2"/>
      <x:c r="C189" s="2" t="str">
        <x:v>Reported current assets, excluding held for sale</x:v>
      </x:c>
      <x:c r="D189" s="17" t="n">
        <x:v>51411.36</x:v>
      </x:c>
      <x:c r="E189" s="17" t="n">
        <x:v>69087.49</x:v>
      </x:c>
      <x:c r="F189" s="17" t="n">
        <x:v>87139.61</x:v>
      </x:c>
      <x:c r="G189" s="17" t="n">
        <x:v>93189.96</x:v>
      </x:c>
      <x:c r="H189" s="17" t="n">
        <x:v>146578.88</x:v>
      </x:c>
      <x:c r="I189" s="3"/>
      <x:c r="J189" s="3"/>
      <x:c r="K189" s="3"/>
      <x:c r="L189" s="3"/>
      <x:c r="M189" s="3"/>
      <x:c r="N189" s="2"/>
      <x:c r="O189" s="16" t="str">
        <x:v>FS. </x:v>
      </x:c>
    </x:row>
    <x:row r="190" ht="22" customHeight="1">
      <x:c r="A190" s="2"/>
      <x:c r="B190" s="2"/>
      <x:c r="C190" s="2" t="str">
        <x:v>Assets held for sale</x:v>
      </x:c>
      <x:c r="D190" s="17" t="n">
        <x:v>0</x:v>
      </x:c>
      <x:c r="E190" s="17" t="n">
        <x:v>0</x:v>
      </x:c>
      <x:c r="F190" s="17" t="n">
        <x:v>0</x:v>
      </x:c>
      <x:c r="G190" s="17" t="n">
        <x:v>0</x:v>
      </x:c>
      <x:c r="H190" s="17" t="n">
        <x:v>26.18</x:v>
      </x:c>
      <x:c r="I190" s="3"/>
      <x:c r="J190" s="3"/>
      <x:c r="K190" s="3"/>
      <x:c r="L190" s="3"/>
      <x:c r="M190" s="3"/>
      <x:c r="N190" s="2"/>
      <x:c r="O190" s="16" t="str">
        <x:v>FS. </x:v>
      </x:c>
    </x:row>
    <x:row r="191" ht="22" customHeight="1">
      <x:c r="A191" s="2"/>
      <x:c r="B191" s="2"/>
      <x:c r="C191" s="2" t="str">
        <x:v>Reported total assets</x:v>
      </x:c>
      <x:c r="D191" s="17" t="n">
        <x:v>74119.06</x:v>
      </x:c>
      <x:c r="E191" s="17" t="n">
        <x:v>94254.76</x:v>
      </x:c>
      <x:c r="F191" s="17" t="n">
        <x:v>120788.84</x:v>
      </x:c>
      <x:c r="G191" s="17" t="n">
        <x:v>137757.66</x:v>
      </x:c>
      <x:c r="H191" s="17" t="n">
        <x:v>204761.9</x:v>
      </x:c>
      <x:c r="I191" s="3"/>
      <x:c r="J191" s="3"/>
      <x:c r="K191" s="3"/>
      <x:c r="L191" s="3"/>
      <x:c r="M191" s="3"/>
      <x:c r="N191" s="2"/>
      <x:c r="O191" s="16" t="str">
        <x:v>FS. </x:v>
      </x:c>
    </x:row>
    <x:row r="192" ht="22" customHeight="1">
      <x:c r="A192" s="2"/>
      <x:c r="B192" s="2"/>
      <x:c r="C192" s="2" t="str">
        <x:v>Equity share capital</x:v>
      </x:c>
      <x:c r="D192" s="17" t="n">
        <x:v>1494.43</x:v>
      </x:c>
      <x:c r="E192" s="17" t="n">
        <x:v>1497.65</x:v>
      </x:c>
      <x:c r="F192" s="17" t="n">
        <x:v>1502.36</x:v>
      </x:c>
      <x:c r="G192" s="17" t="n">
        <x:v>1504.26</x:v>
      </x:c>
      <x:c r="H192" s="17" t="n">
        <x:v>1505.51</x:v>
      </x:c>
      <x:c r="I192" s="3"/>
      <x:c r="J192" s="3"/>
      <x:c r="K192" s="3"/>
      <x:c r="L192" s="3"/>
      <x:c r="M192" s="3"/>
      <x:c r="N192" s="2"/>
      <x:c r="O192" s="16" t="str">
        <x:v>FS. </x:v>
      </x:c>
    </x:row>
    <x:row r="193" ht="22" customHeight="1">
      <x:c r="A193" s="2"/>
      <x:c r="B193" s="2"/>
      <x:c r="C193" s="2" t="str">
        <x:v>Other equity</x:v>
      </x:c>
      <x:c r="D193" s="17" t="n">
        <x:v>53942.98</x:v>
      </x:c>
      <x:c r="E193" s="17" t="n">
        <x:v>64874.42</x:v>
      </x:c>
      <x:c r="F193" s="17" t="n">
        <x:v>80368.98</x:v>
      </x:c>
      <x:c r="G193" s="17" t="n">
        <x:v>96776.29</x:v>
      </x:c>
      <x:c r="H193" s="17" t="n">
        <x:v>118580.25</x:v>
      </x:c>
      <x:c r="I193" s="3"/>
      <x:c r="J193" s="3"/>
      <x:c r="K193" s="3"/>
      <x:c r="L193" s="3"/>
      <x:c r="M193" s="3"/>
      <x:c r="N193" s="2"/>
      <x:c r="O193" s="16" t="str">
        <x:v>FS. FY23 restated in FY24; FY25 restated in FY26.</x:v>
      </x:c>
    </x:row>
    <x:row r="194" ht="22" customHeight="1">
      <x:c r="A194" s="2"/>
      <x:c r="B194" s="2"/>
      <x:c r="C194" s="2" t="str">
        <x:v>Non-controlling interests</x:v>
      </x:c>
      <x:c r="D194" s="17" t="n">
        <x:v>250.7</x:v>
      </x:c>
      <x:c r="E194" s="17" t="n">
        <x:v>373.77</x:v>
      </x:c>
      <x:c r="F194" s="17" t="n">
        <x:v>562.07</x:v>
      </x:c>
      <x:c r="G194" s="17" t="n">
        <x:v>817.69</x:v>
      </x:c>
      <x:c r="H194" s="17" t="n">
        <x:v>1181.93</x:v>
      </x:c>
      <x:c r="I194" s="3"/>
      <x:c r="J194" s="3"/>
      <x:c r="K194" s="3"/>
      <x:c r="L194" s="3"/>
      <x:c r="M194" s="3"/>
      <x:c r="N194" s="2"/>
      <x:c r="O194" s="16" t="str">
        <x:v>FS. </x:v>
      </x:c>
    </x:row>
    <x:row r="195" ht="22" customHeight="1">
      <x:c r="A195" s="2"/>
      <x:c r="B195" s="2"/>
      <x:c r="C195" s="2" t="str">
        <x:v>Non-current borrowings</x:v>
      </x:c>
      <x:c r="D195" s="17" t="n">
        <x:v>29.74</x:v>
      </x:c>
      <x:c r="E195" s="17" t="n">
        <x:v>42.08</x:v>
      </x:c>
      <x:c r="F195" s="17" t="n">
        <x:v>226.04</x:v>
      </x:c>
      <x:c r="G195" s="17" t="n">
        <x:v>419.4</x:v>
      </x:c>
      <x:c r="H195" s="17" t="n">
        <x:v>392.67</x:v>
      </x:c>
      <x:c r="I195" s="3"/>
      <x:c r="J195" s="3"/>
      <x:c r="K195" s="3"/>
      <x:c r="L195" s="3"/>
      <x:c r="M195" s="3"/>
      <x:c r="N195" s="2"/>
      <x:c r="O195" s="16" t="str">
        <x:v>FS. </x:v>
      </x:c>
    </x:row>
    <x:row r="196" ht="22" customHeight="1">
      <x:c r="A196" s="2"/>
      <x:c r="B196" s="2"/>
      <x:c r="C196" s="2" t="str">
        <x:v>Non-current lease liabilities</x:v>
      </x:c>
      <x:c r="D196" s="17" t="n">
        <x:v>244.76</x:v>
      </x:c>
      <x:c r="E196" s="17" t="n">
        <x:v>224.33</x:v>
      </x:c>
      <x:c r="F196" s="17" t="n">
        <x:v>244.96</x:v>
      </x:c>
      <x:c r="G196" s="17" t="n">
        <x:v>709.34</x:v>
      </x:c>
      <x:c r="H196" s="17" t="n">
        <x:v>803.72</x:v>
      </x:c>
      <x:c r="I196" s="3"/>
      <x:c r="J196" s="3"/>
      <x:c r="K196" s="3"/>
      <x:c r="L196" s="3"/>
      <x:c r="M196" s="3"/>
      <x:c r="N196" s="2"/>
      <x:c r="O196" s="16" t="str">
        <x:v>FS. </x:v>
      </x:c>
    </x:row>
    <x:row r="197" ht="22" customHeight="1">
      <x:c r="A197" s="2"/>
      <x:c r="B197" s="2"/>
      <x:c r="C197" s="2" t="str">
        <x:v>Other non-current financial liabilities</x:v>
      </x:c>
      <x:c r="D197" s="17" t="n">
        <x:v>0</x:v>
      </x:c>
      <x:c r="E197" s="17" t="n">
        <x:v>0</x:v>
      </x:c>
      <x:c r="F197" s="17" t="n">
        <x:v>537.66</x:v>
      </x:c>
      <x:c r="G197" s="17" t="n">
        <x:v>105.03</x:v>
      </x:c>
      <x:c r="H197" s="17" t="n">
        <x:v>51.7</x:v>
      </x:c>
      <x:c r="I197" s="3"/>
      <x:c r="J197" s="3"/>
      <x:c r="K197" s="3"/>
      <x:c r="L197" s="3"/>
      <x:c r="M197" s="3"/>
      <x:c r="N197" s="2"/>
      <x:c r="O197" s="16" t="str">
        <x:v>FS. </x:v>
      </x:c>
    </x:row>
    <x:row r="198" ht="22" customHeight="1">
      <x:c r="A198" s="2"/>
      <x:c r="B198" s="2"/>
      <x:c r="C198" s="2" t="str">
        <x:v>Non-current provisions</x:v>
      </x:c>
      <x:c r="D198" s="17" t="n">
        <x:v>264.27</x:v>
      </x:c>
      <x:c r="E198" s="17" t="n">
        <x:v>449.74</x:v>
      </x:c>
      <x:c r="F198" s="17" t="n">
        <x:v>438.77</x:v>
      </x:c>
      <x:c r="G198" s="17" t="n">
        <x:v>413.15</x:v>
      </x:c>
      <x:c r="H198" s="17" t="n">
        <x:v>563.98</x:v>
      </x:c>
      <x:c r="I198" s="3"/>
      <x:c r="J198" s="3"/>
      <x:c r="K198" s="3"/>
      <x:c r="L198" s="3"/>
      <x:c r="M198" s="3"/>
      <x:c r="N198" s="2"/>
      <x:c r="O198" s="16" t="str">
        <x:v>FS. FY24 classification follows FY25 comparative.</x:v>
      </x:c>
    </x:row>
    <x:row r="199" ht="22" customHeight="1">
      <x:c r="A199" s="2"/>
      <x:c r="B199" s="2"/>
      <x:c r="C199" s="2" t="str">
        <x:v>Deferred tax liabilities, net</x:v>
      </x:c>
      <x:c r="D199" s="17" t="n">
        <x:v>271.84</x:v>
      </x:c>
      <x:c r="E199" s="17" t="n">
        <x:v>422.68</x:v>
      </x:c>
      <x:c r="F199" s="17" t="n">
        <x:v>543.71</x:v>
      </x:c>
      <x:c r="G199" s="17" t="n">
        <x:v>1025.03</x:v>
      </x:c>
      <x:c r="H199" s="17" t="n">
        <x:v>524.06</x:v>
      </x:c>
      <x:c r="I199" s="3"/>
      <x:c r="J199" s="3"/>
      <x:c r="K199" s="3"/>
      <x:c r="L199" s="3"/>
      <x:c r="M199" s="3"/>
      <x:c r="N199" s="2"/>
      <x:c r="O199" s="16" t="str">
        <x:v>FS. </x:v>
      </x:c>
    </x:row>
    <x:row r="200" ht="22" customHeight="1">
      <x:c r="A200" s="2"/>
      <x:c r="B200" s="2"/>
      <x:c r="C200" s="2" t="str">
        <x:v>Other non-current liabilities</x:v>
      </x:c>
      <x:c r="D200" s="17" t="n">
        <x:v>207.05</x:v>
      </x:c>
      <x:c r="E200" s="17" t="n">
        <x:v>165.18</x:v>
      </x:c>
      <x:c r="F200" s="17" t="n">
        <x:v>422.86</x:v>
      </x:c>
      <x:c r="G200" s="17" t="n">
        <x:v>886.01</x:v>
      </x:c>
      <x:c r="H200" s="17" t="n">
        <x:v>1505.64</x:v>
      </x:c>
      <x:c r="I200" s="3"/>
      <x:c r="J200" s="3"/>
      <x:c r="K200" s="3"/>
      <x:c r="L200" s="3"/>
      <x:c r="M200" s="3"/>
      <x:c r="N200" s="2"/>
      <x:c r="O200" s="16" t="str">
        <x:v>FS. </x:v>
      </x:c>
    </x:row>
    <x:row r="201" ht="22" customHeight="1">
      <x:c r="A201" s="2"/>
      <x:c r="B201" s="2"/>
      <x:c r="C201" s="2" t="str">
        <x:v>Reported non-current liabilities</x:v>
      </x:c>
      <x:c r="D201" s="17" t="n">
        <x:v>1017.66</x:v>
      </x:c>
      <x:c r="E201" s="17" t="n">
        <x:v>1304.01</x:v>
      </x:c>
      <x:c r="F201" s="17" t="n">
        <x:v>2414</x:v>
      </x:c>
      <x:c r="G201" s="17" t="n">
        <x:v>3557.96</x:v>
      </x:c>
      <x:c r="H201" s="17" t="n">
        <x:v>3841.77</x:v>
      </x:c>
      <x:c r="I201" s="3"/>
      <x:c r="J201" s="3"/>
      <x:c r="K201" s="3"/>
      <x:c r="L201" s="3"/>
      <x:c r="M201" s="3"/>
      <x:c r="N201" s="2"/>
      <x:c r="O201" s="16" t="str">
        <x:v>FS. </x:v>
      </x:c>
    </x:row>
    <x:row r="202" ht="22" customHeight="1">
      <x:c r="A202" s="2"/>
      <x:c r="B202" s="2"/>
      <x:c r="C202" s="2" t="str">
        <x:v>Current borrowings</x:v>
      </x:c>
      <x:c r="D202" s="17" t="n">
        <x:v>801.61</x:v>
      </x:c>
      <x:c r="E202" s="17" t="n">
        <x:v>688.1</x:v>
      </x:c>
      <x:c r="F202" s="17" t="n">
        <x:v>671.7</x:v>
      </x:c>
      <x:c r="G202" s="17" t="n">
        <x:v>670.64</x:v>
      </x:c>
      <x:c r="H202" s="17" t="n">
        <x:v>932.23</x:v>
      </x:c>
      <x:c r="I202" s="3"/>
      <x:c r="J202" s="3"/>
      <x:c r="K202" s="3"/>
      <x:c r="L202" s="3"/>
      <x:c r="M202" s="3"/>
      <x:c r="N202" s="2"/>
      <x:c r="O202" s="16" t="str">
        <x:v>FS. FY23 uses restated/reclassified comparative in FY24.</x:v>
      </x:c>
    </x:row>
    <x:row r="203" ht="22" customHeight="1">
      <x:c r="A203" s="2"/>
      <x:c r="B203" s="2"/>
      <x:c r="C203" s="2" t="str">
        <x:v>Current lease liabilities</x:v>
      </x:c>
      <x:c r="D203" s="17" t="n">
        <x:v>105.37</x:v>
      </x:c>
      <x:c r="E203" s="17" t="n">
        <x:v>138.96</x:v>
      </x:c>
      <x:c r="F203" s="17" t="n">
        <x:v>468.23</x:v>
      </x:c>
      <x:c r="G203" s="17" t="n">
        <x:v>224.99</x:v>
      </x:c>
      <x:c r="H203" s="17" t="n">
        <x:v>226.55</x:v>
      </x:c>
      <x:c r="I203" s="3"/>
      <x:c r="J203" s="3"/>
      <x:c r="K203" s="3"/>
      <x:c r="L203" s="3"/>
      <x:c r="M203" s="3"/>
      <x:c r="N203" s="2"/>
      <x:c r="O203" s="16" t="str">
        <x:v>FS. </x:v>
      </x:c>
    </x:row>
    <x:row r="204" ht="22" customHeight="1">
      <x:c r="A204" s="2"/>
      <x:c r="B204" s="2"/>
      <x:c r="C204" s="2" t="str">
        <x:v>Acceptances</x:v>
      </x:c>
      <x:c r="D204" s="17" t="n">
        <x:v>6364.55</x:v>
      </x:c>
      <x:c r="E204" s="17" t="n">
        <x:v>12257.56</x:v>
      </x:c>
      <x:c r="F204" s="17" t="n">
        <x:v>18619.66</x:v>
      </x:c>
      <x:c r="G204" s="17" t="n">
        <x:v>13062.37</x:v>
      </x:c>
      <x:c r="H204" s="17" t="n">
        <x:v>42656.19</x:v>
      </x:c>
      <x:c r="I204" s="3"/>
      <x:c r="J204" s="3"/>
      <x:c r="K204" s="3"/>
      <x:c r="L204" s="3"/>
      <x:c r="M204" s="3"/>
      <x:c r="N204" s="2"/>
      <x:c r="O204" s="16" t="str">
        <x:v>FS. FY22 separated from trade payables using AR23 note 20, p268.</x:v>
      </x:c>
    </x:row>
    <x:row r="205" ht="22" customHeight="1">
      <x:c r="A205" s="2"/>
      <x:c r="B205" s="2"/>
      <x:c r="C205" s="2" t="str">
        <x:v>Trade payables, micro and small enterprises</x:v>
      </x:c>
      <x:c r="D205" s="17" t="n">
        <x:v>588.24</x:v>
      </x:c>
      <x:c r="E205" s="17" t="n">
        <x:v>732.45</x:v>
      </x:c>
      <x:c r="F205" s="17" t="n">
        <x:v>748.27</x:v>
      </x:c>
      <x:c r="G205" s="17" t="n">
        <x:v>1503.85</x:v>
      </x:c>
      <x:c r="H205" s="17" t="n">
        <x:v>1635.35</x:v>
      </x:c>
      <x:c r="I205" s="3"/>
      <x:c r="J205" s="3"/>
      <x:c r="K205" s="3"/>
      <x:c r="L205" s="3"/>
      <x:c r="M205" s="3"/>
      <x:c r="N205" s="2"/>
      <x:c r="O205" s="16" t="str">
        <x:v>FS. </x:v>
      </x:c>
    </x:row>
    <x:row r="206" ht="22" customHeight="1">
      <x:c r="A206" s="2"/>
      <x:c r="B206" s="2"/>
      <x:c r="C206" s="2" t="str">
        <x:v>Other trade payables, excluding acceptances</x:v>
      </x:c>
      <x:c r="D206" s="17" t="n">
        <x:v>5222.51</x:v>
      </x:c>
      <x:c r="E206" s="17" t="n">
        <x:v>7336.43</x:v>
      </x:c>
      <x:c r="F206" s="17" t="n">
        <x:v>9265.32</x:v>
      </x:c>
      <x:c r="G206" s="17" t="n">
        <x:v>12791.34</x:v>
      </x:c>
      <x:c r="H206" s="17" t="n">
        <x:v>16352.79</x:v>
      </x:c>
      <x:c r="I206" s="3"/>
      <x:c r="J206" s="3"/>
      <x:c r="K206" s="3"/>
      <x:c r="L206" s="3"/>
      <x:c r="M206" s="3"/>
      <x:c r="N206" s="2"/>
      <x:c r="O206" s="16" t="str">
        <x:v>FS. FY22 other creditors 11,587.06 less acceptances 6,364.55.</x:v>
      </x:c>
    </x:row>
    <x:row r="207" ht="22" customHeight="1">
      <x:c r="A207" s="2"/>
      <x:c r="B207" s="2"/>
      <x:c r="C207" s="2" t="str">
        <x:v>Other current financial liabilities</x:v>
      </x:c>
      <x:c r="D207" s="17" t="n">
        <x:v>686.1</x:v>
      </x:c>
      <x:c r="E207" s="17" t="n">
        <x:v>1677.91</x:v>
      </x:c>
      <x:c r="F207" s="17" t="n">
        <x:v>2420.84</x:v>
      </x:c>
      <x:c r="G207" s="17" t="n">
        <x:v>2988.22</x:v>
      </x:c>
      <x:c r="H207" s="17" t="n">
        <x:v>2864.77</x:v>
      </x:c>
      <x:c r="I207" s="3"/>
      <x:c r="J207" s="3"/>
      <x:c r="K207" s="3"/>
      <x:c r="L207" s="3"/>
      <x:c r="M207" s="3"/>
      <x:c r="N207" s="2"/>
      <x:c r="O207" s="16" t="str">
        <x:v>FS. </x:v>
      </x:c>
    </x:row>
    <x:row r="208" ht="22" customHeight="1">
      <x:c r="A208" s="2"/>
      <x:c r="B208" s="2"/>
      <x:c r="C208" s="2" t="str">
        <x:v>Other current liabilities</x:v>
      </x:c>
      <x:c r="D208" s="17" t="n">
        <x:v>3231.59</x:v>
      </x:c>
      <x:c r="E208" s="17" t="n">
        <x:v>2817.76</x:v>
      </x:c>
      <x:c r="F208" s="17" t="n">
        <x:v>3145.03</x:v>
      </x:c>
      <x:c r="G208" s="17" t="n">
        <x:v>3075.51</x:v>
      </x:c>
      <x:c r="H208" s="17" t="n">
        <x:v>12871.06</x:v>
      </x:c>
      <x:c r="I208" s="3"/>
      <x:c r="J208" s="3"/>
      <x:c r="K208" s="3"/>
      <x:c r="L208" s="3"/>
      <x:c r="M208" s="3"/>
      <x:c r="N208" s="2"/>
      <x:c r="O208" s="16" t="str">
        <x:v>FS. </x:v>
      </x:c>
    </x:row>
    <x:row r="209" ht="22" customHeight="1">
      <x:c r="A209" s="2"/>
      <x:c r="B209" s="2"/>
      <x:c r="C209" s="2" t="str">
        <x:v>Current provisions</x:v>
      </x:c>
      <x:c r="D209" s="17" t="n">
        <x:v>253.8</x:v>
      </x:c>
      <x:c r="E209" s="17" t="n">
        <x:v>267.57</x:v>
      </x:c>
      <x:c r="F209" s="17" t="n">
        <x:v>476.94</x:v>
      </x:c>
      <x:c r="G209" s="17" t="n">
        <x:v>628.95</x:v>
      </x:c>
      <x:c r="H209" s="17" t="n">
        <x:v>1341.95</x:v>
      </x:c>
      <x:c r="I209" s="3"/>
      <x:c r="J209" s="3"/>
      <x:c r="K209" s="3"/>
      <x:c r="L209" s="3"/>
      <x:c r="M209" s="3"/>
      <x:c r="N209" s="2"/>
      <x:c r="O209" s="16" t="str">
        <x:v>FS. FY24 classification follows FY25 comparative.</x:v>
      </x:c>
    </x:row>
    <x:row r="210" ht="22" customHeight="1">
      <x:c r="A210" s="2"/>
      <x:c r="B210" s="2"/>
      <x:c r="C210" s="2" t="str">
        <x:v>Current tax liabilities, net</x:v>
      </x:c>
      <x:c r="D210" s="17" t="n">
        <x:v>159.52</x:v>
      </x:c>
      <x:c r="E210" s="17" t="n">
        <x:v>288.17</x:v>
      </x:c>
      <x:c r="F210" s="17" t="n">
        <x:v>125.44</x:v>
      </x:c>
      <x:c r="G210" s="17" t="n">
        <x:v>155.59</x:v>
      </x:c>
      <x:c r="H210" s="17" t="n">
        <x:v>771.55</x:v>
      </x:c>
      <x:c r="I210" s="3"/>
      <x:c r="J210" s="3"/>
      <x:c r="K210" s="3"/>
      <x:c r="L210" s="3"/>
      <x:c r="M210" s="3"/>
      <x:c r="N210" s="2"/>
      <x:c r="O210" s="16" t="str">
        <x:v>FS. </x:v>
      </x:c>
    </x:row>
    <x:row r="211" ht="22" customHeight="1">
      <x:c r="A211" s="2"/>
      <x:c r="B211" s="2"/>
      <x:c r="C211" s="2" t="str">
        <x:v>Reported current liabilities</x:v>
      </x:c>
      <x:c r="D211" s="17" t="n">
        <x:v>17413.29</x:v>
      </x:c>
      <x:c r="E211" s="17" t="n">
        <x:v>26204.91</x:v>
      </x:c>
      <x:c r="F211" s="17" t="n">
        <x:v>35941.43</x:v>
      </x:c>
      <x:c r="G211" s="17" t="n">
        <x:v>35101.46</x:v>
      </x:c>
      <x:c r="H211" s="17" t="n">
        <x:v>79652.44</x:v>
      </x:c>
      <x:c r="I211" s="3"/>
      <x:c r="J211" s="3"/>
      <x:c r="K211" s="3"/>
      <x:c r="L211" s="3"/>
      <x:c r="M211" s="3"/>
      <x:c r="N211" s="2"/>
      <x:c r="O211" s="16" t="str">
        <x:v>FS. </x:v>
      </x:c>
    </x:row>
    <x:row r="212" ht="20" customHeight="1">
      <x:c r="A212" s="2"/>
      <x:c r="B212" s="2"/>
      <x:c r="C212" s="2" t="str">
        <x:v>CASH FLOW</x:v>
      </x:c>
      <x:c r="D212" s="3"/>
      <x:c r="E212" s="3"/>
      <x:c r="F212" s="3"/>
      <x:c r="G212" s="3"/>
      <x:c r="H212" s="3"/>
      <x:c r="I212" s="3"/>
      <x:c r="J212" s="3"/>
      <x:c r="K212" s="3"/>
      <x:c r="L212" s="3"/>
      <x:c r="M212" s="3"/>
      <x:c r="N212" s="2"/>
      <x:c r="O212" s="2"/>
    </x:row>
    <x:row r="213" ht="22" customHeight="1">
      <x:c r="A213" s="2"/>
      <x:c r="B213" s="2"/>
      <x:c r="C213" s="2" t="str">
        <x:v>Operating profit before working-capital changes</x:v>
      </x:c>
      <x:c r="D213" s="17" t="n">
        <x:v>13429.77</x:v>
      </x:c>
      <x:c r="E213" s="17" t="n">
        <x:v>18896.82</x:v>
      </x:c>
      <x:c r="F213" s="17" t="n">
        <x:v>26795.5</x:v>
      </x:c>
      <x:c r="G213" s="17" t="n">
        <x:v>30516.28</x:v>
      </x:c>
      <x:c r="H213" s="17" t="n">
        <x:v>40886.41</x:v>
      </x:c>
      <x:c r="I213" s="3"/>
      <x:c r="J213" s="3"/>
      <x:c r="K213" s="3"/>
      <x:c r="L213" s="3"/>
      <x:c r="M213" s="3"/>
      <x:c r="N213" s="2"/>
      <x:c r="O213" s="16" t="str">
        <x:v>CF. </x:v>
      </x:c>
    </x:row>
    <x:row r="214" ht="22" customHeight="1">
      <x:c r="A214" s="2"/>
      <x:c r="B214" s="2"/>
      <x:c r="C214" s="2" t="str">
        <x:v>Cash impact: trade receivables</x:v>
      </x:c>
      <x:c r="D214" s="17" t="n">
        <x:v>1212.72</x:v>
      </x:c>
      <x:c r="E214" s="17" t="n">
        <x:v>849.59</x:v>
      </x:c>
      <x:c r="F214" s="17" t="n">
        <x:v>-8886.24</x:v>
      </x:c>
      <x:c r="G214" s="17" t="n">
        <x:v>-7360.94</x:v>
      </x:c>
      <x:c r="H214" s="17" t="n">
        <x:v>-13758.6</x:v>
      </x:c>
      <x:c r="I214" s="3"/>
      <x:c r="J214" s="3"/>
      <x:c r="K214" s="3"/>
      <x:c r="L214" s="3"/>
      <x:c r="M214" s="3"/>
      <x:c r="N214" s="2"/>
      <x:c r="O214" s="16" t="str">
        <x:v>CF. </x:v>
      </x:c>
    </x:row>
    <x:row r="215" ht="22" customHeight="1">
      <x:c r="A215" s="2"/>
      <x:c r="B215" s="2"/>
      <x:c r="C215" s="2" t="str">
        <x:v>Cash impact: inventories</x:v>
      </x:c>
      <x:c r="D215" s="17" t="n">
        <x:v>-2202.75</x:v>
      </x:c>
      <x:c r="E215" s="17" t="n">
        <x:v>-7517.37</x:v>
      </x:c>
      <x:c r="F215" s="17" t="n">
        <x:v>-7237.3</x:v>
      </x:c>
      <x:c r="G215" s="17" t="n">
        <x:v>138.14</x:v>
      </x:c>
      <x:c r="H215" s="17" t="n">
        <x:v>-18982.98</x:v>
      </x:c>
      <x:c r="I215" s="3"/>
      <x:c r="J215" s="3"/>
      <x:c r="K215" s="3"/>
      <x:c r="L215" s="3"/>
      <x:c r="M215" s="3"/>
      <x:c r="N215" s="2"/>
      <x:c r="O215" s="16" t="str">
        <x:v>CF. </x:v>
      </x:c>
    </x:row>
    <x:row r="216" ht="22" customHeight="1">
      <x:c r="A216" s="2"/>
      <x:c r="B216" s="2"/>
      <x:c r="C216" s="2" t="str">
        <x:v>Cash impact: financial assets</x:v>
      </x:c>
      <x:c r="D216" s="17" t="n">
        <x:v>-179.76</x:v>
      </x:c>
      <x:c r="E216" s="17" t="n">
        <x:v>119.84</x:v>
      </x:c>
      <x:c r="F216" s="17" t="n">
        <x:v>-526.48</x:v>
      </x:c>
      <x:c r="G216" s="17" t="n">
        <x:v>-657.53</x:v>
      </x:c>
      <x:c r="H216" s="17" t="n">
        <x:v>-1336.06</x:v>
      </x:c>
      <x:c r="I216" s="3"/>
      <x:c r="J216" s="3"/>
      <x:c r="K216" s="3"/>
      <x:c r="L216" s="3"/>
      <x:c r="M216" s="3"/>
      <x:c r="N216" s="2"/>
      <x:c r="O216" s="16" t="str">
        <x:v>CF. </x:v>
      </x:c>
    </x:row>
    <x:row r="217" ht="22" customHeight="1">
      <x:c r="A217" s="2"/>
      <x:c r="B217" s="2"/>
      <x:c r="C217" s="2" t="str">
        <x:v>Cash impact: non-financial / contract assets</x:v>
      </x:c>
      <x:c r="D217" s="17" t="n">
        <x:v>-2595.15</x:v>
      </x:c>
      <x:c r="E217" s="17" t="n">
        <x:v>-2228.97</x:v>
      </x:c>
      <x:c r="F217" s="17" t="n">
        <x:v>-984.9</x:v>
      </x:c>
      <x:c r="G217" s="17" t="n">
        <x:v>2950.7</x:v>
      </x:c>
      <x:c r="H217" s="17" t="n">
        <x:v>-3765.32</x:v>
      </x:c>
      <x:c r="I217" s="3"/>
      <x:c r="J217" s="3"/>
      <x:c r="K217" s="3"/>
      <x:c r="L217" s="3"/>
      <x:c r="M217" s="3"/>
      <x:c r="N217" s="2"/>
      <x:c r="O217" s="16" t="str">
        <x:v>CF. </x:v>
      </x:c>
    </x:row>
    <x:row r="218" ht="22" customHeight="1">
      <x:c r="A218" s="2"/>
      <x:c r="B218" s="2"/>
      <x:c r="C218" s="2" t="str">
        <x:v>Cash impact: acceptances</x:v>
      </x:c>
      <x:c r="D218" s="3" t="str">
        <x:v>n.a.</x:v>
      </x:c>
      <x:c r="E218" s="17" t="n">
        <x:v>5893.01</x:v>
      </x:c>
      <x:c r="F218" s="17" t="n">
        <x:v>6362.1</x:v>
      </x:c>
      <x:c r="G218" s="17" t="n">
        <x:v>-5557.29</x:v>
      </x:c>
      <x:c r="H218" s="17" t="n">
        <x:v>29593.82</x:v>
      </x:c>
      <x:c r="I218" s="3"/>
      <x:c r="J218" s="3"/>
      <x:c r="K218" s="3"/>
      <x:c r="L218" s="3"/>
      <x:c r="M218" s="3"/>
      <x:c r="N218" s="2"/>
      <x:c r="O218" s="16" t="str">
        <x:v>CF. FY22 included in trade payables; no separate cash-flow split used.</x:v>
      </x:c>
    </x:row>
    <x:row r="219" ht="22" customHeight="1">
      <x:c r="A219" s="2"/>
      <x:c r="B219" s="2"/>
      <x:c r="C219" s="2" t="str">
        <x:v>Cash impact: trade payables</x:v>
      </x:c>
      <x:c r="D219" s="17" t="n">
        <x:v>-281.65</x:v>
      </x:c>
      <x:c r="E219" s="17" t="n">
        <x:v>2086.61</x:v>
      </x:c>
      <x:c r="F219" s="17" t="n">
        <x:v>1776.5</x:v>
      </x:c>
      <x:c r="G219" s="17" t="n">
        <x:v>4531.65</x:v>
      </x:c>
      <x:c r="H219" s="17" t="n">
        <x:v>3683.73</x:v>
      </x:c>
      <x:c r="I219" s="3"/>
      <x:c r="J219" s="3"/>
      <x:c r="K219" s="3"/>
      <x:c r="L219" s="3"/>
      <x:c r="M219" s="3"/>
      <x:c r="N219" s="2"/>
      <x:c r="O219" s="16" t="str">
        <x:v>CF. FY22 includes acceptances; later years exclude them.</x:v>
      </x:c>
    </x:row>
    <x:row r="220" ht="22" customHeight="1">
      <x:c r="A220" s="2"/>
      <x:c r="B220" s="2"/>
      <x:c r="C220" s="2" t="str">
        <x:v>Cash impact: financial liabilities</x:v>
      </x:c>
      <x:c r="D220" s="17" t="n">
        <x:v>-957.37</x:v>
      </x:c>
      <x:c r="E220" s="17" t="n">
        <x:v>-38.89</x:v>
      </x:c>
      <x:c r="F220" s="17" t="n">
        <x:v>980.24</x:v>
      </x:c>
      <x:c r="G220" s="17" t="n">
        <x:v>-92.77</x:v>
      </x:c>
      <x:c r="H220" s="17" t="n">
        <x:v>-13.96</x:v>
      </x:c>
      <x:c r="I220" s="3"/>
      <x:c r="J220" s="3"/>
      <x:c r="K220" s="3"/>
      <x:c r="L220" s="3"/>
      <x:c r="M220" s="3"/>
      <x:c r="N220" s="2"/>
      <x:c r="O220" s="16" t="str">
        <x:v>CF. </x:v>
      </x:c>
    </x:row>
    <x:row r="221" ht="22" customHeight="1">
      <x:c r="A221" s="2"/>
      <x:c r="B221" s="2"/>
      <x:c r="C221" s="2" t="str">
        <x:v>Cash impact: provisions</x:v>
      </x:c>
      <x:c r="D221" s="17" t="n">
        <x:v>47.82</x:v>
      </x:c>
      <x:c r="E221" s="17" t="n">
        <x:v>234.33</x:v>
      </x:c>
      <x:c r="F221" s="17" t="n">
        <x:v>107.77</x:v>
      </x:c>
      <x:c r="G221" s="17" t="n">
        <x:v>34.51</x:v>
      </x:c>
      <x:c r="H221" s="17" t="n">
        <x:v>833.71</x:v>
      </x:c>
      <x:c r="I221" s="3"/>
      <x:c r="J221" s="3"/>
      <x:c r="K221" s="3"/>
      <x:c r="L221" s="3"/>
      <x:c r="M221" s="3"/>
      <x:c r="N221" s="2"/>
      <x:c r="O221" s="16" t="str">
        <x:v>CF. </x:v>
      </x:c>
    </x:row>
    <x:row r="222" ht="22" customHeight="1">
      <x:c r="A222" s="2"/>
      <x:c r="B222" s="2"/>
      <x:c r="C222" s="2" t="str">
        <x:v>Cash impact: non-financial / contract liabilities</x:v>
      </x:c>
      <x:c r="D222" s="17" t="n">
        <x:v>-17.96</x:v>
      </x:c>
      <x:c r="E222" s="17" t="n">
        <x:v>-315.48</x:v>
      </x:c>
      <x:c r="F222" s="17" t="n">
        <x:v>318.38</x:v>
      </x:c>
      <x:c r="G222" s="17" t="n">
        <x:v>-85.93</x:v>
      </x:c>
      <x:c r="H222" s="17" t="n">
        <x:v>9795.55</x:v>
      </x:c>
      <x:c r="I222" s="3"/>
      <x:c r="J222" s="3"/>
      <x:c r="K222" s="3"/>
      <x:c r="L222" s="3"/>
      <x:c r="M222" s="3"/>
      <x:c r="N222" s="2"/>
      <x:c r="O222" s="16" t="str">
        <x:v>CF. </x:v>
      </x:c>
    </x:row>
    <x:row r="223" ht="22" customHeight="1">
      <x:c r="A223" s="2"/>
      <x:c r="B223" s="2"/>
      <x:c r="C223" s="2" t="str">
        <x:v>Reported cash generated from operations</x:v>
      </x:c>
      <x:c r="D223" s="17" t="n">
        <x:v>8455.67</x:v>
      </x:c>
      <x:c r="E223" s="17" t="n">
        <x:v>17979.49</x:v>
      </x:c>
      <x:c r="F223" s="17" t="n">
        <x:v>18705.57</x:v>
      </x:c>
      <x:c r="G223" s="17" t="n">
        <x:v>24416.82</x:v>
      </x:c>
      <x:c r="H223" s="17" t="n">
        <x:v>46936.3</x:v>
      </x:c>
      <x:c r="I223" s="3"/>
      <x:c r="J223" s="3"/>
      <x:c r="K223" s="3"/>
      <x:c r="L223" s="3"/>
      <x:c r="M223" s="3"/>
      <x:c r="N223" s="2"/>
      <x:c r="O223" s="16" t="str">
        <x:v>CF. </x:v>
      </x:c>
    </x:row>
    <x:row r="224" ht="22" customHeight="1">
      <x:c r="A224" s="2"/>
      <x:c r="B224" s="2"/>
      <x:c r="C224" s="2" t="str">
        <x:v>Income tax paid, net of refunds</x:v>
      </x:c>
      <x:c r="D224" s="17" t="n">
        <x:v>-3339.56</x:v>
      </x:c>
      <x:c r="E224" s="17" t="n">
        <x:v>-3704.28</x:v>
      </x:c>
      <x:c r="F224" s="17" t="n">
        <x:v>-5743.17</x:v>
      </x:c>
      <x:c r="G224" s="17" t="n">
        <x:v>-6331.48</x:v>
      </x:c>
      <x:c r="H224" s="17" t="n">
        <x:v>-8829.63</x:v>
      </x:c>
      <x:c r="I224" s="3"/>
      <x:c r="J224" s="3"/>
      <x:c r="K224" s="3"/>
      <x:c r="L224" s="3"/>
      <x:c r="M224" s="3"/>
      <x:c r="N224" s="2"/>
      <x:c r="O224" s="16" t="str">
        <x:v>CF. </x:v>
      </x:c>
    </x:row>
    <x:row r="225" ht="22" customHeight="1">
      <x:c r="A225" s="2"/>
      <x:c r="B225" s="2"/>
      <x:c r="C225" s="2" t="str">
        <x:v>Reported operating cash flow</x:v>
      </x:c>
      <x:c r="D225" s="17" t="n">
        <x:v>5116.11</x:v>
      </x:c>
      <x:c r="E225" s="17" t="n">
        <x:v>14275.21</x:v>
      </x:c>
      <x:c r="F225" s="17" t="n">
        <x:v>12962.4</x:v>
      </x:c>
      <x:c r="G225" s="17" t="n">
        <x:v>18085.34</x:v>
      </x:c>
      <x:c r="H225" s="17" t="n">
        <x:v>38106.67</x:v>
      </x:c>
      <x:c r="I225" s="3"/>
      <x:c r="J225" s="3"/>
      <x:c r="K225" s="3"/>
      <x:c r="L225" s="3"/>
      <x:c r="M225" s="3"/>
      <x:c r="N225" s="2"/>
      <x:c r="O225" s="16" t="str">
        <x:v>CF. </x:v>
      </x:c>
    </x:row>
    <x:row r="226" ht="22" customHeight="1">
      <x:c r="A226" s="2"/>
      <x:c r="B226" s="2"/>
      <x:c r="C226" s="2" t="str">
        <x:v>Purchase of PPE, including CWIP</x:v>
      </x:c>
      <x:c r="D226" s="17" t="n">
        <x:v>-5265.23</x:v>
      </x:c>
      <x:c r="E226" s="17" t="n">
        <x:v>-4774.48</x:v>
      </x:c>
      <x:c r="F226" s="17" t="n">
        <x:v>-8529.55</x:v>
      </x:c>
      <x:c r="G226" s="17" t="n">
        <x:v>-9696.34</x:v>
      </x:c>
      <x:c r="H226" s="17" t="n">
        <x:v>-14803.29</x:v>
      </x:c>
      <x:c r="I226" s="3"/>
      <x:c r="J226" s="3"/>
      <x:c r="K226" s="3"/>
      <x:c r="L226" s="3"/>
      <x:c r="M226" s="3"/>
      <x:c r="N226" s="2"/>
      <x:c r="O226" s="16" t="str">
        <x:v>CF. FY24 includes investment property under construction.</x:v>
      </x:c>
    </x:row>
    <x:row r="227" ht="22" customHeight="1">
      <x:c r="A227" s="2"/>
      <x:c r="B227" s="2"/>
      <x:c r="C227" s="2" t="str">
        <x:v>Purchase of intangible assets</x:v>
      </x:c>
      <x:c r="D227" s="17" t="n">
        <x:v>-1.7</x:v>
      </x:c>
      <x:c r="E227" s="17" t="n">
        <x:v>-20.05</x:v>
      </x:c>
      <x:c r="F227" s="17" t="n">
        <x:v>-55.64</x:v>
      </x:c>
      <x:c r="G227" s="17" t="n">
        <x:v>-1</x:v>
      </x:c>
      <x:c r="H227" s="17" t="n">
        <x:v>-1.85</x:v>
      </x:c>
      <x:c r="I227" s="3"/>
      <x:c r="J227" s="3"/>
      <x:c r="K227" s="3"/>
      <x:c r="L227" s="3"/>
      <x:c r="M227" s="3"/>
      <x:c r="N227" s="2"/>
      <x:c r="O227" s="16" t="str">
        <x:v>CF. </x:v>
      </x:c>
    </x:row>
    <x:row r="228" ht="22" customHeight="1">
      <x:c r="A228" s="2"/>
      <x:c r="B228" s="2"/>
      <x:c r="C228" s="2" t="str">
        <x:v>Separate investment-property purchases</x:v>
      </x:c>
      <x:c r="D228" s="17" t="n">
        <x:v>0</x:v>
      </x:c>
      <x:c r="E228" s="17" t="n">
        <x:v>0</x:v>
      </x:c>
      <x:c r="F228" s="17" t="n">
        <x:v>0</x:v>
      </x:c>
      <x:c r="G228" s="17" t="n">
        <x:v>-27.1</x:v>
      </x:c>
      <x:c r="H228" s="17" t="n">
        <x:v>-92.94</x:v>
      </x:c>
      <x:c r="I228" s="3"/>
      <x:c r="J228" s="3"/>
      <x:c r="K228" s="3"/>
      <x:c r="L228" s="3"/>
      <x:c r="M228" s="3"/>
      <x:c r="N228" s="2"/>
      <x:c r="O228" s="16" t="str">
        <x:v>CF. </x:v>
      </x:c>
    </x:row>
    <x:row r="229" ht="22" customHeight="1">
      <x:c r="A229" s="2"/>
      <x:c r="B229" s="2"/>
      <x:c r="C229" s="2" t="str">
        <x:v>Proceeds from PPE disposal</x:v>
      </x:c>
      <x:c r="D229" s="17" t="n">
        <x:v>66.9</x:v>
      </x:c>
      <x:c r="E229" s="17" t="n">
        <x:v>210.35</x:v>
      </x:c>
      <x:c r="F229" s="17" t="n">
        <x:v>5.47</x:v>
      </x:c>
      <x:c r="G229" s="17" t="n">
        <x:v>141.07</x:v>
      </x:c>
      <x:c r="H229" s="17" t="n">
        <x:v>98.74</x:v>
      </x:c>
      <x:c r="I229" s="3"/>
      <x:c r="J229" s="3"/>
      <x:c r="K229" s="3"/>
      <x:c r="L229" s="3"/>
      <x:c r="M229" s="3"/>
      <x:c r="N229" s="2"/>
      <x:c r="O229" s="16" t="str">
        <x:v>CF. </x:v>
      </x:c>
    </x:row>
    <x:row r="230" ht="22" customHeight="1">
      <x:c r="A230" s="2"/>
      <x:c r="B230" s="2"/>
      <x:c r="C230" s="2" t="str">
        <x:v>Investment in mutual funds</x:v>
      </x:c>
      <x:c r="D230" s="17" t="n">
        <x:v>-92681.54</x:v>
      </x:c>
      <x:c r="E230" s="17" t="n">
        <x:v>-96467.28</x:v>
      </x:c>
      <x:c r="F230" s="17" t="n">
        <x:v>-127603.5</x:v>
      </x:c>
      <x:c r="G230" s="17" t="n">
        <x:v>-114167.87</x:v>
      </x:c>
      <x:c r="H230" s="17" t="n">
        <x:v>-153974.1</x:v>
      </x:c>
      <x:c r="I230" s="3"/>
      <x:c r="J230" s="3"/>
      <x:c r="K230" s="3"/>
      <x:c r="L230" s="3"/>
      <x:c r="M230" s="3"/>
      <x:c r="N230" s="2"/>
      <x:c r="O230" s="16" t="str">
        <x:v>CF. </x:v>
      </x:c>
    </x:row>
    <x:row r="231" ht="22" customHeight="1">
      <x:c r="A231" s="2"/>
      <x:c r="B231" s="2"/>
      <x:c r="C231" s="2" t="str">
        <x:v>Proceeds from sale of mutual funds</x:v>
      </x:c>
      <x:c r="D231" s="17" t="n">
        <x:v>91499.92</x:v>
      </x:c>
      <x:c r="E231" s="17" t="n">
        <x:v>91253.99</x:v>
      </x:c>
      <x:c r="F231" s="17" t="n">
        <x:v>123764.15</x:v>
      </x:c>
      <x:c r="G231" s="17" t="n">
        <x:v>116123.67</x:v>
      </x:c>
      <x:c r="H231" s="17" t="n">
        <x:v>138742.26</x:v>
      </x:c>
      <x:c r="I231" s="3"/>
      <x:c r="J231" s="3"/>
      <x:c r="K231" s="3"/>
      <x:c r="L231" s="3"/>
      <x:c r="M231" s="3"/>
      <x:c r="N231" s="2"/>
      <x:c r="O231" s="16" t="str">
        <x:v>CF. </x:v>
      </x:c>
    </x:row>
    <x:row r="232" ht="22" customHeight="1">
      <x:c r="A232" s="2"/>
      <x:c r="B232" s="2"/>
      <x:c r="C232" s="2" t="str">
        <x:v>Bank deposits placed</x:v>
      </x:c>
      <x:c r="D232" s="17" t="n">
        <x:v>-4070.46</x:v>
      </x:c>
      <x:c r="E232" s="17" t="n">
        <x:v>-4942.03</x:v>
      </x:c>
      <x:c r="F232" s="17" t="n">
        <x:v>-2635.12</x:v>
      </x:c>
      <x:c r="G232" s="17" t="n">
        <x:v>-5615.72</x:v>
      </x:c>
      <x:c r="H232" s="17" t="n">
        <x:v>-6371.01</x:v>
      </x:c>
      <x:c r="I232" s="3"/>
      <x:c r="J232" s="3"/>
      <x:c r="K232" s="3"/>
      <x:c r="L232" s="3"/>
      <x:c r="M232" s="3"/>
      <x:c r="N232" s="2"/>
      <x:c r="O232" s="16" t="str">
        <x:v>CF. </x:v>
      </x:c>
    </x:row>
    <x:row r="233" ht="22" customHeight="1">
      <x:c r="A233" s="2"/>
      <x:c r="B233" s="2"/>
      <x:c r="C233" s="2" t="str">
        <x:v>Bank deposits matured</x:v>
      </x:c>
      <x:c r="D233" s="17" t="n">
        <x:v>4606.81</x:v>
      </x:c>
      <x:c r="E233" s="17" t="n">
        <x:v>2489.88</x:v>
      </x:c>
      <x:c r="F233" s="17" t="n">
        <x:v>7090.81</x:v>
      </x:c>
      <x:c r="G233" s="17" t="n">
        <x:v>630.9</x:v>
      </x:c>
      <x:c r="H233" s="17" t="n">
        <x:v>7260.74</x:v>
      </x:c>
      <x:c r="I233" s="3"/>
      <x:c r="J233" s="3"/>
      <x:c r="K233" s="3"/>
      <x:c r="L233" s="3"/>
      <x:c r="M233" s="3"/>
      <x:c r="N233" s="2"/>
      <x:c r="O233" s="16" t="str">
        <x:v>CF. </x:v>
      </x:c>
    </x:row>
    <x:row r="234" ht="22" customHeight="1">
      <x:c r="A234" s="2"/>
      <x:c r="B234" s="2"/>
      <x:c r="C234" s="2" t="str">
        <x:v>Investment in subsidiary shares</x:v>
      </x:c>
      <x:c r="D234" s="17" t="n">
        <x:v>-117.11</x:v>
      </x:c>
      <x:c r="E234" s="17" t="n">
        <x:v>0</x:v>
      </x:c>
      <x:c r="F234" s="17" t="n">
        <x:v>0</x:v>
      </x:c>
      <x:c r="G234" s="17" t="n">
        <x:v>0</x:v>
      </x:c>
      <x:c r="H234" s="17" t="n">
        <x:v>0</x:v>
      </x:c>
      <x:c r="I234" s="3"/>
      <x:c r="J234" s="3"/>
      <x:c r="K234" s="3"/>
      <x:c r="L234" s="3"/>
      <x:c r="M234" s="3"/>
      <x:c r="N234" s="2"/>
      <x:c r="O234" s="16" t="str">
        <x:v>CF. </x:v>
      </x:c>
    </x:row>
    <x:row r="235" ht="22" customHeight="1">
      <x:c r="A235" s="2"/>
      <x:c r="B235" s="2"/>
      <x:c r="C235" s="2" t="str">
        <x:v>Discontinued-operation sale proceeds, net</x:v>
      </x:c>
      <x:c r="D235" s="17" t="n">
        <x:v>1464.85</x:v>
      </x:c>
      <x:c r="E235" s="17" t="n">
        <x:v>0</x:v>
      </x:c>
      <x:c r="F235" s="17" t="n">
        <x:v>0</x:v>
      </x:c>
      <x:c r="G235" s="17" t="n">
        <x:v>0</x:v>
      </x:c>
      <x:c r="H235" s="17" t="n">
        <x:v>0</x:v>
      </x:c>
      <x:c r="I235" s="3"/>
      <x:c r="J235" s="3"/>
      <x:c r="K235" s="3"/>
      <x:c r="L235" s="3"/>
      <x:c r="M235" s="3"/>
      <x:c r="N235" s="2"/>
      <x:c r="O235" s="16" t="str">
        <x:v>CF. </x:v>
      </x:c>
    </x:row>
    <x:row r="236" ht="22" customHeight="1">
      <x:c r="A236" s="2"/>
      <x:c r="B236" s="2"/>
      <x:c r="C236" s="2" t="str">
        <x:v>Loans repaid by related parties</x:v>
      </x:c>
      <x:c r="D236" s="17" t="n">
        <x:v>15.21</x:v>
      </x:c>
      <x:c r="E236" s="17" t="n">
        <x:v>0</x:v>
      </x:c>
      <x:c r="F236" s="17" t="n">
        <x:v>0</x:v>
      </x:c>
      <x:c r="G236" s="17" t="n">
        <x:v>0</x:v>
      </x:c>
      <x:c r="H236" s="17" t="n">
        <x:v>0</x:v>
      </x:c>
      <x:c r="I236" s="3"/>
      <x:c r="J236" s="3"/>
      <x:c r="K236" s="3"/>
      <x:c r="L236" s="3"/>
      <x:c r="M236" s="3"/>
      <x:c r="N236" s="2"/>
      <x:c r="O236" s="16" t="str">
        <x:v>CF. </x:v>
      </x:c>
    </x:row>
    <x:row r="237" ht="22" customHeight="1">
      <x:c r="A237" s="2"/>
      <x:c r="B237" s="2"/>
      <x:c r="C237" s="2" t="str">
        <x:v>Loans repaid by / (given to) employees</x:v>
      </x:c>
      <x:c r="D237" s="17" t="n">
        <x:v>-0.31</x:v>
      </x:c>
      <x:c r="E237" s="17" t="n">
        <x:v>4.29</x:v>
      </x:c>
      <x:c r="F237" s="17" t="n">
        <x:v>-2.79</x:v>
      </x:c>
      <x:c r="G237" s="17" t="n">
        <x:v>-4.74</x:v>
      </x:c>
      <x:c r="H237" s="17" t="n">
        <x:v>-1.31</x:v>
      </x:c>
      <x:c r="I237" s="3"/>
      <x:c r="J237" s="3"/>
      <x:c r="K237" s="3"/>
      <x:c r="L237" s="3"/>
      <x:c r="M237" s="3"/>
      <x:c r="N237" s="2"/>
      <x:c r="O237" s="16" t="str">
        <x:v>CF. </x:v>
      </x:c>
    </x:row>
    <x:row r="238" ht="22" customHeight="1">
      <x:c r="A238" s="2"/>
      <x:c r="B238" s="2"/>
      <x:c r="C238" s="2" t="str">
        <x:v>Loans repaid by / (given to) supplier</x:v>
      </x:c>
      <x:c r="D238" s="17" t="n">
        <x:v>-19.04</x:v>
      </x:c>
      <x:c r="E238" s="17" t="n">
        <x:v>19.04</x:v>
      </x:c>
      <x:c r="F238" s="17" t="n">
        <x:v>0</x:v>
      </x:c>
      <x:c r="G238" s="17" t="n">
        <x:v>0</x:v>
      </x:c>
      <x:c r="H238" s="17" t="n">
        <x:v>0</x:v>
      </x:c>
      <x:c r="I238" s="3"/>
      <x:c r="J238" s="3"/>
      <x:c r="K238" s="3"/>
      <x:c r="L238" s="3"/>
      <x:c r="M238" s="3"/>
      <x:c r="N238" s="2"/>
      <x:c r="O238" s="16" t="str">
        <x:v>CF. </x:v>
      </x:c>
    </x:row>
    <x:row r="239" ht="22" customHeight="1">
      <x:c r="A239" s="2"/>
      <x:c r="B239" s="2"/>
      <x:c r="C239" s="2" t="str">
        <x:v>Interest received</x:v>
      </x:c>
      <x:c r="D239" s="17" t="n">
        <x:v>232.19</x:v>
      </x:c>
      <x:c r="E239" s="17" t="n">
        <x:v>199.83</x:v>
      </x:c>
      <x:c r="F239" s="17" t="n">
        <x:v>447.4</x:v>
      </x:c>
      <x:c r="G239" s="17" t="n">
        <x:v>223.99</x:v>
      </x:c>
      <x:c r="H239" s="17" t="n">
        <x:v>645.68</x:v>
      </x:c>
      <x:c r="I239" s="3"/>
      <x:c r="J239" s="3"/>
      <x:c r="K239" s="3"/>
      <x:c r="L239" s="3"/>
      <x:c r="M239" s="3"/>
      <x:c r="N239" s="2"/>
      <x:c r="O239" s="16" t="str">
        <x:v>CF. </x:v>
      </x:c>
    </x:row>
    <x:row r="240" ht="22" customHeight="1">
      <x:c r="A240" s="2"/>
      <x:c r="B240" s="2"/>
      <x:c r="C240" s="2" t="str">
        <x:v>Reported investing cash flow</x:v>
      </x:c>
      <x:c r="D240" s="17" t="n">
        <x:v>-4269.51</x:v>
      </x:c>
      <x:c r="E240" s="17" t="n">
        <x:v>-12026.46</x:v>
      </x:c>
      <x:c r="F240" s="17" t="n">
        <x:v>-7518.77</x:v>
      </x:c>
      <x:c r="G240" s="17" t="n">
        <x:v>-12393.14</x:v>
      </x:c>
      <x:c r="H240" s="17" t="n">
        <x:v>-28497.08</x:v>
      </x:c>
      <x:c r="I240" s="3"/>
      <x:c r="J240" s="3"/>
      <x:c r="K240" s="3"/>
      <x:c r="L240" s="3"/>
      <x:c r="M240" s="3"/>
      <x:c r="N240" s="2"/>
      <x:c r="O240" s="16" t="str">
        <x:v>CF. </x:v>
      </x:c>
    </x:row>
    <x:row r="241" ht="22" customHeight="1">
      <x:c r="A241" s="2"/>
      <x:c r="B241" s="2"/>
      <x:c r="C241" s="2" t="str">
        <x:v>Proceeds from employee share options</x:v>
      </x:c>
      <x:c r="D241" s="17" t="n">
        <x:v>132.88</x:v>
      </x:c>
      <x:c r="E241" s="17" t="n">
        <x:v>127.65</x:v>
      </x:c>
      <x:c r="F241" s="17" t="n">
        <x:v>193.95</x:v>
      </x:c>
      <x:c r="G241" s="17" t="n">
        <x:v>72.7</x:v>
      </x:c>
      <x:c r="H241" s="17" t="n">
        <x:v>52.56</x:v>
      </x:c>
      <x:c r="I241" s="3"/>
      <x:c r="J241" s="3"/>
      <x:c r="K241" s="3"/>
      <x:c r="L241" s="3"/>
      <x:c r="M241" s="3"/>
      <x:c r="N241" s="2"/>
      <x:c r="O241" s="16" t="str">
        <x:v>CF. </x:v>
      </x:c>
    </x:row>
    <x:row r="242" ht="22" customHeight="1">
      <x:c r="A242" s="2"/>
      <x:c r="B242" s="2"/>
      <x:c r="C242" s="2" t="str">
        <x:v>Lease principal paid</x:v>
      </x:c>
      <x:c r="D242" s="17" t="n">
        <x:v>-137.66</x:v>
      </x:c>
      <x:c r="E242" s="17" t="n">
        <x:v>-126.84</x:v>
      </x:c>
      <x:c r="F242" s="17" t="n">
        <x:v>-206.04</x:v>
      </x:c>
      <x:c r="G242" s="17" t="n">
        <x:v>-588.78</x:v>
      </x:c>
      <x:c r="H242" s="17" t="n">
        <x:v>-248.42</x:v>
      </x:c>
      <x:c r="I242" s="3"/>
      <x:c r="J242" s="3"/>
      <x:c r="K242" s="3"/>
      <x:c r="L242" s="3"/>
      <x:c r="M242" s="3"/>
      <x:c r="N242" s="2"/>
      <x:c r="O242" s="16" t="str">
        <x:v>CF. FY25 includes upfront lease payment.</x:v>
      </x:c>
    </x:row>
    <x:row r="243" ht="22" customHeight="1">
      <x:c r="A243" s="2"/>
      <x:c r="B243" s="2"/>
      <x:c r="C243" s="2" t="str">
        <x:v>Lease interest paid</x:v>
      </x:c>
      <x:c r="D243" s="17" t="n">
        <x:v>-33.02</x:v>
      </x:c>
      <x:c r="E243" s="17" t="n">
        <x:v>-32.85</x:v>
      </x:c>
      <x:c r="F243" s="17" t="n">
        <x:v>-42.4</x:v>
      </x:c>
      <x:c r="G243" s="17" t="n">
        <x:v>-69.17</x:v>
      </x:c>
      <x:c r="H243" s="17" t="n">
        <x:v>-78.63</x:v>
      </x:c>
      <x:c r="I243" s="3"/>
      <x:c r="J243" s="3"/>
      <x:c r="K243" s="3"/>
      <x:c r="L243" s="3"/>
      <x:c r="M243" s="3"/>
      <x:c r="N243" s="2"/>
      <x:c r="O243" s="16" t="str">
        <x:v>CF. </x:v>
      </x:c>
    </x:row>
    <x:row r="244" ht="22" customHeight="1">
      <x:c r="A244" s="2"/>
      <x:c r="B244" s="2"/>
      <x:c r="C244" s="2" t="str">
        <x:v>Repayment of long-term borrowings</x:v>
      </x:c>
      <x:c r="D244" s="17" t="n">
        <x:v>-141.09</x:v>
      </x:c>
      <x:c r="E244" s="17" t="n">
        <x:v>-37.5</x:v>
      </x:c>
      <x:c r="F244" s="17" t="n">
        <x:v>-26.4</x:v>
      </x:c>
      <x:c r="G244" s="17" t="n">
        <x:v>-66.87</x:v>
      </x:c>
      <x:c r="H244" s="17" t="n">
        <x:v>-100.6</x:v>
      </x:c>
      <x:c r="I244" s="3"/>
      <x:c r="J244" s="3"/>
      <x:c r="K244" s="3"/>
      <x:c r="L244" s="3"/>
      <x:c r="M244" s="3"/>
      <x:c r="N244" s="2"/>
      <x:c r="O244" s="16" t="str">
        <x:v>CF. </x:v>
      </x:c>
    </x:row>
    <x:row r="245" ht="22" customHeight="1">
      <x:c r="A245" s="2"/>
      <x:c r="B245" s="2"/>
      <x:c r="C245" s="2" t="str">
        <x:v>Proceeds from long-term borrowings</x:v>
      </x:c>
      <x:c r="D245" s="17" t="n">
        <x:v>0</x:v>
      </x:c>
      <x:c r="E245" s="17" t="n">
        <x:v>40.1</x:v>
      </x:c>
      <x:c r="F245" s="17" t="n">
        <x:v>231.75</x:v>
      </x:c>
      <x:c r="G245" s="17" t="n">
        <x:v>310.66</x:v>
      </x:c>
      <x:c r="H245" s="17" t="n">
        <x:v>102.84</x:v>
      </x:c>
      <x:c r="I245" s="3"/>
      <x:c r="J245" s="3"/>
      <x:c r="K245" s="3"/>
      <x:c r="L245" s="3"/>
      <x:c r="M245" s="3"/>
      <x:c r="N245" s="2"/>
      <x:c r="O245" s="16" t="str">
        <x:v>CF. </x:v>
      </x:c>
    </x:row>
    <x:row r="246" ht="22" customHeight="1">
      <x:c r="A246" s="2"/>
      <x:c r="B246" s="2"/>
      <x:c r="C246" s="2" t="str">
        <x:v>Net proceeds / (repayment) of short-term debt</x:v>
      </x:c>
      <x:c r="D246" s="17" t="n">
        <x:v>-27.08</x:v>
      </x:c>
      <x:c r="E246" s="17" t="n">
        <x:v>329.07</x:v>
      </x:c>
      <x:c r="F246" s="17" t="n">
        <x:v>-11.09</x:v>
      </x:c>
      <x:c r="G246" s="17" t="n">
        <x:v>254.4</x:v>
      </x:c>
      <x:c r="H246" s="17" t="n">
        <x:v>122.25</x:v>
      </x:c>
      <x:c r="I246" s="3"/>
      <x:c r="J246" s="3"/>
      <x:c r="K246" s="3"/>
      <x:c r="L246" s="3"/>
      <x:c r="M246" s="3"/>
      <x:c r="N246" s="2"/>
      <x:c r="O246" s="16" t="str">
        <x:v>CF. </x:v>
      </x:c>
    </x:row>
    <x:row r="247" ht="22" customHeight="1">
      <x:c r="A247" s="2"/>
      <x:c r="B247" s="2"/>
      <x:c r="C247" s="2" t="str">
        <x:v>Interest and other finance costs paid</x:v>
      </x:c>
      <x:c r="D247" s="17" t="n">
        <x:v>-309.33</x:v>
      </x:c>
      <x:c r="E247" s="17" t="n">
        <x:v>-475.86</x:v>
      </x:c>
      <x:c r="F247" s="17" t="n">
        <x:v>-1016.6</x:v>
      </x:c>
      <x:c r="G247" s="17" t="n">
        <x:v>-1684.85</x:v>
      </x:c>
      <x:c r="H247" s="17" t="n">
        <x:v>-2367.69</x:v>
      </x:c>
      <x:c r="I247" s="3"/>
      <x:c r="J247" s="3"/>
      <x:c r="K247" s="3"/>
      <x:c r="L247" s="3"/>
      <x:c r="M247" s="3"/>
      <x:c r="N247" s="2"/>
      <x:c r="O247" s="16" t="str">
        <x:v>CF. </x:v>
      </x:c>
    </x:row>
    <x:row r="248" ht="22" customHeight="1">
      <x:c r="A248" s="2"/>
      <x:c r="B248" s="2"/>
      <x:c r="C248" s="2" t="str">
        <x:v>Dividends paid</x:v>
      </x:c>
      <x:c r="D248" s="17" t="n">
        <x:v>-1491.6</x:v>
      </x:c>
      <x:c r="E248" s="17" t="n">
        <x:v>-2094.49</x:v>
      </x:c>
      <x:c r="F248" s="17" t="n">
        <x:v>-2997.3</x:v>
      </x:c>
      <x:c r="G248" s="17" t="n">
        <x:v>-4510.84</x:v>
      </x:c>
      <x:c r="H248" s="17" t="n">
        <x:v>-5472.71</x:v>
      </x:c>
      <x:c r="I248" s="3"/>
      <x:c r="J248" s="3"/>
      <x:c r="K248" s="3"/>
      <x:c r="L248" s="3"/>
      <x:c r="M248" s="3"/>
      <x:c r="N248" s="2"/>
      <x:c r="O248" s="16" t="str">
        <x:v>CF. </x:v>
      </x:c>
    </x:row>
    <x:row r="249" ht="22" customHeight="1">
      <x:c r="A249" s="2"/>
      <x:c r="B249" s="2"/>
      <x:c r="C249" s="2" t="str">
        <x:v>Reported financing cash flow</x:v>
      </x:c>
      <x:c r="D249" s="17" t="n">
        <x:v>-2006.9</x:v>
      </x:c>
      <x:c r="E249" s="17" t="n">
        <x:v>-2270.72</x:v>
      </x:c>
      <x:c r="F249" s="17" t="n">
        <x:v>-3874.13</x:v>
      </x:c>
      <x:c r="G249" s="17" t="n">
        <x:v>-6282.75</x:v>
      </x:c>
      <x:c r="H249" s="17" t="n">
        <x:v>-7990.4</x:v>
      </x:c>
      <x:c r="I249" s="3"/>
      <x:c r="J249" s="3"/>
      <x:c r="K249" s="3"/>
      <x:c r="L249" s="3"/>
      <x:c r="M249" s="3"/>
      <x:c r="N249" s="2"/>
      <x:c r="O249" s="16" t="str">
        <x:v>CF. </x:v>
      </x:c>
    </x:row>
    <x:row r="250" ht="22" customHeight="1">
      <x:c r="A250" s="2"/>
      <x:c r="B250" s="2"/>
      <x:c r="C250" s="2" t="str">
        <x:v>Reported change in cash, net of cash credit</x:v>
      </x:c>
      <x:c r="D250" s="17" t="n">
        <x:v>-1160.3</x:v>
      </x:c>
      <x:c r="E250" s="17" t="n">
        <x:v>-21.97</x:v>
      </x:c>
      <x:c r="F250" s="17" t="n">
        <x:v>1569.5</x:v>
      </x:c>
      <x:c r="G250" s="17" t="n">
        <x:v>-590.55</x:v>
      </x:c>
      <x:c r="H250" s="17" t="n">
        <x:v>1619.19</x:v>
      </x:c>
      <x:c r="I250" s="3"/>
      <x:c r="J250" s="3"/>
      <x:c r="K250" s="3"/>
      <x:c r="L250" s="3"/>
      <x:c r="M250" s="3"/>
      <x:c r="N250" s="2"/>
      <x:c r="O250" s="16" t="str">
        <x:v>CF. </x:v>
      </x:c>
    </x:row>
    <x:row r="251" ht="22" customHeight="1">
      <x:c r="A251" s="2"/>
      <x:c r="B251" s="2"/>
      <x:c r="C251" s="2" t="str">
        <x:v>Opening cash, net of cash credit</x:v>
      </x:c>
      <x:c r="D251" s="17" t="n">
        <x:v>2377.19</x:v>
      </x:c>
      <x:c r="E251" s="17" t="n">
        <x:v>1216.89</x:v>
      </x:c>
      <x:c r="F251" s="17" t="n">
        <x:v>1194.92</x:v>
      </x:c>
      <x:c r="G251" s="17" t="n">
        <x:v>2764.42</x:v>
      </x:c>
      <x:c r="H251" s="17" t="n">
        <x:v>2173.87</x:v>
      </x:c>
      <x:c r="I251" s="3"/>
      <x:c r="J251" s="3"/>
      <x:c r="K251" s="3"/>
      <x:c r="L251" s="3"/>
      <x:c r="M251" s="3"/>
      <x:c r="N251" s="2"/>
      <x:c r="O251" s="16" t="str">
        <x:v>CF. </x:v>
      </x:c>
    </x:row>
    <x:row r="252" ht="22" customHeight="1">
      <x:c r="A252" s="2"/>
      <x:c r="B252" s="2"/>
      <x:c r="C252" s="2" t="str">
        <x:v>Closing cash, net of cash credit</x:v>
      </x:c>
      <x:c r="D252" s="17" t="n">
        <x:v>1216.89</x:v>
      </x:c>
      <x:c r="E252" s="17" t="n">
        <x:v>1194.92</x:v>
      </x:c>
      <x:c r="F252" s="17" t="n">
        <x:v>2764.42</x:v>
      </x:c>
      <x:c r="G252" s="17" t="n">
        <x:v>2173.87</x:v>
      </x:c>
      <x:c r="H252" s="17" t="n">
        <x:v>3793.06</x:v>
      </x:c>
      <x:c r="I252" s="3"/>
      <x:c r="J252" s="3"/>
      <x:c r="K252" s="3"/>
      <x:c r="L252" s="3"/>
      <x:c r="M252" s="3"/>
      <x:c r="N252" s="2"/>
      <x:c r="O252" s="16" t="str">
        <x:v>CF. </x:v>
      </x:c>
    </x:row>
    <x:row r="253" ht="22" customHeight="1">
      <x:c r="A253" s="2"/>
      <x:c r="B253" s="2"/>
      <x:c r="C253" s="2" t="str">
        <x:v>Cash credit deducted in cash-flow cash</x:v>
      </x:c>
      <x:c r="D253" s="17" t="n">
        <x:v>0.02</x:v>
      </x:c>
      <x:c r="E253" s="17" t="n">
        <x:v>332.6</x:v>
      </x:c>
      <x:c r="F253" s="17" t="n">
        <x:v>305.89</x:v>
      </x:c>
      <x:c r="G253" s="17" t="n">
        <x:v>0</x:v>
      </x:c>
      <x:c r="H253" s="17" t="n">
        <x:v>110.37</x:v>
      </x:c>
      <x:c r="I253" s="3"/>
      <x:c r="J253" s="3"/>
      <x:c r="K253" s="3"/>
      <x:c r="L253" s="3"/>
      <x:c r="M253" s="3"/>
      <x:c r="N253" s="2"/>
      <x:c r="O253" s="16" t="str">
        <x:v>CF. </x:v>
      </x:c>
    </x:row>
    <x:row r="254" ht="22" customHeight="1">
      <x:c r="A254" s="2"/>
      <x:c r="B254" s="2"/>
      <x:c r="C254" s="2" t="str">
        <x:v>Share-based compensation, cash-flow add-back</x:v>
      </x:c>
      <x:c r="D254" s="17" t="n">
        <x:v>161.16</x:v>
      </x:c>
      <x:c r="E254" s="17" t="n">
        <x:v>107.61</x:v>
      </x:c>
      <x:c r="F254" s="17" t="n">
        <x:v>564.24</x:v>
      </x:c>
      <x:c r="G254" s="17" t="n">
        <x:v>687</x:v>
      </x:c>
      <x:c r="H254" s="17" t="n">
        <x:v>304.87</x:v>
      </x:c>
      <x:c r="I254" s="3"/>
      <x:c r="J254" s="3"/>
      <x:c r="K254" s="3"/>
      <x:c r="L254" s="3"/>
      <x:c r="M254" s="3"/>
      <x:c r="N254" s="2"/>
      <x:c r="O254" s="16" t="str">
        <x:v>CF. </x:v>
      </x:c>
    </x:row>
    <x:row r="255" ht="22" customHeight="1">
      <x:c r="A255" s="2"/>
      <x:c r="B255" s="2"/>
      <x:c r="C255" s="2" t="str">
        <x:v>PPE acquired through government grants</x:v>
      </x:c>
      <x:c r="D255" s="17" t="n">
        <x:v>57.07</x:v>
      </x:c>
      <x:c r="E255" s="17" t="n">
        <x:v>129.18</x:v>
      </x:c>
      <x:c r="F255" s="17" t="n">
        <x:v>453.5</x:v>
      </x:c>
      <x:c r="G255" s="17" t="n">
        <x:v>673.05</x:v>
      </x:c>
      <x:c r="H255" s="17" t="n">
        <x:v>1163.61</x:v>
      </x:c>
      <x:c r="I255" s="3"/>
      <x:c r="J255" s="3"/>
      <x:c r="K255" s="3"/>
      <x:c r="L255" s="3"/>
      <x:c r="M255" s="3"/>
      <x:c r="N255" s="2"/>
      <x:c r="O255" s="16" t="str">
        <x:v>CF. </x:v>
      </x:c>
    </x:row>
    <x:row r="256" ht="22" customHeight="1">
      <x:c r="A256" s="2"/>
      <x:c r="B256" s="2"/>
      <x:c r="C256" s="2" t="str">
        <x:v>Non-cash right-of-use asset additions</x:v>
      </x:c>
      <x:c r="D256" s="17" t="n">
        <x:v>194.23</x:v>
      </x:c>
      <x:c r="E256" s="17" t="n">
        <x:v>173.44</x:v>
      </x:c>
      <x:c r="F256" s="17" t="n">
        <x:v>572.56</x:v>
      </x:c>
      <x:c r="G256" s="17" t="n">
        <x:v>899.01</x:v>
      </x:c>
      <x:c r="H256" s="17" t="n">
        <x:v>429.11</x:v>
      </x:c>
      <x:c r="I256" s="3"/>
      <x:c r="J256" s="3"/>
      <x:c r="K256" s="3"/>
      <x:c r="L256" s="3"/>
      <x:c r="M256" s="3"/>
      <x:c r="N256" s="2"/>
      <x:c r="O256" s="16" t="str">
        <x:v>CF. </x:v>
      </x:c>
    </x:row>
    <x:row r="257" ht="20" customHeight="1">
      <x:c r="A257" s="2"/>
      <x:c r="B257" s="2"/>
      <x:c r="C257" s="2" t="str">
        <x:v>SUPPLEMENTAL DISCLOSURES</x:v>
      </x:c>
      <x:c r="D257" s="3"/>
      <x:c r="E257" s="3"/>
      <x:c r="F257" s="3"/>
      <x:c r="G257" s="3"/>
      <x:c r="H257" s="3"/>
      <x:c r="I257" s="3"/>
      <x:c r="J257" s="3"/>
      <x:c r="K257" s="3"/>
      <x:c r="L257" s="3"/>
      <x:c r="M257" s="3"/>
      <x:c r="N257" s="2"/>
      <x:c r="O257" s="2"/>
    </x:row>
    <x:row r="258" ht="22" customHeight="1">
      <x:c r="A258" s="2"/>
      <x:c r="B258" s="2"/>
      <x:c r="C258" s="2" t="str">
        <x:v>Reported capex, net of disposals</x:v>
      </x:c>
      <x:c r="D258" s="17" t="n">
        <x:v>5200.03</x:v>
      </x:c>
      <x:c r="E258" s="17" t="n">
        <x:v>4584.18</x:v>
      </x:c>
      <x:c r="F258" s="17" t="n">
        <x:v>8579.73</x:v>
      </x:c>
      <x:c r="G258" s="17" t="n">
        <x:v>9583.35</x:v>
      </x:c>
      <x:c r="H258" s="17" t="n">
        <x:v>14799.34</x:v>
      </x:c>
      <x:c r="I258" s="3"/>
      <x:c r="J258" s="3"/>
      <x:c r="K258" s="3"/>
      <x:c r="L258" s="3"/>
      <x:c r="M258" s="3"/>
      <x:c r="N258" s="2"/>
      <x:c r="O258" s="16" t="str">
        <x:v>KPI. Segment assets acquired, net of disposals. Cash gross capex less sale proceeds reconciles.</x:v>
      </x:c>
    </x:row>
    <x:row r="259" ht="22" customHeight="1">
      <x:c r="A259" s="2"/>
      <x:c r="B259" s="2"/>
      <x:c r="C259" s="2" t="str">
        <x:v>Unallocated finance income</x:v>
      </x:c>
      <x:c r="D259" s="17" t="n">
        <x:v>496.92</x:v>
      </x:c>
      <x:c r="E259" s="17" t="n">
        <x:v>946.21</x:v>
      </x:c>
      <x:c r="F259" s="17" t="n">
        <x:v>1211.06</x:v>
      </x:c>
      <x:c r="G259" s="17" t="n">
        <x:v>1550.65</x:v>
      </x:c>
      <x:c r="H259" s="17" t="n">
        <x:v>2053.39</x:v>
      </x:c>
      <x:c r="I259" s="3"/>
      <x:c r="J259" s="3"/>
      <x:c r="K259" s="3"/>
      <x:c r="L259" s="3"/>
      <x:c r="M259" s="3"/>
      <x:c r="N259" s="2"/>
      <x:c r="O259" s="16" t="str">
        <x:v>KPI. </x:v>
      </x:c>
    </x:row>
    <x:row r="260" ht="22" customHeight="1">
      <x:c r="A260" s="2"/>
      <x:c r="B260" s="2"/>
      <x:c r="C260" s="2" t="str">
        <x:v>Published EBITDA (rounded)</x:v>
      </x:c>
      <x:c r="D260" s="17" t="n">
        <x:v>12626</x:v>
      </x:c>
      <x:c r="E260" s="17" t="n">
        <x:v>18429</x:v>
      </x:c>
      <x:c r="F260" s="17" t="n">
        <x:v>24918</x:v>
      </x:c>
      <x:c r="G260" s="17" t="n">
        <x:v>29602</x:v>
      </x:c>
      <x:c r="H260" s="17" t="n">
        <x:v>40057</x:v>
      </x:c>
      <x:c r="I260" s="3"/>
      <x:c r="J260" s="3"/>
      <x:c r="K260" s="3"/>
      <x:c r="L260" s="3"/>
      <x:c r="M260" s="3"/>
      <x:c r="N260" s="2"/>
      <x:c r="O260" s="16" t="str">
        <x:v>KPI. Definition includes JV loss in FY22/FY23; excludes other income.</x:v>
      </x:c>
    </x:row>
    <x:row r="261" ht="22" customHeight="1">
      <x:c r="A261" s="2"/>
      <x:c r="B261" s="2"/>
      <x:c r="C261" s="2" t="str">
        <x:v>Dividend per share for financial year (INR)</x:v>
      </x:c>
      <x:c r="D261" s="17" t="n">
        <x:v>14</x:v>
      </x:c>
      <x:c r="E261" s="17" t="n">
        <x:v>20</x:v>
      </x:c>
      <x:c r="F261" s="17" t="n">
        <x:v>30</x:v>
      </x:c>
      <x:c r="G261" s="17" t="n">
        <x:v>35</x:v>
      </x:c>
      <x:c r="H261" s="17" t="n">
        <x:v>47</x:v>
      </x:c>
      <x:c r="I261" s="3"/>
      <x:c r="J261" s="3"/>
      <x:c r="K261" s="3"/>
      <x:c r="L261" s="3"/>
      <x:c r="M261" s="3"/>
      <x:c r="N261" s="2"/>
      <x:c r="O261" s="16" t="str">
        <x:v>KPI. FY26 recommended dividend; cash payment occurs in following year.</x:v>
      </x:c>
    </x:row>
    <x:row r="262" ht="22" customHeight="1">
      <x:c r="A262" s="2"/>
      <x:c r="B262" s="2"/>
      <x:c r="C262" s="2" t="str">
        <x:v>Company receivable days, closing</x:v>
      </x:c>
      <x:c r="D262" s="17" t="n">
        <x:v>39</x:v>
      </x:c>
      <x:c r="E262" s="17" t="n">
        <x:v>32</x:v>
      </x:c>
      <x:c r="F262" s="17" t="n">
        <x:v>41</x:v>
      </x:c>
      <x:c r="G262" s="17" t="n">
        <x:v>42</x:v>
      </x:c>
      <x:c r="H262" s="17" t="n">
        <x:v>47</x:v>
      </x:c>
      <x:c r="I262" s="3"/>
      <x:c r="J262" s="3"/>
      <x:c r="K262" s="3"/>
      <x:c r="L262" s="3"/>
      <x:c r="M262" s="3"/>
      <x:c r="N262" s="2"/>
      <x:c r="O262" s="16" t="str">
        <x:v>KPI. </x:v>
      </x:c>
    </x:row>
    <x:row r="263" ht="22" customHeight="1">
      <x:c r="A263" s="2"/>
      <x:c r="B263" s="2"/>
      <x:c r="C263" s="2" t="str">
        <x:v>Company inventory days, closing</x:v>
      </x:c>
      <x:c r="D263" s="17" t="n">
        <x:v>85</x:v>
      </x:c>
      <x:c r="E263" s="17" t="n">
        <x:v>102</x:v>
      </x:c>
      <x:c r="F263" s="17" t="n">
        <x:v>101</x:v>
      </x:c>
      <x:c r="G263" s="17" t="n">
        <x:v>79</x:v>
      </x:c>
      <x:c r="H263" s="17" t="n">
        <x:v>94</x:v>
      </x:c>
      <x:c r="I263" s="3"/>
      <x:c r="J263" s="3"/>
      <x:c r="K263" s="3"/>
      <x:c r="L263" s="3"/>
      <x:c r="M263" s="3"/>
      <x:c r="N263" s="2"/>
      <x:c r="O263" s="16" t="str">
        <x:v>KPI. </x:v>
      </x:c>
    </x:row>
    <x:row r="264" ht="22" customHeight="1">
      <x:c r="A264" s="2"/>
      <x:c r="B264" s="2"/>
      <x:c r="C264" s="2" t="str">
        <x:v>Company payable days, closing</x:v>
      </x:c>
      <x:c r="D264" s="17" t="n">
        <x:v>63</x:v>
      </x:c>
      <x:c r="E264" s="17" t="n">
        <x:v>85</x:v>
      </x:c>
      <x:c r="F264" s="17" t="n">
        <x:v>94</x:v>
      </x:c>
      <x:c r="G264" s="17" t="n">
        <x:v>72</x:v>
      </x:c>
      <x:c r="H264" s="17" t="n">
        <x:v>130</x:v>
      </x:c>
      <x:c r="I264" s="3"/>
      <x:c r="J264" s="3"/>
      <x:c r="K264" s="3"/>
      <x:c r="L264" s="3"/>
      <x:c r="M264" s="3"/>
      <x:c r="N264" s="2"/>
      <x:c r="O264" s="16" t="str">
        <x:v>KPI. </x:v>
      </x:c>
    </x:row>
    <x:row r="265" ht="22" customHeight="1">
      <x:c r="A265" s="2"/>
      <x:c r="B265" s="2"/>
      <x:c r="C265" s="2" t="str">
        <x:v>Company net cash-cycle days, closing</x:v>
      </x:c>
      <x:c r="D265" s="17" t="n">
        <x:v>61</x:v>
      </x:c>
      <x:c r="E265" s="17" t="n">
        <x:v>50</x:v>
      </x:c>
      <x:c r="F265" s="17" t="n">
        <x:v>48</x:v>
      </x:c>
      <x:c r="G265" s="17" t="n">
        <x:v>49</x:v>
      </x:c>
      <x:c r="H265" s="17" t="n">
        <x:v>11</x:v>
      </x:c>
      <x:c r="I265" s="3"/>
      <x:c r="J265" s="3"/>
      <x:c r="K265" s="3"/>
      <x:c r="L265" s="3"/>
      <x:c r="M265" s="3"/>
      <x:c r="N265" s="2"/>
      <x:c r="O265" s="16" t="str">
        <x:v>KPI. FY26 AR Key Ratios used consistently. FY25 comparatives in Q4FY26 presentation differ.</x:v>
      </x:c>
    </x:row>
    <x:row r="266" ht="22" customHeight="1">
      <x:c r="A266" s="2"/>
      <x:c r="B266" s="2"/>
      <x:c r="C266" s="2" t="str">
        <x:v>Company ROCE</x:v>
      </x:c>
      <x:c r="D266" s="72" t="n">
        <x:v>0.204</x:v>
      </x:c>
      <x:c r="E266" s="72" t="n">
        <x:v>0.257</x:v>
      </x:c>
      <x:c r="F266" s="72" t="n">
        <x:v>0.296</x:v>
      </x:c>
      <x:c r="G266" s="72" t="n">
        <x:v>0.287</x:v>
      </x:c>
      <x:c r="H266" s="72" t="n">
        <x:v>0.313</x:v>
      </x:c>
      <x:c r="I266" s="3"/>
      <x:c r="J266" s="3"/>
      <x:c r="K266" s="3"/>
      <x:c r="L266" s="3"/>
      <x:c r="M266" s="3"/>
      <x:c r="N266" s="2"/>
      <x:c r="O266" s="16" t="str">
        <x:v>KPI. </x:v>
      </x:c>
    </x:row>
    <x:row r="267" ht="22" customHeight="1">
      <x:c r="A267" s="2"/>
      <x:c r="B267" s="2"/>
      <x:c r="C267" s="2" t="str">
        <x:v>Company ROE</x:v>
      </x:c>
      <x:c r="D267" s="72" t="n">
        <x:v>0.177</x:v>
      </x:c>
      <x:c r="E267" s="72" t="n">
        <x:v>0.21</x:v>
      </x:c>
      <x:c r="F267" s="72" t="n">
        <x:v>0.242</x:v>
      </x:c>
      <x:c r="G267" s="72" t="n">
        <x:v>0.225</x:v>
      </x:c>
      <x:c r="H267" s="72" t="n">
        <x:v>0.246</x:v>
      </x:c>
      <x:c r="I267" s="3"/>
      <x:c r="J267" s="3"/>
      <x:c r="K267" s="3"/>
      <x:c r="L267" s="3"/>
      <x:c r="M267" s="3"/>
      <x:c r="N267" s="2"/>
      <x:c r="O267" s="16" t="str">
        <x:v>KPI. </x:v>
      </x:c>
    </x:row>
    <x:row r="268" ht="22" customHeight="1">
      <x:c r="A268" s="2"/>
      <x:c r="B268" s="2"/>
      <x:c r="C268" s="2" t="str">
        <x:v>Company net cash (rounded)</x:v>
      </x:c>
      <x:c r="D268" s="3" t="str">
        <x:v>&gt;11,000</x:v>
      </x:c>
      <x:c r="E268" s="17" t="n">
        <x:v>18912</x:v>
      </x:c>
      <x:c r="F268" s="17" t="n">
        <x:v>21408</x:v>
      </x:c>
      <x:c r="G268" s="17" t="n">
        <x:v>24572</x:v>
      </x:c>
      <x:c r="H268" s="17" t="n">
        <x:v>41940</x:v>
      </x:c>
      <x:c r="I268" s="3"/>
      <x:c r="J268" s="3"/>
      <x:c r="K268" s="3"/>
      <x:c r="L268" s="3"/>
      <x:c r="M268" s="3"/>
      <x:c r="N268" s="2"/>
      <x:c r="O268" s="16" t="str">
        <x:v>KPI. Net cash = cash + bank + current investments + non-current deposits - borrowings.</x:v>
      </x:c>
    </x:row>
    <x:row r="269" ht="22" customHeight="1">
      <x:c r="A269" s="2"/>
      <x:c r="B269" s="2"/>
      <x:c r="C269" s="2" t="str">
        <x:v>Non-current deposits used in net cash</x:v>
      </x:c>
      <x:c r="D269" s="17" t="n">
        <x:v>126.23</x:v>
      </x:c>
      <x:c r="E269" s="17" t="n">
        <x:v>6.43</x:v>
      </x:c>
      <x:c r="F269" s="17" t="n">
        <x:v>58.34</x:v>
      </x:c>
      <x:c r="G269" s="17" t="n">
        <x:v>465.04</x:v>
      </x:c>
      <x:c r="H269" s="17" t="n">
        <x:v>392.09</x:v>
      </x:c>
      <x:c r="I269" s="3"/>
      <x:c r="J269" s="3"/>
      <x:c r="K269" s="3"/>
      <x:c r="L269" s="3"/>
      <x:c r="M269" s="3"/>
      <x:c r="N269" s="2"/>
      <x:c r="O269" s="16" t="str">
        <x:v>KPI. Derived from segment unallocated cash/bank less current cash/bank.</x:v>
      </x:c>
    </x:row>
    <x:row r="270" ht="20" customHeight="1">
      <x:c r="A270" s="2"/>
      <x:c r="B270" s="2"/>
      <x:c r="C270" s="2"/>
      <x:c r="D270" s="3"/>
      <x:c r="E270" s="3"/>
      <x:c r="F270" s="3"/>
      <x:c r="G270" s="3"/>
      <x:c r="H270" s="3"/>
      <x:c r="I270" s="3"/>
      <x:c r="J270" s="3"/>
      <x:c r="K270" s="3"/>
      <x:c r="L270" s="3"/>
      <x:c r="M270" s="3"/>
      <x:c r="N270" s="2"/>
      <x:c r="O270" s="2"/>
    </x:row>
    <x:row r="271" ht="20" customHeight="1">
      <x:c r="A271" s="2"/>
      <x:c r="B271" s="2"/>
      <x:c r="C271" s="2"/>
      <x:c r="D271" s="3"/>
      <x:c r="E271" s="3"/>
      <x:c r="F271" s="3"/>
      <x:c r="G271" s="3"/>
      <x:c r="H271" s="3"/>
      <x:c r="I271" s="3"/>
      <x:c r="J271" s="3"/>
      <x:c r="K271" s="3"/>
      <x:c r="L271" s="3"/>
      <x:c r="M271" s="3"/>
      <x:c r="N271" s="2"/>
      <x:c r="O271" s="2"/>
    </x:row>
    <x:row r="272" ht="20" customHeight="1">
      <x:c r="A272" s="2"/>
      <x:c r="B272" s="2"/>
      <x:c r="C272" s="2" t="str">
        <x:v>RECONCILIATIONS</x:v>
      </x:c>
      <x:c r="D272" s="3"/>
      <x:c r="E272" s="3"/>
      <x:c r="F272" s="3"/>
      <x:c r="G272" s="3"/>
      <x:c r="H272" s="3"/>
      <x:c r="I272" s="3"/>
      <x:c r="J272" s="3"/>
      <x:c r="K272" s="3"/>
      <x:c r="L272" s="3"/>
      <x:c r="M272" s="3"/>
      <x:c r="N272" s="2"/>
      <x:c r="O272" s="2"/>
    </x:row>
    <x:row r="273" ht="32" customHeight="1">
      <x:c r="A273" s="2"/>
      <x:c r="B273" s="2"/>
      <x:c r="C273" s="2" t="str">
        <x:v>P&amp;L: calculated PBT less reported</x:v>
      </x:c>
      <x:c r="D273" s="67" t="n">
        <x:f>D120-D154</x:f>
        <x:v>-9.094947017729282e-12</x:v>
      </x:c>
      <x:c r="E273" s="67" t="n">
        <x:f>E120-E154</x:f>
        <x:v>3.637978807091713e-12</x:v>
      </x:c>
      <x:c r="F273" s="67" t="n">
        <x:f>F120-F154</x:f>
        <x:v>-7.275957614183426e-12</x:v>
      </x:c>
      <x:c r="G273" s="67" t="n">
        <x:f>G120-G154</x:f>
        <x:v>1.8189894035458565e-11</x:v>
      </x:c>
      <x:c r="H273" s="67" t="n">
        <x:f>H120-H154</x:f>
        <x:v>-5.093170329928398e-11</x:v>
      </x:c>
      <x:c r="I273" s="3"/>
      <x:c r="J273" s="3"/>
      <x:c r="K273" s="3"/>
      <x:c r="L273" s="3"/>
      <x:c r="M273" s="3"/>
      <x:c r="N273" s="2"/>
      <x:c r="O273" s="16" t="str">
        <x:v>Differences shown to 0.01. Tolerance INR0.10m for source rounding. EBITDA rounded control tolerance is INR1m.</x:v>
      </x:c>
    </x:row>
    <x:row r="274" ht="20" customHeight="1">
      <x:c r="A274" s="2"/>
      <x:c r="B274" s="2"/>
      <x:c r="C274" s="2" t="str">
        <x:v>PAT: calculated less reported</x:v>
      </x:c>
      <x:c r="D274" s="67" t="n">
        <x:f>D124-D159</x:f>
        <x:v>0</x:v>
      </x:c>
      <x:c r="E274" s="67" t="n">
        <x:f>E124-E159</x:f>
        <x:v>0</x:v>
      </x:c>
      <x:c r="F274" s="67" t="n">
        <x:f>F124-F159</x:f>
        <x:v>0</x:v>
      </x:c>
      <x:c r="G274" s="67" t="n">
        <x:f>G124-G159</x:f>
        <x:v>3.637978807091713e-12</x:v>
      </x:c>
      <x:c r="H274" s="67" t="n">
        <x:f>H124-H159</x:f>
        <x:v>0</x:v>
      </x:c>
      <x:c r="I274" s="3"/>
      <x:c r="J274" s="3"/>
      <x:c r="K274" s="3"/>
      <x:c r="L274" s="3"/>
      <x:c r="M274" s="3"/>
      <x:c r="N274" s="2"/>
      <x:c r="O274" s="2"/>
    </x:row>
    <x:row r="275" ht="20" customHeight="1">
      <x:c r="A275" s="2"/>
      <x:c r="B275" s="2"/>
      <x:c r="C275" s="2" t="str">
        <x:v>Non-current assets: detail less reported</x:v>
      </x:c>
      <x:c r="D275" s="67" t="n">
        <x:f>SUM(D168:D179)-D180</x:f>
        <x:v>3.637978807091713e-12</x:v>
      </x:c>
      <x:c r="E275" s="67" t="n">
        <x:f>SUM(E168:E179)-E180</x:f>
        <x:v>-3.637978807091713e-12</x:v>
      </x:c>
      <x:c r="F275" s="67" t="n">
        <x:f>SUM(F168:F179)-F180</x:f>
        <x:v>-7.275957614183426e-12</x:v>
      </x:c>
      <x:c r="G275" s="67" t="n">
        <x:f>SUM(G168:G179)-G180</x:f>
        <x:v>0</x:v>
      </x:c>
      <x:c r="H275" s="67" t="n">
        <x:f>SUM(H168:H179)-H180</x:f>
        <x:v>-7.275957614183426e-12</x:v>
      </x:c>
      <x:c r="I275" s="3"/>
      <x:c r="J275" s="3"/>
      <x:c r="K275" s="3"/>
      <x:c r="L275" s="3"/>
      <x:c r="M275" s="3"/>
      <x:c r="N275" s="2"/>
      <x:c r="O275" s="2"/>
    </x:row>
    <x:row r="276" ht="20" customHeight="1">
      <x:c r="A276" s="2"/>
      <x:c r="B276" s="2"/>
      <x:c r="C276" s="2" t="str">
        <x:v>Current assets: detail less reported</x:v>
      </x:c>
      <x:c r="D276" s="67" t="n">
        <x:f>SUM(D181:D188)-D189</x:f>
        <x:v>7.275957614183426e-12</x:v>
      </x:c>
      <x:c r="E276" s="67" t="n">
        <x:f>SUM(E181:E188)-E189</x:f>
        <x:v>-1.4551915228366852e-11</x:v>
      </x:c>
      <x:c r="F276" s="67" t="n">
        <x:f>SUM(F181:F188)-F189</x:f>
        <x:v>0</x:v>
      </x:c>
      <x:c r="G276" s="67" t="n">
        <x:f>SUM(G181:G188)-G189</x:f>
        <x:v>0</x:v>
      </x:c>
      <x:c r="H276" s="67" t="n">
        <x:f>SUM(H181:H188)-H189</x:f>
        <x:v>-2.9103830456733704e-11</x:v>
      </x:c>
      <x:c r="I276" s="3"/>
      <x:c r="J276" s="3"/>
      <x:c r="K276" s="3"/>
      <x:c r="L276" s="3"/>
      <x:c r="M276" s="3"/>
      <x:c r="N276" s="2"/>
      <x:c r="O276" s="2"/>
    </x:row>
    <x:row r="277" ht="20" customHeight="1">
      <x:c r="A277" s="2"/>
      <x:c r="B277" s="2"/>
      <x:c r="C277" s="2" t="str">
        <x:v>Balance sheet: assets less equity/liabilities</x:v>
      </x:c>
      <x:c r="D277" s="67" t="n">
        <x:f>D191-SUM(D192:D194)-D201-D211</x:f>
        <x:v>-3.637978807091713e-12</x:v>
      </x:c>
      <x:c r="E277" s="67" t="n">
        <x:f>E191-SUM(E192:E194)-E201-E211</x:f>
        <x:v>0</x:v>
      </x:c>
      <x:c r="F277" s="67" t="n">
        <x:f>F191-SUM(F192:F194)-F201-F211</x:f>
        <x:v>-7.275957614183426e-12</x:v>
      </x:c>
      <x:c r="G277" s="67" t="n">
        <x:f>G191-SUM(G192:G194)-G201-G211</x:f>
        <x:v>1.4551915228366852e-11</x:v>
      </x:c>
      <x:c r="H277" s="67" t="n">
        <x:f>H191-SUM(H192:H194)-H201-H211</x:f>
        <x:v>0</x:v>
      </x:c>
      <x:c r="I277" s="3"/>
      <x:c r="J277" s="3"/>
      <x:c r="K277" s="3"/>
      <x:c r="L277" s="3"/>
      <x:c r="M277" s="3"/>
      <x:c r="N277" s="2"/>
      <x:c r="O277" s="2"/>
    </x:row>
    <x:row r="278" ht="20" customHeight="1">
      <x:c r="A278" s="2"/>
      <x:c r="B278" s="2"/>
      <x:c r="C278" s="2" t="str">
        <x:v>Non-current liabilities: detail less reported</x:v>
      </x:c>
      <x:c r="D278" s="67" t="n">
        <x:f>SUM(D195:D200)-D201</x:f>
        <x:v>-1.1368683772161603e-13</x:v>
      </x:c>
      <x:c r="E278" s="67" t="n">
        <x:f>SUM(E195:E200)-E201</x:f>
        <x:v>2.2737367544323206e-13</x:v>
      </x:c>
      <x:c r="F278" s="67" t="n">
        <x:f>SUM(F195:F200)-F201</x:f>
        <x:v>0</x:v>
      </x:c>
      <x:c r="G278" s="67" t="n">
        <x:f>SUM(G195:G200)-G201</x:f>
        <x:v>0</x:v>
      </x:c>
      <x:c r="H278" s="67" t="n">
        <x:f>SUM(H195:H200)-H201</x:f>
        <x:v>4.547473508864641e-13</x:v>
      </x:c>
      <x:c r="I278" s="3"/>
      <x:c r="J278" s="3"/>
      <x:c r="K278" s="3"/>
      <x:c r="L278" s="3"/>
      <x:c r="M278" s="3"/>
      <x:c r="N278" s="2"/>
      <x:c r="O278" s="2"/>
    </x:row>
    <x:row r="279" ht="20" customHeight="1">
      <x:c r="A279" s="2"/>
      <x:c r="B279" s="2"/>
      <x:c r="C279" s="2" t="str">
        <x:v>Current liabilities: detail less reported</x:v>
      </x:c>
      <x:c r="D279" s="67" t="n">
        <x:f>SUM(D202:D210)-D211</x:f>
        <x:v>0</x:v>
      </x:c>
      <x:c r="E279" s="67" t="n">
        <x:f>SUM(E202:E210)-E211</x:f>
        <x:v>-3.637978807091713e-12</x:v>
      </x:c>
      <x:c r="F279" s="67" t="n">
        <x:f>SUM(F202:F210)-F211</x:f>
        <x:v>7.275957614183426e-12</x:v>
      </x:c>
      <x:c r="G279" s="67" t="n">
        <x:f>SUM(G202:G210)-G211</x:f>
        <x:v>0</x:v>
      </x:c>
      <x:c r="H279" s="67" t="n">
        <x:f>SUM(H202:H210)-H211</x:f>
        <x:v>0</x:v>
      </x:c>
      <x:c r="I279" s="3"/>
      <x:c r="J279" s="3"/>
      <x:c r="K279" s="3"/>
      <x:c r="L279" s="3"/>
      <x:c r="M279" s="3"/>
      <x:c r="N279" s="2"/>
      <x:c r="O279" s="2"/>
    </x:row>
    <x:row r="280" ht="20" customHeight="1">
      <x:c r="A280" s="2"/>
      <x:c r="B280" s="2"/>
      <x:c r="C280" s="2" t="str">
        <x:v>Operating cash flow bridge</x:v>
      </x:c>
      <x:c r="D280" s="67" t="n">
        <x:f>D213+SUM(D214:D222)+D224-D225</x:f>
        <x:v>9.094947017729282e-13</x:v>
      </x:c>
      <x:c r="E280" s="67" t="n">
        <x:f>E213+SUM(E214:E222)+E224-E225</x:f>
        <x:v>1.8189894035458565e-12</x:v>
      </x:c>
      <x:c r="F280" s="67" t="n">
        <x:f>F213+SUM(F214:F222)+F224-F225</x:f>
        <x:v>0</x:v>
      </x:c>
      <x:c r="G280" s="67" t="n">
        <x:f>G213+SUM(G214:G222)+G224-G225</x:f>
        <x:v>0</x:v>
      </x:c>
      <x:c r="H280" s="67" t="n">
        <x:f>H213+SUM(H214:H222)+H224-H225</x:f>
        <x:v>7.275957614183426e-12</x:v>
      </x:c>
      <x:c r="I280" s="3"/>
      <x:c r="J280" s="3"/>
      <x:c r="K280" s="3"/>
      <x:c r="L280" s="3"/>
      <x:c r="M280" s="3"/>
      <x:c r="N280" s="2"/>
      <x:c r="O280" s="2"/>
    </x:row>
    <x:row r="281" ht="20" customHeight="1">
      <x:c r="A281" s="2"/>
      <x:c r="B281" s="2"/>
      <x:c r="C281" s="2" t="str">
        <x:v>Investing cash flow: detail less reported</x:v>
      </x:c>
      <x:c r="D281" s="67" t="n">
        <x:f>SUM(D226:D239)-D240</x:f>
        <x:v>7.275957614183426e-12</x:v>
      </x:c>
      <x:c r="E281" s="67" t="n">
        <x:f>SUM(E226:E239)-E240</x:f>
        <x:v>1.6370904631912708e-11</x:v>
      </x:c>
      <x:c r="F281" s="67" t="n">
        <x:f>SUM(F226:F239)-F240</x:f>
        <x:v>-5.4569682106375694e-12</x:v>
      </x:c>
      <x:c r="G281" s="67" t="n">
        <x:f>SUM(G226:G239)-G240</x:f>
        <x:v>5.4569682106375694e-12</x:v>
      </x:c>
      <x:c r="H281" s="67" t="n">
        <x:f>SUM(H226:H239)-H240</x:f>
        <x:v>3.637978807091713e-12</x:v>
      </x:c>
      <x:c r="I281" s="3"/>
      <x:c r="J281" s="3"/>
      <x:c r="K281" s="3"/>
      <x:c r="L281" s="3"/>
      <x:c r="M281" s="3"/>
      <x:c r="N281" s="2"/>
      <x:c r="O281" s="2"/>
    </x:row>
    <x:row r="282" ht="20" customHeight="1">
      <x:c r="A282" s="2"/>
      <x:c r="B282" s="2"/>
      <x:c r="C282" s="2" t="str">
        <x:v>Financing cash flow: detail less reported</x:v>
      </x:c>
      <x:c r="D282" s="67" t="n">
        <x:f>SUM(D241:D248)-D249</x:f>
        <x:v>2.2737367544323206e-13</x:v>
      </x:c>
      <x:c r="E282" s="67" t="n">
        <x:f>SUM(E241:E248)-E249</x:f>
        <x:v>0</x:v>
      </x:c>
      <x:c r="F282" s="67" t="n">
        <x:f>SUM(F241:F248)-F249</x:f>
        <x:v>0</x:v>
      </x:c>
      <x:c r="G282" s="67" t="n">
        <x:f>SUM(G241:G248)-G249</x:f>
        <x:v>0</x:v>
      </x:c>
      <x:c r="H282" s="67" t="n">
        <x:f>SUM(H241:H248)-H249</x:f>
        <x:v>0</x:v>
      </x:c>
      <x:c r="I282" s="3"/>
      <x:c r="J282" s="3"/>
      <x:c r="K282" s="3"/>
      <x:c r="L282" s="3"/>
      <x:c r="M282" s="3"/>
      <x:c r="N282" s="2"/>
      <x:c r="O282" s="2"/>
    </x:row>
    <x:row r="283" ht="20" customHeight="1">
      <x:c r="A283" s="2"/>
      <x:c r="B283" s="2"/>
      <x:c r="C283" s="2" t="str">
        <x:v>Change in cash: flows less reported</x:v>
      </x:c>
      <x:c r="D283" s="67" t="n">
        <x:f>D225+D240+D249-D250</x:f>
        <x:v>-6.821210263296962e-13</x:v>
      </x:c>
      <x:c r="E283" s="67" t="n">
        <x:f>E225+E240+E249-E250</x:f>
        <x:v>1.9895196601282805e-13</x:v>
      </x:c>
      <x:c r="F283" s="67" t="n">
        <x:f>F225+F240+F249-F250</x:f>
        <x:v>-9.094947017729282e-13</x:v>
      </x:c>
      <x:c r="G283" s="67" t="n">
        <x:f>G225+G240+G249-G250</x:f>
        <x:v>6.821210263296962e-13</x:v>
      </x:c>
      <x:c r="H283" s="67" t="n">
        <x:f>H225+H240+H249-H250</x:f>
        <x:v>-3.183231456205249e-12</x:v>
      </x:c>
      <x:c r="I283" s="3"/>
      <x:c r="J283" s="3"/>
      <x:c r="K283" s="3"/>
      <x:c r="L283" s="3"/>
      <x:c r="M283" s="3"/>
      <x:c r="N283" s="2"/>
      <x:c r="O283" s="2"/>
    </x:row>
    <x:row r="284" ht="20" customHeight="1">
      <x:c r="A284" s="2"/>
      <x:c r="B284" s="2"/>
      <x:c r="C284" s="2" t="str">
        <x:v>Cash flow cash less balance-sheet cash net of credit</x:v>
      </x:c>
      <x:c r="D284" s="67" t="n">
        <x:f>D252-D184+D253</x:f>
        <x:v>1.81903103690928e-14</x:v>
      </x:c>
      <x:c r="E284" s="67" t="n">
        <x:f>E252-E184+E253</x:f>
        <x:v>1.1368683772161603e-13</x:v>
      </x:c>
      <x:c r="F284" s="67" t="n">
        <x:f>F252-F184+F253</x:f>
        <x:v>1.1368683772161603e-13</x:v>
      </x:c>
      <x:c r="G284" s="67" t="n">
        <x:f>G252-G184+G253</x:f>
        <x:v>0</x:v>
      </x:c>
      <x:c r="H284" s="67" t="n">
        <x:f>H252-H184+H253</x:f>
        <x:v>1.1368683772161603e-13</x:v>
      </x:c>
      <x:c r="I284" s="3"/>
      <x:c r="J284" s="3"/>
      <x:c r="K284" s="3"/>
      <x:c r="L284" s="3"/>
      <x:c r="M284" s="3"/>
      <x:c r="N284" s="2"/>
      <x:c r="O284" s="2"/>
    </x:row>
    <x:row r="285" ht="20" customHeight="1">
      <x:c r="A285" s="2"/>
      <x:c r="B285" s="2"/>
      <x:c r="C285" s="2" t="str">
        <x:v>Reported capex less net cash capex</x:v>
      </x:c>
      <x:c r="D285" s="67" t="n">
        <x:f>D258-D129</x:f>
        <x:v>0</x:v>
      </x:c>
      <x:c r="E285" s="67" t="n">
        <x:f>E258-E129</x:f>
        <x:v>9.094947017729282e-13</x:v>
      </x:c>
      <x:c r="F285" s="67" t="n">
        <x:f>F258-F129</x:f>
        <x:v>0.010000000000218279</x:v>
      </x:c>
      <x:c r="G285" s="67" t="n">
        <x:f>G258-G129</x:f>
        <x:v>-0.020000000000436557</x:v>
      </x:c>
      <x:c r="H285" s="67" t="n">
        <x:f>H258-H129</x:f>
        <x:v>-1.8189894035458565e-12</x:v>
      </x:c>
      <x:c r="I285" s="3"/>
      <x:c r="J285" s="3"/>
      <x:c r="K285" s="3"/>
      <x:c r="L285" s="3"/>
      <x:c r="M285" s="3"/>
      <x:c r="N285" s="2"/>
      <x:c r="O285" s="2"/>
    </x:row>
    <x:row r="286" ht="20" customHeight="1">
      <x:c r="A286" s="2"/>
      <x:c r="B286" s="2"/>
      <x:c r="C286" s="2"/>
      <x:c r="D286" s="3"/>
      <x:c r="E286" s="3"/>
      <x:c r="F286" s="3"/>
      <x:c r="G286" s="3"/>
      <x:c r="H286" s="3"/>
      <x:c r="I286" s="3"/>
      <x:c r="J286" s="3"/>
      <x:c r="K286" s="3"/>
      <x:c r="L286" s="3"/>
      <x:c r="M286" s="3"/>
      <x:c r="N286" s="2"/>
      <x:c r="O286" s="2"/>
    </x:row>
    <x:row r="287" ht="20" customHeight="1">
      <x:c r="A287" s="2"/>
      <x:c r="B287" s="2"/>
      <x:c r="C287" s="2"/>
      <x:c r="D287" s="3"/>
      <x:c r="E287" s="3"/>
      <x:c r="F287" s="3"/>
      <x:c r="G287" s="3"/>
      <x:c r="H287" s="3"/>
      <x:c r="I287" s="3"/>
      <x:c r="J287" s="3"/>
      <x:c r="K287" s="3"/>
      <x:c r="L287" s="3"/>
      <x:c r="M287" s="3"/>
      <x:c r="N287" s="2"/>
      <x:c r="O287" s="2"/>
    </x:row>
    <x:row r="288" ht="20" customHeight="1">
      <x:c r="A288" s="2"/>
      <x:c r="B288" s="2"/>
      <x:c r="C288" s="2"/>
      <x:c r="D288" s="3"/>
      <x:c r="E288" s="3"/>
      <x:c r="F288" s="3"/>
      <x:c r="G288" s="3"/>
      <x:c r="H288" s="3"/>
      <x:c r="I288" s="3"/>
      <x:c r="J288" s="3"/>
      <x:c r="K288" s="3"/>
      <x:c r="L288" s="3"/>
      <x:c r="M288" s="3"/>
      <x:c r="N288" s="2"/>
      <x:c r="O288" s="2"/>
    </x:row>
    <x:row r="289" ht="20" customHeight="1">
      <x:c r="A289" s="2"/>
      <x:c r="B289" s="2"/>
      <x:c r="C289" s="2"/>
      <x:c r="D289" s="3"/>
      <x:c r="E289" s="3"/>
      <x:c r="F289" s="3"/>
      <x:c r="G289" s="3"/>
      <x:c r="H289" s="3"/>
      <x:c r="I289" s="3"/>
      <x:c r="J289" s="3"/>
      <x:c r="K289" s="3"/>
      <x:c r="L289" s="3"/>
      <x:c r="M289" s="3"/>
      <x:c r="N289" s="2"/>
      <x:c r="O289" s="2"/>
    </x:row>
    <x:row r="290" ht="20" customHeight="1">
      <x:c r="A290" s="2"/>
      <x:c r="B290" s="2"/>
      <x:c r="C290" s="2"/>
      <x:c r="D290" s="3"/>
      <x:c r="E290" s="3"/>
      <x:c r="F290" s="3"/>
      <x:c r="G290" s="3"/>
      <x:c r="H290" s="3"/>
      <x:c r="I290" s="3"/>
      <x:c r="J290" s="3"/>
      <x:c r="K290" s="3"/>
      <x:c r="L290" s="3"/>
      <x:c r="M290" s="3"/>
      <x:c r="N290" s="2"/>
      <x:c r="O290" s="2"/>
    </x:row>
    <x:row r="291" ht="20" customHeight="1">
      <x:c r="A291" s="2"/>
      <x:c r="B291" s="2"/>
      <x:c r="C291" s="2"/>
      <x:c r="D291" s="3"/>
      <x:c r="E291" s="3"/>
      <x:c r="F291" s="3"/>
      <x:c r="G291" s="3"/>
      <x:c r="H291" s="3"/>
      <x:c r="I291" s="3"/>
      <x:c r="J291" s="3"/>
      <x:c r="K291" s="3"/>
      <x:c r="L291" s="3"/>
      <x:c r="M291" s="3"/>
      <x:c r="N291" s="2"/>
      <x:c r="O291" s="2"/>
    </x:row>
    <x:row r="292" ht="20" customHeight="1">
      <x:c r="A292" s="2"/>
      <x:c r="B292" s="2"/>
      <x:c r="C292" s="2"/>
      <x:c r="D292" s="3"/>
      <x:c r="E292" s="3"/>
      <x:c r="F292" s="3"/>
      <x:c r="G292" s="3"/>
      <x:c r="H292" s="3"/>
      <x:c r="I292" s="3"/>
      <x:c r="J292" s="3"/>
      <x:c r="K292" s="3"/>
      <x:c r="L292" s="3"/>
      <x:c r="M292" s="3"/>
      <x:c r="N292" s="2"/>
      <x:c r="O292" s="2"/>
    </x:row>
    <x:row r="293" ht="20" customHeight="1">
      <x:c r="A293" s="2"/>
      <x:c r="B293" s="2"/>
      <x:c r="C293" s="2"/>
      <x:c r="D293" s="3"/>
      <x:c r="E293" s="3"/>
      <x:c r="F293" s="3"/>
      <x:c r="G293" s="3"/>
      <x:c r="H293" s="3"/>
      <x:c r="I293" s="3"/>
      <x:c r="J293" s="3"/>
      <x:c r="K293" s="3"/>
      <x:c r="L293" s="3"/>
      <x:c r="M293" s="3"/>
      <x:c r="N293" s="2"/>
      <x:c r="O293" s="2"/>
    </x:row>
    <x:row r="294" ht="20" customHeight="1">
      <x:c r="A294" s="2"/>
      <x:c r="B294" s="2"/>
      <x:c r="C294" s="2"/>
      <x:c r="D294" s="3"/>
      <x:c r="E294" s="3"/>
      <x:c r="F294" s="3"/>
      <x:c r="G294" s="3"/>
      <x:c r="H294" s="3"/>
      <x:c r="I294" s="3"/>
      <x:c r="J294" s="3"/>
      <x:c r="K294" s="3"/>
      <x:c r="L294" s="3"/>
      <x:c r="M294" s="3"/>
      <x:c r="N294" s="2"/>
      <x:c r="O294" s="2"/>
    </x:row>
    <x:row r="295" ht="20" customHeight="1">
      <x:c r="A295" s="2"/>
      <x:c r="B295" s="2"/>
      <x:c r="C295" s="2"/>
      <x:c r="D295" s="3"/>
      <x:c r="E295" s="3"/>
      <x:c r="F295" s="3"/>
      <x:c r="G295" s="3"/>
      <x:c r="H295" s="3"/>
      <x:c r="I295" s="3"/>
      <x:c r="J295" s="3"/>
      <x:c r="K295" s="3"/>
      <x:c r="L295" s="3"/>
      <x:c r="M295" s="3"/>
      <x:c r="N295" s="2"/>
      <x:c r="O295" s="2"/>
    </x:row>
    <x:row r="296" ht="20" customHeight="1">
      <x:c r="A296" s="2"/>
      <x:c r="B296" s="2"/>
      <x:c r="C296" s="2"/>
      <x:c r="D296" s="3"/>
      <x:c r="E296" s="3"/>
      <x:c r="F296" s="3"/>
      <x:c r="G296" s="3"/>
      <x:c r="H296" s="3"/>
      <x:c r="I296" s="3"/>
      <x:c r="J296" s="3"/>
      <x:c r="K296" s="3"/>
      <x:c r="L296" s="3"/>
      <x:c r="M296" s="3"/>
      <x:c r="N296" s="2"/>
      <x:c r="O296" s="2"/>
    </x:row>
    <x:row r="297" ht="20" customHeight="1">
      <x:c r="A297" s="2"/>
      <x:c r="B297" s="2"/>
      <x:c r="C297" s="2"/>
      <x:c r="D297" s="3"/>
      <x:c r="E297" s="3"/>
      <x:c r="F297" s="3"/>
      <x:c r="G297" s="3"/>
      <x:c r="H297" s="3"/>
      <x:c r="I297" s="3"/>
      <x:c r="J297" s="3"/>
      <x:c r="K297" s="3"/>
      <x:c r="L297" s="3"/>
      <x:c r="M297" s="3"/>
      <x:c r="N297" s="2"/>
      <x:c r="O297" s="2"/>
    </x:row>
    <x:row r="298" ht="20" customHeight="1">
      <x:c r="A298" s="2"/>
      <x:c r="B298" s="2"/>
      <x:c r="C298" s="2"/>
      <x:c r="D298" s="3"/>
      <x:c r="E298" s="3"/>
      <x:c r="F298" s="3"/>
      <x:c r="G298" s="3"/>
      <x:c r="H298" s="3"/>
      <x:c r="I298" s="3"/>
      <x:c r="J298" s="3"/>
      <x:c r="K298" s="3"/>
      <x:c r="L298" s="3"/>
      <x:c r="M298" s="3"/>
      <x:c r="N298" s="2"/>
      <x:c r="O298" s="2"/>
    </x:row>
    <x:row r="299" ht="20" customHeight="1">
      <x:c r="A299" s="2"/>
      <x:c r="B299" s="2"/>
      <x:c r="C299" s="2"/>
      <x:c r="D299" s="3"/>
      <x:c r="E299" s="3"/>
      <x:c r="F299" s="3"/>
      <x:c r="G299" s="3"/>
      <x:c r="H299" s="3"/>
      <x:c r="I299" s="3"/>
      <x:c r="J299" s="3"/>
      <x:c r="K299" s="3"/>
      <x:c r="L299" s="3"/>
      <x:c r="M299" s="3"/>
      <x:c r="N299" s="2"/>
      <x:c r="O299" s="2"/>
    </x:row>
    <x:row r="300" ht="20" customHeight="1">
      <x:c r="A300" s="2"/>
      <x:c r="B300" s="2"/>
      <x:c r="C300" s="2"/>
      <x:c r="D300" s="3"/>
      <x:c r="E300" s="3"/>
      <x:c r="F300" s="3"/>
      <x:c r="G300" s="3"/>
      <x:c r="H300" s="3"/>
      <x:c r="I300" s="3"/>
      <x:c r="J300" s="3"/>
      <x:c r="K300" s="3"/>
      <x:c r="L300" s="3"/>
      <x:c r="M300" s="3"/>
      <x:c r="N300" s="2"/>
      <x:c r="O300" s="2"/>
    </x:row>
    <x:row r="301" ht="20" customHeight="1">
      <x:c r="A301" s="2"/>
      <x:c r="B301" s="2"/>
      <x:c r="C301" s="2"/>
      <x:c r="D301" s="3"/>
      <x:c r="E301" s="3"/>
      <x:c r="F301" s="3"/>
      <x:c r="G301" s="3"/>
      <x:c r="H301" s="3"/>
      <x:c r="I301" s="3"/>
      <x:c r="J301" s="3"/>
      <x:c r="K301" s="3"/>
      <x:c r="L301" s="3"/>
      <x:c r="M301" s="3"/>
      <x:c r="N301" s="2"/>
      <x:c r="O301" s="2"/>
    </x:row>
    <x:row r="302" ht="24" customHeight="1">
      <x:c r="A302" s="2"/>
      <x:c r="B302" s="2"/>
      <x:c r="C302" s="11" t="str">
        <x:v>Historical segment disclosures and operating KPIs</x:v>
      </x:c>
      <x:c r="D302" s="19"/>
      <x:c r="E302" s="19"/>
      <x:c r="F302" s="19"/>
      <x:c r="G302" s="19"/>
      <x:c r="H302" s="19"/>
      <x:c r="I302" s="19"/>
      <x:c r="J302" s="19"/>
      <x:c r="K302" s="19"/>
      <x:c r="L302" s="19"/>
      <x:c r="M302" s="19"/>
      <x:c r="N302" s="2"/>
      <x:c r="O302" s="2"/>
    </x:row>
    <x:row r="303" ht="20" customHeight="1">
      <x:c r="A303" s="2"/>
      <x:c r="B303" s="2"/>
      <x:c r="C303" s="2"/>
      <x:c r="D303" s="3"/>
      <x:c r="E303" s="3"/>
      <x:c r="F303" s="3"/>
      <x:c r="G303" s="3"/>
      <x:c r="H303" s="3"/>
      <x:c r="I303" s="3"/>
      <x:c r="J303" s="3"/>
      <x:c r="K303" s="3"/>
      <x:c r="L303" s="3"/>
      <x:c r="M303" s="3"/>
      <x:c r="N303" s="2"/>
      <x:c r="O303" s="2"/>
    </x:row>
    <x:row r="304" ht="20" customHeight="1">
      <x:c r="A304" s="2"/>
      <x:c r="B304" s="2"/>
      <x:c r="C304" s="2" t="str">
        <x:v>External segment income includes allocated non-finance other income. EPC was previously called Others.</x:v>
      </x:c>
      <x:c r="D304" s="3"/>
      <x:c r="E304" s="3"/>
      <x:c r="F304" s="3"/>
      <x:c r="G304" s="3"/>
      <x:c r="H304" s="3"/>
      <x:c r="I304" s="3"/>
      <x:c r="J304" s="3"/>
      <x:c r="K304" s="3"/>
      <x:c r="L304" s="3"/>
      <x:c r="M304" s="3"/>
      <x:c r="N304" s="2"/>
      <x:c r="O304" s="2"/>
    </x:row>
    <x:row r="305" ht="20" customHeight="1">
      <x:c r="A305" s="2"/>
      <x:c r="B305" s="2"/>
      <x:c r="C305" s="2"/>
      <x:c r="D305" s="3"/>
      <x:c r="E305" s="3"/>
      <x:c r="F305" s="3"/>
      <x:c r="G305" s="3"/>
      <x:c r="H305" s="3"/>
      <x:c r="I305" s="3"/>
      <x:c r="J305" s="3"/>
      <x:c r="K305" s="3"/>
      <x:c r="L305" s="3"/>
      <x:c r="M305" s="3"/>
      <x:c r="N305" s="2"/>
      <x:c r="O305" s="2"/>
    </x:row>
    <x:row r="306" ht="20" customHeight="1">
      <x:c r="A306" s="2"/>
      <x:c r="B306" s="2"/>
      <x:c r="C306" s="2" t="str">
        <x:v>INR million, unless specified</x:v>
      </x:c>
      <x:c r="D306" s="21" t="str">
        <x:v>FY22A</x:v>
      </x:c>
      <x:c r="E306" s="21" t="str">
        <x:v>FY23A</x:v>
      </x:c>
      <x:c r="F306" s="21" t="str">
        <x:v>FY24A</x:v>
      </x:c>
      <x:c r="G306" s="21" t="str">
        <x:v>FY25A</x:v>
      </x:c>
      <x:c r="H306" s="21" t="str">
        <x:v>FY26A</x:v>
      </x:c>
      <x:c r="I306" s="3"/>
      <x:c r="J306" s="3"/>
      <x:c r="K306" s="3"/>
      <x:c r="L306" s="3"/>
      <x:c r="M306" s="3"/>
      <x:c r="N306" s="2"/>
      <x:c r="O306" s="2"/>
    </x:row>
    <x:row r="307" ht="20" customHeight="1">
      <x:c r="A307" s="2"/>
      <x:c r="B307" s="2"/>
      <x:c r="C307" s="2"/>
      <x:c r="D307" s="3"/>
      <x:c r="E307" s="3"/>
      <x:c r="F307" s="3"/>
      <x:c r="G307" s="3"/>
      <x:c r="H307" s="3"/>
      <x:c r="I307" s="3"/>
      <x:c r="J307" s="3"/>
      <x:c r="K307" s="3"/>
      <x:c r="L307" s="3"/>
      <x:c r="M307" s="3"/>
      <x:c r="N307" s="2"/>
      <x:c r="O307" s="2"/>
    </x:row>
    <x:row r="308" ht="20" customHeight="1">
      <x:c r="A308" s="2"/>
      <x:c r="B308" s="2"/>
      <x:c r="C308" s="2" t="str">
        <x:v>Total external segment income</x:v>
      </x:c>
      <x:c r="D308" s="14" t="n">
        <x:f>SUM(D341:D343)</x:f>
        <x:v>122439.92</x:v>
      </x:c>
      <x:c r="E308" s="14" t="n">
        <x:f>SUM(E341:E343)</x:f>
        <x:v>141464.83</x:v>
      </x:c>
      <x:c r="F308" s="14" t="n">
        <x:f>SUM(F341:F343)</x:f>
        <x:v>181392.13</x:v>
      </x:c>
      <x:c r="G308" s="14" t="n">
        <x:f>SUM(G341:G343)</x:f>
        <x:v>224608.84000000003</x:v>
      </x:c>
      <x:c r="H308" s="14" t="n">
        <x:f>SUM(H341:H343)</x:f>
        <x:v>289147.05</x:v>
      </x:c>
      <x:c r="I308" s="3"/>
      <x:c r="J308" s="3"/>
      <x:c r="K308" s="3"/>
      <x:c r="L308" s="3"/>
      <x:c r="M308" s="3"/>
      <x:c r="N308" s="2"/>
      <x:c r="O308" s="2"/>
    </x:row>
    <x:row r="309" ht="20" customHeight="1">
      <x:c r="A309" s="2"/>
      <x:c r="B309" s="2"/>
      <x:c r="C309" s="2" t="str">
        <x:v>Less: allocated non-finance other income</x:v>
      </x:c>
      <x:c r="D309" s="22" t="n">
        <x:f>'01_Historical+Segments'!D144-'01_Historical+Segments'!D259</x:f>
        <x:v>402.31</x:v>
      </x:c>
      <x:c r="E309" s="22" t="n">
        <x:f>'01_Historical+Segments'!E144-'01_Historical+Segments'!E259</x:f>
        <x:v>387.04999999999995</x:v>
      </x:c>
      <x:c r="F309" s="22" t="n">
        <x:f>'01_Historical+Segments'!F144-'01_Historical+Segments'!F259</x:f>
        <x:v>997.69</x:v>
      </x:c>
      <x:c r="G309" s="22" t="n">
        <x:f>'01_Historical+Segments'!G144-'01_Historical+Segments'!G259</x:f>
        <x:v>525.71</x:v>
      </x:c>
      <x:c r="H309" s="22" t="n">
        <x:f>'01_Historical+Segments'!H144-'01_Historical+Segments'!H259</x:f>
        <x:v>309.1300000000001</x:v>
      </x:c>
      <x:c r="I309" s="3"/>
      <x:c r="J309" s="3"/>
      <x:c r="K309" s="3"/>
      <x:c r="L309" s="3"/>
      <x:c r="M309" s="3"/>
      <x:c r="N309" s="2"/>
      <x:c r="O309" s="2"/>
    </x:row>
    <x:row r="310" ht="20" customHeight="1">
      <x:c r="A310" s="2"/>
      <x:c r="B310" s="2"/>
      <x:c r="C310" s="2" t="str">
        <x:v>Revenue from operations</x:v>
      </x:c>
      <x:c r="D310" s="14" t="n">
        <x:f>D308-D309</x:f>
        <x:v>122037.61</x:v>
      </x:c>
      <x:c r="E310" s="14" t="n">
        <x:f>E308-E309</x:f>
        <x:v>141077.78</x:v>
      </x:c>
      <x:c r="F310" s="14" t="n">
        <x:f>F308-F309</x:f>
        <x:v>180394.44</x:v>
      </x:c>
      <x:c r="G310" s="14" t="n">
        <x:f>G308-G309</x:f>
        <x:v>224083.13000000003</x:v>
      </x:c>
      <x:c r="H310" s="14" t="n">
        <x:f>H308-H309</x:f>
        <x:v>288837.92</x:v>
      </x:c>
      <x:c r="I310" s="3"/>
      <x:c r="J310" s="3"/>
      <x:c r="K310" s="3"/>
      <x:c r="L310" s="3"/>
      <x:c r="M310" s="3"/>
      <x:c r="N310" s="2"/>
      <x:c r="O310" s="2"/>
    </x:row>
    <x:row r="311" ht="20" customHeight="1">
      <x:c r="A311" s="2"/>
      <x:c r="B311" s="2"/>
      <x:c r="C311" s="2" t="str">
        <x:v>Revenue reconciliation difference</x:v>
      </x:c>
      <x:c r="D311" s="22" t="n">
        <x:f>D310-'01_Historical+Segments'!D143</x:f>
        <x:v>0</x:v>
      </x:c>
      <x:c r="E311" s="22" t="n">
        <x:f>E310-'01_Historical+Segments'!E143</x:f>
        <x:v>0</x:v>
      </x:c>
      <x:c r="F311" s="22" t="n">
        <x:f>F310-'01_Historical+Segments'!F143</x:f>
        <x:v>0</x:v>
      </x:c>
      <x:c r="G311" s="22" t="n">
        <x:f>G310-'01_Historical+Segments'!G143</x:f>
        <x:v>2.9103830456733704e-11</x:v>
      </x:c>
      <x:c r="H311" s="22" t="n">
        <x:f>H310-'01_Historical+Segments'!H143</x:f>
        <x:v>0</x:v>
      </x:c>
      <x:c r="I311" s="3"/>
      <x:c r="J311" s="3"/>
      <x:c r="K311" s="3"/>
      <x:c r="L311" s="3"/>
      <x:c r="M311" s="3"/>
      <x:c r="N311" s="2"/>
      <x:c r="O311" s="2"/>
    </x:row>
    <x:row r="312" ht="20" customHeight="1">
      <x:c r="A312" s="2"/>
      <x:c r="B312" s="2"/>
      <x:c r="C312" s="2"/>
      <x:c r="D312" s="3"/>
      <x:c r="E312" s="3"/>
      <x:c r="F312" s="3"/>
      <x:c r="G312" s="3"/>
      <x:c r="H312" s="3"/>
      <x:c r="I312" s="3"/>
      <x:c r="J312" s="3"/>
      <x:c r="K312" s="3"/>
      <x:c r="L312" s="3"/>
      <x:c r="M312" s="3"/>
      <x:c r="N312" s="2"/>
      <x:c r="O312" s="2"/>
    </x:row>
    <x:row r="313" ht="44" customHeight="1">
      <x:c r="A313" s="2"/>
      <x:c r="B313" s="2"/>
      <x:c r="C313" s="2" t="str">
        <x:v>Domestic W&amp;C income proxy</x:v>
      </x:c>
      <x:c r="D313" s="14" t="n">
        <x:f>D341-D362</x:f>
        <x:v>97724.04000000001</x:v>
      </x:c>
      <x:c r="E313" s="14" t="n">
        <x:f>E341-E362</x:f>
        <x:v>111533.69</x:v>
      </x:c>
      <x:c r="F313" s="14" t="n">
        <x:f>F341-F362</x:f>
        <x:v>144562.49</x:v>
      </x:c>
      <x:c r="G313" s="14" t="n">
        <x:f>G341-G362</x:f>
        <x:v>175429.16999999998</x:v>
      </x:c>
      <x:c r="H313" s="14" t="n">
        <x:f>H341-H362</x:f>
        <x:v>236094.15</x:v>
      </x:c>
      <x:c r="I313" s="3"/>
      <x:c r="J313" s="3"/>
      <x:c r="K313" s="3"/>
      <x:c r="L313" s="3"/>
      <x:c r="M313" s="3"/>
      <x:c r="N313" s="2"/>
      <x:c r="O313" s="16" t="str">
        <x:v>Derived W&amp;C income less group exports. Exports are assumed to relate to W&amp;C for forecast architecture. This is not a separately disclosed audited segment.</x:v>
      </x:c>
    </x:row>
    <x:row r="314" ht="20" customHeight="1">
      <x:c r="A314" s="2"/>
      <x:c r="B314" s="2"/>
      <x:c r="C314" s="2" t="str">
        <x:v>Exports / consolidated revenue</x:v>
      </x:c>
      <x:c r="D314" s="34" t="n">
        <x:f>D362/'01_Historical+Segments'!D143</x:f>
        <x:v>0.07562635813664328</x:v>
      </x:c>
      <x:c r="E314" s="34" t="n">
        <x:f>E362/'01_Historical+Segments'!E143</x:f>
        <x:v>0.09806810115668109</x:v>
      </x:c>
      <x:c r="F314" s="34" t="n">
        <x:f>F362/'01_Historical+Segments'!F143</x:f>
        <x:v>0.0796011783955204</x:v>
      </x:c>
      <x:c r="G314" s="34" t="n">
        <x:f>G362/'01_Historical+Segments'!G143</x:f>
        <x:v>0.060030668082867285</x:v>
      </x:c>
      <x:c r="H314" s="34" t="n">
        <x:f>H362/'01_Historical+Segments'!H143</x:f>
        <x:v>0.05433725599464226</x:v>
      </x:c>
      <x:c r="I314" s="3"/>
      <x:c r="J314" s="3"/>
      <x:c r="K314" s="3"/>
      <x:c r="L314" s="3"/>
      <x:c r="M314" s="3"/>
      <x:c r="N314" s="2"/>
      <x:c r="O314" s="2"/>
    </x:row>
    <x:row r="315" ht="20" customHeight="1">
      <x:c r="A315" s="2"/>
      <x:c r="B315" s="2"/>
      <x:c r="C315" s="2"/>
      <x:c r="D315" s="3"/>
      <x:c r="E315" s="3"/>
      <x:c r="F315" s="3"/>
      <x:c r="G315" s="3"/>
      <x:c r="H315" s="3"/>
      <x:c r="I315" s="3"/>
      <x:c r="J315" s="3"/>
      <x:c r="K315" s="3"/>
      <x:c r="L315" s="3"/>
      <x:c r="M315" s="3"/>
      <x:c r="N315" s="2"/>
      <x:c r="O315" s="2"/>
    </x:row>
    <x:row r="316" ht="20" customHeight="1">
      <x:c r="A316" s="2"/>
      <x:c r="B316" s="2"/>
      <x:c r="C316" s="2" t="str">
        <x:v>W&amp;C share of external segment income</x:v>
      </x:c>
      <x:c r="D316" s="33" t="n">
        <x:f>D341/D308</x:f>
        <x:v>0.8735165785799273</x:v>
      </x:c>
      <x:c r="E316" s="33" t="n">
        <x:f>E341/E308</x:f>
        <x:v>0.8862197056328418</x:v>
      </x:c>
      <x:c r="F316" s="33" t="n">
        <x:f>F341/F308</x:f>
        <x:v>0.8761245595384982</x:v>
      </x:c>
      <x:c r="G316" s="33" t="n">
        <x:f>G341/G308</x:f>
        <x:v>0.8409331974645342</x:v>
      </x:c>
      <x:c r="H316" s="33" t="n">
        <x:f>H341/H308</x:f>
        <x:v>0.8707984743403054</x:v>
      </x:c>
      <x:c r="I316" s="3"/>
      <x:c r="J316" s="3"/>
      <x:c r="K316" s="3"/>
      <x:c r="L316" s="3"/>
      <x:c r="M316" s="3"/>
      <x:c r="N316" s="2"/>
      <x:c r="O316" s="2"/>
    </x:row>
    <x:row r="317" ht="20" customHeight="1">
      <x:c r="A317" s="2"/>
      <x:c r="B317" s="2"/>
      <x:c r="C317" s="2" t="str">
        <x:v>FMEG share of external segment income</x:v>
      </x:c>
      <x:c r="D317" s="33" t="n">
        <x:f>D342/D308</x:f>
        <x:v>0.10244885818285408</x:v>
      </x:c>
      <x:c r="E317" s="33" t="n">
        <x:f>E342/E308</x:f>
        <x:v>0.08844297200936799</x:v>
      </x:c>
      <x:c r="F317" s="33" t="n">
        <x:f>F342/F308</x:f>
        <x:v>0.07071740102506101</x:v>
      </x:c>
      <x:c r="G317" s="33" t="n">
        <x:f>G342/G308</x:f>
        <x:v>0.07361874091865661</x:v>
      </x:c>
      <x:c r="H317" s="33" t="n">
        <x:f>H342/H308</x:f>
        <x:v>0.07156663019733385</x:v>
      </x:c>
      <x:c r="I317" s="3"/>
      <x:c r="J317" s="3"/>
      <x:c r="K317" s="3"/>
      <x:c r="L317" s="3"/>
      <x:c r="M317" s="3"/>
      <x:c r="N317" s="2"/>
      <x:c r="O317" s="2"/>
    </x:row>
    <x:row r="318" ht="20" customHeight="1">
      <x:c r="A318" s="2"/>
      <x:c r="B318" s="2"/>
      <x:c r="C318" s="2" t="str">
        <x:v>EPC share of external segment income</x:v>
      </x:c>
      <x:c r="D318" s="33" t="n">
        <x:f>D343/D308</x:f>
        <x:v>0.024034563237218712</x:v>
      </x:c>
      <x:c r="E318" s="33" t="n">
        <x:f>E343/E308</x:f>
        <x:v>0.025337322357790276</x:v>
      </x:c>
      <x:c r="F318" s="33" t="n">
        <x:f>F343/F308</x:f>
        <x:v>0.053158039436440825</x:v>
      </x:c>
      <x:c r="G318" s="33" t="n">
        <x:f>G343/G308</x:f>
        <x:v>0.08544806161680901</x:v>
      </x:c>
      <x:c r="H318" s="33" t="n">
        <x:f>H343/H308</x:f>
        <x:v>0.05763489546236076</x:v>
      </x:c>
      <x:c r="I318" s="3"/>
      <x:c r="J318" s="3"/>
      <x:c r="K318" s="3"/>
      <x:c r="L318" s="3"/>
      <x:c r="M318" s="3"/>
      <x:c r="N318" s="2"/>
      <x:c r="O318" s="2"/>
    </x:row>
    <x:row r="319" ht="20" customHeight="1">
      <x:c r="A319" s="2"/>
      <x:c r="B319" s="2"/>
      <x:c r="C319" s="2"/>
      <x:c r="D319" s="3"/>
      <x:c r="E319" s="3"/>
      <x:c r="F319" s="3"/>
      <x:c r="G319" s="3"/>
      <x:c r="H319" s="3"/>
      <x:c r="I319" s="3"/>
      <x:c r="J319" s="3"/>
      <x:c r="K319" s="3"/>
      <x:c r="L319" s="3"/>
      <x:c r="M319" s="3"/>
      <x:c r="N319" s="2"/>
      <x:c r="O319" s="2"/>
    </x:row>
    <x:row r="320" ht="20" customHeight="1">
      <x:c r="A320" s="2"/>
      <x:c r="B320" s="2"/>
      <x:c r="C320" s="2" t="str">
        <x:v>W&amp;C external EBIT margin</x:v>
      </x:c>
      <x:c r="D320" s="33" t="n">
        <x:f>D347/D341</x:f>
        <x:v>0.09728750772533432</x:v>
      </x:c>
      <x:c r="E320" s="33" t="n">
        <x:f>E347/E341</x:f>
        <x:v>0.13118610258427688</x:v>
      </x:c>
      <x:c r="F320" s="33" t="n">
        <x:f>F347/F341</x:f>
        <x:v>0.14660811806539178</x:v>
      </x:c>
      <x:c r="G320" s="33" t="n">
        <x:f>G347/G341</x:f>
        <x:v>0.13618350132885235</x:v>
      </x:c>
      <x:c r="H320" s="33" t="n">
        <x:f>H347/H341</x:f>
        <x:v>0.13624052633633718</x:v>
      </x:c>
      <x:c r="I320" s="3"/>
      <x:c r="J320" s="3"/>
      <x:c r="K320" s="3"/>
      <x:c r="L320" s="3"/>
      <x:c r="M320" s="3"/>
      <x:c r="N320" s="2"/>
      <x:c r="O320" s="2"/>
    </x:row>
    <x:row r="321" ht="20" customHeight="1">
      <x:c r="A321" s="2"/>
      <x:c r="B321" s="2"/>
      <x:c r="C321" s="2" t="str">
        <x:v>FMEG external EBIT margin</x:v>
      </x:c>
      <x:c r="D321" s="33" t="n">
        <x:f>D348/D342</x:f>
        <x:v>0.01564275026048663</x:v>
      </x:c>
      <x:c r="E321" s="33" t="n">
        <x:f>E348/E342</x:f>
        <x:v>-0.004984985897053687</x:v>
      </x:c>
      <x:c r="F321" s="33" t="n">
        <x:f>F348/F342</x:f>
        <x:v>-0.07319073433960264</x:v>
      </x:c>
      <x:c r="G321" s="33" t="n">
        <x:f>G348/G342</x:f>
        <x:v>-0.023089827775768627</x:v>
      </x:c>
      <x:c r="H321" s="33" t="n">
        <x:f>H348/H342</x:f>
        <x:v>0.02650039046492388</x:v>
      </x:c>
      <x:c r="I321" s="3"/>
      <x:c r="J321" s="3"/>
      <x:c r="K321" s="3"/>
      <x:c r="L321" s="3"/>
      <x:c r="M321" s="3"/>
      <x:c r="N321" s="2"/>
      <x:c r="O321" s="2"/>
    </x:row>
    <x:row r="322" ht="20" customHeight="1">
      <x:c r="A322" s="2"/>
      <x:c r="B322" s="2"/>
      <x:c r="C322" s="2" t="str">
        <x:v>EPC external EBIT margin</x:v>
      </x:c>
      <x:c r="D322" s="33" t="n">
        <x:f>D349/D343</x:f>
        <x:v>0.1487228106660686</x:v>
      </x:c>
      <x:c r="E322" s="33" t="n">
        <x:f>E349/E343</x:f>
        <x:v>0.12059960829608797</x:v>
      </x:c>
      <x:c r="F322" s="33" t="n">
        <x:f>F349/F343</x:f>
        <x:v>0.11459017158502248</x:v>
      </x:c>
      <x:c r="G322" s="33" t="n">
        <x:f>G349/G343</x:f>
        <x:v>0.09412063844054858</x:v>
      </x:c>
      <x:c r="H322" s="33" t="n">
        <x:f>H349/H343</x:f>
        <x:v>0.09934017243365721</x:v>
      </x:c>
      <x:c r="I322" s="3"/>
      <x:c r="J322" s="3"/>
      <x:c r="K322" s="3"/>
      <x:c r="L322" s="3"/>
      <x:c r="M322" s="3"/>
      <x:c r="N322" s="2"/>
      <x:c r="O322" s="2"/>
    </x:row>
    <x:row r="323" ht="20" customHeight="1">
      <x:c r="A323" s="2"/>
      <x:c r="B323" s="2"/>
      <x:c r="C323" s="2"/>
      <x:c r="D323" s="3"/>
      <x:c r="E323" s="3"/>
      <x:c r="F323" s="3"/>
      <x:c r="G323" s="3"/>
      <x:c r="H323" s="3"/>
      <x:c r="I323" s="3"/>
      <x:c r="J323" s="3"/>
      <x:c r="K323" s="3"/>
      <x:c r="L323" s="3"/>
      <x:c r="M323" s="3"/>
      <x:c r="N323" s="2"/>
      <x:c r="O323" s="2"/>
    </x:row>
    <x:row r="324" ht="20" customHeight="1">
      <x:c r="A324" s="2"/>
      <x:c r="B324" s="2"/>
      <x:c r="C324" s="2" t="str">
        <x:v>W&amp;C income growth</x:v>
      </x:c>
      <x:c r="D324" s="23" t="str">
        <x:v>n.a.</x:v>
      </x:c>
      <x:c r="E324" s="33" t="n">
        <x:f>E341/D341-1</x:f>
        <x:v>0.17218374748605236</x:v>
      </x:c>
      <x:c r="F324" s="33" t="n">
        <x:f>F341/E341-1</x:f>
        <x:v>0.2676355511397881</x:v>
      </x:c>
      <x:c r="G324" s="33" t="n">
        <x:f>G341/F341-1</x:f>
        <x:v>0.18851330305854241</x:v>
      </x:c>
      <x:c r="H324" s="33" t="n">
        <x:f>H341/G341-1</x:f>
        <x:v>0.3330550452843253</x:v>
      </x:c>
      <x:c r="I324" s="3"/>
      <x:c r="J324" s="3"/>
      <x:c r="K324" s="3"/>
      <x:c r="L324" s="3"/>
      <x:c r="M324" s="3"/>
      <x:c r="N324" s="2"/>
      <x:c r="O324" s="2"/>
    </x:row>
    <x:row r="325" ht="20" customHeight="1">
      <x:c r="A325" s="2"/>
      <x:c r="B325" s="2"/>
      <x:c r="C325" s="2" t="str">
        <x:v>FMEG income growth</x:v>
      </x:c>
      <x:c r="D325" s="23" t="str">
        <x:v>n.a.</x:v>
      </x:c>
      <x:c r="E325" s="33" t="n">
        <x:f>E342/D342-1</x:f>
        <x:v>-0.002571782302534409</x:v>
      </x:c>
      <x:c r="F325" s="33" t="n">
        <x:f>F342/E342-1</x:f>
        <x:v>0.025257421730446428</x:v>
      </x:c>
      <x:c r="G325" s="33" t="n">
        <x:f>G342/F342-1</x:f>
        <x:v>0.2890521828747119</x:v>
      </x:c>
      <x:c r="H325" s="33" t="n">
        <x:f>H342/G342-1</x:f>
        <x:v>0.25145173209994076</x:v>
      </x:c>
      <x:c r="I325" s="3"/>
      <x:c r="J325" s="3"/>
      <x:c r="K325" s="3"/>
      <x:c r="L325" s="3"/>
      <x:c r="M325" s="3"/>
      <x:c r="N325" s="2"/>
      <x:c r="O325" s="2"/>
    </x:row>
    <x:row r="326" ht="20" customHeight="1">
      <x:c r="A326" s="2"/>
      <x:c r="B326" s="2"/>
      <x:c r="C326" s="2" t="str">
        <x:v>EPC income growth</x:v>
      </x:c>
      <x:c r="D326" s="23" t="str">
        <x:v>n.a.</x:v>
      </x:c>
      <x:c r="E326" s="33" t="n">
        <x:f>E343/D343-1</x:f>
        <x:v>0.21800740113973482</x:v>
      </x:c>
      <x:c r="F326" s="33" t="n">
        <x:f>F343/E343-1</x:f>
        <x:v>1.6901605316459936</x:v>
      </x:c>
      <x:c r="G326" s="33" t="n">
        <x:f>G343/F343-1</x:f>
        <x:v>0.9904059652889046</x:v>
      </x:c>
      <x:c r="H326" s="33" t="n">
        <x:f>H343/G343-1</x:f>
        <x:v>-0.1316891747197717</x:v>
      </x:c>
      <x:c r="I326" s="3"/>
      <x:c r="J326" s="3"/>
      <x:c r="K326" s="3"/>
      <x:c r="L326" s="3"/>
      <x:c r="M326" s="3"/>
      <x:c r="N326" s="2"/>
      <x:c r="O326" s="2"/>
    </x:row>
    <x:row r="327" ht="20" customHeight="1">
      <x:c r="A327" s="2"/>
      <x:c r="B327" s="2"/>
      <x:c r="C327" s="2" t="str">
        <x:v>Export income growth</x:v>
      </x:c>
      <x:c r="D327" s="23" t="str">
        <x:v>n.a.</x:v>
      </x:c>
      <x:c r="E327" s="33" t="n">
        <x:f>E362/D362-1</x:f>
        <x:v>0.4990616799179999</x:v>
      </x:c>
      <x:c r="F327" s="33" t="n">
        <x:f>F362/E362-1</x:f>
        <x:v>0.0379017912965669</x:v>
      </x:c>
      <x:c r="G327" s="33" t="n">
        <x:f>G362/F362-1</x:f>
        <x:v>-0.06321550515647711</x:v>
      </x:c>
      <x:c r="H327" s="33" t="n">
        <x:f>H362/G362-1</x:f>
        <x:v>0.16672787257672916</x:v>
      </x:c>
      <x:c r="I327" s="3"/>
      <x:c r="J327" s="3"/>
      <x:c r="K327" s="3"/>
      <x:c r="L327" s="3"/>
      <x:c r="M327" s="3"/>
      <x:c r="N327" s="2"/>
      <x:c r="O327" s="2"/>
    </x:row>
    <x:row r="328" ht="20" customHeight="1">
      <x:c r="A328" s="2"/>
      <x:c r="B328" s="2"/>
      <x:c r="C328" s="2" t="str">
        <x:v>Domestic W&amp;C proxy growth</x:v>
      </x:c>
      <x:c r="D328" s="23" t="str">
        <x:v>n.a.</x:v>
      </x:c>
      <x:c r="E328" s="33" t="n">
        <x:f>E313/D313-1</x:f>
        <x:v>0.14131272100498493</x:v>
      </x:c>
      <x:c r="F328" s="33" t="n">
        <x:f>F313/E313-1</x:f>
        <x:v>0.2961329442251932</x:v>
      </x:c>
      <x:c r="G328" s="33" t="n">
        <x:f>G313/F313-1</x:f>
        <x:v>0.21351790495584289</x:v>
      </x:c>
      <x:c r="H328" s="33" t="n">
        <x:f>H313/G313-1</x:f>
        <x:v>0.3458089666615878</x:v>
      </x:c>
      <x:c r="I328" s="3"/>
      <x:c r="J328" s="3"/>
      <x:c r="K328" s="3"/>
      <x:c r="L328" s="3"/>
      <x:c r="M328" s="3"/>
      <x:c r="N328" s="2"/>
      <x:c r="O328" s="2"/>
    </x:row>
    <x:row r="329" ht="20" customHeight="1">
      <x:c r="A329" s="2"/>
      <x:c r="B329" s="2"/>
      <x:c r="C329" s="2"/>
      <x:c r="D329" s="3"/>
      <x:c r="E329" s="3"/>
      <x:c r="F329" s="3"/>
      <x:c r="G329" s="3"/>
      <x:c r="H329" s="3"/>
      <x:c r="I329" s="3"/>
      <x:c r="J329" s="3"/>
      <x:c r="K329" s="3"/>
      <x:c r="L329" s="3"/>
      <x:c r="M329" s="3"/>
      <x:c r="N329" s="2"/>
      <x:c r="O329" s="2"/>
    </x:row>
    <x:row r="330" ht="20" customHeight="1">
      <x:c r="A330" s="2"/>
      <x:c r="B330" s="2"/>
      <x:c r="C330" s="2" t="str">
        <x:v>Total external segment EBIT</x:v>
      </x:c>
      <x:c r="D330" s="14" t="n">
        <x:f>SUM(D347:D349)</x:f>
        <x:v>11039.099999999999</x:v>
      </x:c>
      <x:c r="E330" s="14" t="n">
        <x:f>SUM(E347:E349)</x:f>
        <x:v>16816.56</x:v>
      </x:c>
      <x:c r="F330" s="14" t="n">
        <x:f>SUM(F347:F349)</x:f>
        <x:v>23465.34</x:v>
      </x:c>
      <x:c r="G330" s="14" t="n">
        <x:f>SUM(G347:G349)</x:f>
        <x:v>27147.08</x:v>
      </x:c>
      <x:c r="H330" s="14" t="n">
        <x:f>SUM(H347:H349)</x:f>
        <x:v>36507.719999999994</x:v>
      </x:c>
      <x:c r="I330" s="3"/>
      <x:c r="J330" s="3"/>
      <x:c r="K330" s="3"/>
      <x:c r="L330" s="3"/>
      <x:c r="M330" s="3"/>
      <x:c r="N330" s="2"/>
      <x:c r="O330" s="2"/>
    </x:row>
    <x:row r="331" ht="20" customHeight="1">
      <x:c r="A331" s="2"/>
      <x:c r="B331" s="2"/>
      <x:c r="C331" s="2" t="str">
        <x:v>Operating EBIT before JV, ex other income</x:v>
      </x:c>
      <x:c r="D331" s="14" t="n">
        <x:f>D330-D309</x:f>
        <x:v>10636.789999999999</x:v>
      </x:c>
      <x:c r="E331" s="14" t="n">
        <x:f>E330-E309</x:f>
        <x:v>16429.510000000002</x:v>
      </x:c>
      <x:c r="F331" s="14" t="n">
        <x:f>F330-F309</x:f>
        <x:v>22467.65</x:v>
      </x:c>
      <x:c r="G331" s="14" t="n">
        <x:f>G330-G309</x:f>
        <x:v>26621.370000000003</x:v>
      </x:c>
      <x:c r="H331" s="14" t="n">
        <x:f>H330-H309</x:f>
        <x:v>36198.59</x:v>
      </x:c>
      <x:c r="I331" s="3"/>
      <x:c r="J331" s="3"/>
      <x:c r="K331" s="3"/>
      <x:c r="L331" s="3"/>
      <x:c r="M331" s="3"/>
      <x:c r="N331" s="2"/>
      <x:c r="O331" s="2"/>
    </x:row>
    <x:row r="332" ht="32" customHeight="1">
      <x:c r="A332" s="2"/>
      <x:c r="B332" s="2"/>
      <x:c r="C332" s="2" t="str">
        <x:v>Segment EBIT bridge difference</x:v>
      </x:c>
      <x:c r="D332" s="22" t="n">
        <x:f>D331-('01_Historical+Segments'!D115-'01_Historical+Segments'!D151)</x:f>
        <x:v>-0.009999999991123332</x:v>
      </x:c>
      <x:c r="E332" s="22" t="n">
        <x:f>E331-('01_Historical+Segments'!E115-'01_Historical+Segments'!E151)</x:f>
        <x:v>0.00999999999476131</x:v>
      </x:c>
      <x:c r="F332" s="22" t="n">
        <x:f>F331-('01_Historical+Segments'!F115-'01_Historical+Segments'!F151)</x:f>
        <x:v>7.275957614183426e-12</x:v>
      </x:c>
      <x:c r="G332" s="22" t="n">
        <x:f>G331-('01_Historical+Segments'!G115-'01_Historical+Segments'!G151)</x:f>
        <x:v>-1.4551915228366852e-11</x:v>
      </x:c>
      <x:c r="H332" s="22" t="n">
        <x:f>H331-('01_Historical+Segments'!H115-'01_Historical+Segments'!H151)</x:f>
        <x:v>4.3655745685100555e-11</x:v>
      </x:c>
      <x:c r="I332" s="3"/>
      <x:c r="J332" s="3"/>
      <x:c r="K332" s="3"/>
      <x:c r="L332" s="3"/>
      <x:c r="M332" s="3"/>
      <x:c r="N332" s="2"/>
      <x:c r="O332" s="16" t="str">
        <x:v>FY22–FY24 source rounding can leave small differences. Company segment EBIT includes non-finance other income.</x:v>
      </x:c>
    </x:row>
    <x:row r="333" ht="20" customHeight="1">
      <x:c r="A333" s="2"/>
      <x:c r="B333" s="2"/>
      <x:c r="C333" s="2"/>
      <x:c r="D333" s="3"/>
      <x:c r="E333" s="3"/>
      <x:c r="F333" s="3"/>
      <x:c r="G333" s="3"/>
      <x:c r="H333" s="3"/>
      <x:c r="I333" s="3"/>
      <x:c r="J333" s="3"/>
      <x:c r="K333" s="3"/>
      <x:c r="L333" s="3"/>
      <x:c r="M333" s="3"/>
      <x:c r="N333" s="2"/>
      <x:c r="O333" s="2"/>
    </x:row>
    <x:row r="334" ht="20" customHeight="1">
      <x:c r="A334" s="2"/>
      <x:c r="B334" s="2"/>
      <x:c r="C334" s="2" t="str">
        <x:v>Segment capex less reported group capex</x:v>
      </x:c>
      <x:c r="D334" s="22" t="n">
        <x:f>SUM(D353:D355)-'01_Historical+Segments'!D258</x:f>
        <x:v>0</x:v>
      </x:c>
      <x:c r="E334" s="22" t="n">
        <x:f>SUM(E353:E355)-'01_Historical+Segments'!E258</x:f>
        <x:v>-0.030000000000654836</x:v>
      </x:c>
      <x:c r="F334" s="22" t="n">
        <x:f>SUM(F353:F355)-'01_Historical+Segments'!F258</x:f>
        <x:v>1.8189894035458565e-12</x:v>
      </x:c>
      <x:c r="G334" s="22" t="n">
        <x:f>SUM(G353:G355)-'01_Historical+Segments'!G258</x:f>
        <x:v>0</x:v>
      </x:c>
      <x:c r="H334" s="22" t="n">
        <x:f>SUM(H353:H355)-'01_Historical+Segments'!H258</x:f>
        <x:v>0</x:v>
      </x:c>
      <x:c r="I334" s="3"/>
      <x:c r="J334" s="3"/>
      <x:c r="K334" s="3"/>
      <x:c r="L334" s="3"/>
      <x:c r="M334" s="3"/>
      <x:c r="N334" s="2"/>
      <x:c r="O334" s="2"/>
    </x:row>
    <x:row r="335" ht="20" customHeight="1">
      <x:c r="A335" s="2"/>
      <x:c r="B335" s="2"/>
      <x:c r="C335" s="2" t="str">
        <x:v>Segment D&amp;A less group D&amp;A</x:v>
      </x:c>
      <x:c r="D335" s="22" t="n">
        <x:f>SUM(D350:D352)-'01_Historical+Segments'!D151</x:f>
        <x:v>0</x:v>
      </x:c>
      <x:c r="E335" s="22" t="n">
        <x:f>SUM(E350:E352)-'01_Historical+Segments'!E151</x:f>
        <x:v>0</x:v>
      </x:c>
      <x:c r="F335" s="22" t="n">
        <x:f>SUM(F350:F352)-'01_Historical+Segments'!F151</x:f>
        <x:v>0</x:v>
      </x:c>
      <x:c r="G335" s="22" t="n">
        <x:f>SUM(G350:G352)-'01_Historical+Segments'!G151</x:f>
        <x:v>-4.547473508864641e-13</x:v>
      </x:c>
      <x:c r="H335" s="22" t="n">
        <x:f>SUM(H350:H352)-'01_Historical+Segments'!H151</x:f>
        <x:v>0</x:v>
      </x:c>
      <x:c r="I335" s="3"/>
      <x:c r="J335" s="3"/>
      <x:c r="K335" s="3"/>
      <x:c r="L335" s="3"/>
      <x:c r="M335" s="3"/>
      <x:c r="N335" s="2"/>
      <x:c r="O335" s="2"/>
    </x:row>
    <x:row r="336" ht="20" customHeight="1">
      <x:c r="A336" s="2"/>
      <x:c r="B336" s="2"/>
      <x:c r="C336" s="2"/>
      <x:c r="D336" s="3"/>
      <x:c r="E336" s="3"/>
      <x:c r="F336" s="3"/>
      <x:c r="G336" s="3"/>
      <x:c r="H336" s="3"/>
      <x:c r="I336" s="3"/>
      <x:c r="J336" s="3"/>
      <x:c r="K336" s="3"/>
      <x:c r="L336" s="3"/>
      <x:c r="M336" s="3"/>
      <x:c r="N336" s="2"/>
      <x:c r="O336" s="2"/>
    </x:row>
    <x:row r="337" ht="20" customHeight="1">
      <x:c r="A337" s="2"/>
      <x:c r="B337" s="2"/>
      <x:c r="C337" s="2"/>
      <x:c r="D337" s="3"/>
      <x:c r="E337" s="3"/>
      <x:c r="F337" s="3"/>
      <x:c r="G337" s="3"/>
      <x:c r="H337" s="3"/>
      <x:c r="I337" s="3"/>
      <x:c r="J337" s="3"/>
      <x:c r="K337" s="3"/>
      <x:c r="L337" s="3"/>
      <x:c r="M337" s="3"/>
      <x:c r="N337" s="2"/>
      <x:c r="O337" s="2"/>
    </x:row>
    <x:row r="338" ht="20" customHeight="1">
      <x:c r="A338" s="2"/>
      <x:c r="B338" s="2"/>
      <x:c r="C338" s="2"/>
      <x:c r="D338" s="3"/>
      <x:c r="E338" s="3"/>
      <x:c r="F338" s="3"/>
      <x:c r="G338" s="3"/>
      <x:c r="H338" s="3"/>
      <x:c r="I338" s="3"/>
      <x:c r="J338" s="3"/>
      <x:c r="K338" s="3"/>
      <x:c r="L338" s="3"/>
      <x:c r="M338" s="3"/>
      <x:c r="N338" s="2"/>
      <x:c r="O338" s="2"/>
    </x:row>
    <x:row r="339" ht="20" customHeight="1">
      <x:c r="A339" s="2"/>
      <x:c r="B339" s="2"/>
      <x:c r="C339" s="2"/>
      <x:c r="D339" s="3"/>
      <x:c r="E339" s="3"/>
      <x:c r="F339" s="3"/>
      <x:c r="G339" s="3"/>
      <x:c r="H339" s="3"/>
      <x:c r="I339" s="3"/>
      <x:c r="J339" s="3"/>
      <x:c r="K339" s="3"/>
      <x:c r="L339" s="3"/>
      <x:c r="M339" s="3"/>
      <x:c r="N339" s="2"/>
      <x:c r="O339" s="2"/>
    </x:row>
    <x:row r="340" ht="20" customHeight="1">
      <x:c r="A340" s="2"/>
      <x:c r="B340" s="2"/>
      <x:c r="C340" s="2" t="str">
        <x:v>SEGMENT DISCLOSURES</x:v>
      </x:c>
      <x:c r="D340" s="3"/>
      <x:c r="E340" s="3"/>
      <x:c r="F340" s="3"/>
      <x:c r="G340" s="3"/>
      <x:c r="H340" s="3"/>
      <x:c r="I340" s="3"/>
      <x:c r="J340" s="3"/>
      <x:c r="K340" s="3"/>
      <x:c r="L340" s="3"/>
      <x:c r="M340" s="3"/>
      <x:c r="N340" s="2"/>
      <x:c r="O340" s="2"/>
    </x:row>
    <x:row r="341" ht="22" customHeight="1">
      <x:c r="A341" s="2"/>
      <x:c r="B341" s="2"/>
      <x:c r="C341" s="2" t="str">
        <x:v>Wires &amp; Cables external segment income</x:v>
      </x:c>
      <x:c r="D341" s="17" t="n">
        <x:v>106953.3</x:v>
      </x:c>
      <x:c r="E341" s="17" t="n">
        <x:v>125368.92</x:v>
      </x:c>
      <x:c r="F341" s="17" t="n">
        <x:v>158922.1</x:v>
      </x:c>
      <x:c r="G341" s="17" t="n">
        <x:v>188881.03</x:v>
      </x:c>
      <x:c r="H341" s="17" t="n">
        <x:v>251788.81</x:v>
      </x:c>
      <x:c r="I341" s="3"/>
      <x:c r="J341" s="3"/>
      <x:c r="K341" s="3"/>
      <x:c r="L341" s="3"/>
      <x:c r="M341" s="3"/>
      <x:c r="N341" s="2"/>
      <x:c r="O341" s="16" t="str">
        <x:v>SEG. </x:v>
      </x:c>
    </x:row>
    <x:row r="342" ht="22" customHeight="1">
      <x:c r="A342" s="2"/>
      <x:c r="B342" s="2"/>
      <x:c r="C342" s="2" t="str">
        <x:v>FMEG external segment income</x:v>
      </x:c>
      <x:c r="D342" s="17" t="n">
        <x:v>12543.83</x:v>
      </x:c>
      <x:c r="E342" s="17" t="n">
        <x:v>12511.57</x:v>
      </x:c>
      <x:c r="F342" s="17" t="n">
        <x:v>12827.58</x:v>
      </x:c>
      <x:c r="G342" s="17" t="n">
        <x:v>16535.42</x:v>
      </x:c>
      <x:c r="H342" s="17" t="n">
        <x:v>20693.28</x:v>
      </x:c>
      <x:c r="I342" s="3"/>
      <x:c r="J342" s="3"/>
      <x:c r="K342" s="3"/>
      <x:c r="L342" s="3"/>
      <x:c r="M342" s="3"/>
      <x:c r="N342" s="2"/>
      <x:c r="O342" s="16" t="str">
        <x:v>SEG. </x:v>
      </x:c>
    </x:row>
    <x:row r="343" ht="22" customHeight="1">
      <x:c r="A343" s="2"/>
      <x:c r="B343" s="2"/>
      <x:c r="C343" s="2" t="str">
        <x:v>EPC / Others external segment income</x:v>
      </x:c>
      <x:c r="D343" s="17" t="n">
        <x:v>2942.79</x:v>
      </x:c>
      <x:c r="E343" s="17" t="n">
        <x:v>3584.34</x:v>
      </x:c>
      <x:c r="F343" s="17" t="n">
        <x:v>9642.45</x:v>
      </x:c>
      <x:c r="G343" s="17" t="n">
        <x:v>19192.39</x:v>
      </x:c>
      <x:c r="H343" s="17" t="n">
        <x:v>16664.96</x:v>
      </x:c>
      <x:c r="I343" s="3"/>
      <x:c r="J343" s="3"/>
      <x:c r="K343" s="3"/>
      <x:c r="L343" s="3"/>
      <x:c r="M343" s="3"/>
      <x:c r="N343" s="2"/>
      <x:c r="O343" s="16" t="str">
        <x:v>SEG. </x:v>
      </x:c>
    </x:row>
    <x:row r="344" ht="22" customHeight="1">
      <x:c r="A344" s="2"/>
      <x:c r="B344" s="2"/>
      <x:c r="C344" s="2" t="str">
        <x:v>W&amp;C intersegment income</x:v>
      </x:c>
      <x:c r="D344" s="17" t="n">
        <x:v>984.76</x:v>
      </x:c>
      <x:c r="E344" s="17" t="n">
        <x:v>2406.11</x:v>
      </x:c>
      <x:c r="F344" s="17" t="n">
        <x:v>2150.41</x:v>
      </x:c>
      <x:c r="G344" s="17" t="n">
        <x:v>3485.3</x:v>
      </x:c>
      <x:c r="H344" s="17" t="n">
        <x:v>3555.37</x:v>
      </x:c>
      <x:c r="I344" s="3"/>
      <x:c r="J344" s="3"/>
      <x:c r="K344" s="3"/>
      <x:c r="L344" s="3"/>
      <x:c r="M344" s="3"/>
      <x:c r="N344" s="2"/>
      <x:c r="O344" s="16" t="str">
        <x:v>SEG. </x:v>
      </x:c>
    </x:row>
    <x:row r="345" ht="22" customHeight="1">
      <x:c r="A345" s="2"/>
      <x:c r="B345" s="2"/>
      <x:c r="C345" s="2" t="str">
        <x:v>FMEG intersegment income</x:v>
      </x:c>
      <x:c r="D345" s="17" t="n">
        <x:v>0</x:v>
      </x:c>
      <x:c r="E345" s="17" t="n">
        <x:v>95.8</x:v>
      </x:c>
      <x:c r="F345" s="17" t="n">
        <x:v>160.64</x:v>
      </x:c>
      <x:c r="G345" s="17" t="n">
        <x:v>286.33</x:v>
      </x:c>
      <x:c r="H345" s="17" t="n">
        <x:v>0</x:v>
      </x:c>
      <x:c r="I345" s="3"/>
      <x:c r="J345" s="3"/>
      <x:c r="K345" s="3"/>
      <x:c r="L345" s="3"/>
      <x:c r="M345" s="3"/>
      <x:c r="N345" s="2"/>
      <x:c r="O345" s="16" t="str">
        <x:v>SEG. </x:v>
      </x:c>
    </x:row>
    <x:row r="346" ht="22" customHeight="1">
      <x:c r="A346" s="2"/>
      <x:c r="B346" s="2"/>
      <x:c r="C346" s="2" t="str">
        <x:v>EPC / Others intersegment income</x:v>
      </x:c>
      <x:c r="D346" s="17" t="n">
        <x:v>759.03</x:v>
      </x:c>
      <x:c r="E346" s="17" t="n">
        <x:v>1062.74</x:v>
      </x:c>
      <x:c r="F346" s="17" t="n">
        <x:v>1365.61</x:v>
      </x:c>
      <x:c r="G346" s="17" t="n">
        <x:v>0</x:v>
      </x:c>
      <x:c r="H346" s="17" t="n">
        <x:v>0</x:v>
      </x:c>
      <x:c r="I346" s="3"/>
      <x:c r="J346" s="3"/>
      <x:c r="K346" s="3"/>
      <x:c r="L346" s="3"/>
      <x:c r="M346" s="3"/>
      <x:c r="N346" s="2"/>
      <x:c r="O346" s="16" t="str">
        <x:v>SEG. </x:v>
      </x:c>
    </x:row>
    <x:row r="347" ht="22" customHeight="1">
      <x:c r="A347" s="2"/>
      <x:c r="B347" s="2"/>
      <x:c r="C347" s="2" t="str">
        <x:v>W&amp;C external segment EBIT</x:v>
      </x:c>
      <x:c r="D347" s="17" t="n">
        <x:v>10405.22</x:v>
      </x:c>
      <x:c r="E347" s="17" t="n">
        <x:v>16446.66</x:v>
      </x:c>
      <x:c r="F347" s="17" t="n">
        <x:v>23299.27</x:v>
      </x:c>
      <x:c r="G347" s="17" t="n">
        <x:v>25722.48</x:v>
      </x:c>
      <x:c r="H347" s="17" t="n">
        <x:v>34303.84</x:v>
      </x:c>
      <x:c r="I347" s="3"/>
      <x:c r="J347" s="3"/>
      <x:c r="K347" s="3"/>
      <x:c r="L347" s="3"/>
      <x:c r="M347" s="3"/>
      <x:c r="N347" s="2"/>
      <x:c r="O347" s="16" t="str">
        <x:v>SEG. </x:v>
      </x:c>
    </x:row>
    <x:row r="348" ht="22" customHeight="1">
      <x:c r="A348" s="2"/>
      <x:c r="B348" s="2"/>
      <x:c r="C348" s="2" t="str">
        <x:v>FMEG external segment EBIT</x:v>
      </x:c>
      <x:c r="D348" s="17" t="n">
        <x:v>196.22</x:v>
      </x:c>
      <x:c r="E348" s="17" t="n">
        <x:v>-62.37</x:v>
      </x:c>
      <x:c r="F348" s="17" t="n">
        <x:v>-938.86</x:v>
      </x:c>
      <x:c r="G348" s="17" t="n">
        <x:v>-381.8</x:v>
      </x:c>
      <x:c r="H348" s="17" t="n">
        <x:v>548.38</x:v>
      </x:c>
      <x:c r="I348" s="3"/>
      <x:c r="J348" s="3"/>
      <x:c r="K348" s="3"/>
      <x:c r="L348" s="3"/>
      <x:c r="M348" s="3"/>
      <x:c r="N348" s="2"/>
      <x:c r="O348" s="16" t="str">
        <x:v>SEG. </x:v>
      </x:c>
    </x:row>
    <x:row r="349" ht="22" customHeight="1">
      <x:c r="A349" s="2"/>
      <x:c r="B349" s="2"/>
      <x:c r="C349" s="2" t="str">
        <x:v>EPC / Others external segment EBIT</x:v>
      </x:c>
      <x:c r="D349" s="17" t="n">
        <x:v>437.66</x:v>
      </x:c>
      <x:c r="E349" s="17" t="n">
        <x:v>432.27</x:v>
      </x:c>
      <x:c r="F349" s="17" t="n">
        <x:v>1104.93</x:v>
      </x:c>
      <x:c r="G349" s="17" t="n">
        <x:v>1806.4</x:v>
      </x:c>
      <x:c r="H349" s="17" t="n">
        <x:v>1655.5</x:v>
      </x:c>
      <x:c r="I349" s="3"/>
      <x:c r="J349" s="3"/>
      <x:c r="K349" s="3"/>
      <x:c r="L349" s="3"/>
      <x:c r="M349" s="3"/>
      <x:c r="N349" s="2"/>
      <x:c r="O349" s="16" t="str">
        <x:v>SEG. </x:v>
      </x:c>
    </x:row>
    <x:row r="350" ht="22" customHeight="1">
      <x:c r="A350" s="2"/>
      <x:c r="B350" s="2"/>
      <x:c r="C350" s="2" t="str">
        <x:v>W&amp;C depreciation and amortisation</x:v>
      </x:c>
      <x:c r="D350" s="17" t="n">
        <x:v>1773.78</x:v>
      </x:c>
      <x:c r="E350" s="17" t="n">
        <x:v>1834.52</x:v>
      </x:c>
      <x:c r="F350" s="17" t="n">
        <x:v>2085.78</x:v>
      </x:c>
      <x:c r="G350" s="17" t="n">
        <x:v>2625.92</x:v>
      </x:c>
      <x:c r="H350" s="17" t="n">
        <x:v>3382.04</x:v>
      </x:c>
      <x:c r="I350" s="3"/>
      <x:c r="J350" s="3"/>
      <x:c r="K350" s="3"/>
      <x:c r="L350" s="3"/>
      <x:c r="M350" s="3"/>
      <x:c r="N350" s="2"/>
      <x:c r="O350" s="16" t="str">
        <x:v>SEG. </x:v>
      </x:c>
    </x:row>
    <x:row r="351" ht="22" customHeight="1">
      <x:c r="A351" s="2"/>
      <x:c r="B351" s="2"/>
      <x:c r="C351" s="2" t="str">
        <x:v>FMEG depreciation and amortisation</x:v>
      </x:c>
      <x:c r="D351" s="17" t="n">
        <x:v>212.7</x:v>
      </x:c>
      <x:c r="E351" s="17" t="n">
        <x:v>225.94</x:v>
      </x:c>
      <x:c r="F351" s="17" t="n">
        <x:v>325.14</x:v>
      </x:c>
      <x:c r="G351" s="17" t="n">
        <x:v>341.43</x:v>
      </x:c>
      <x:c r="H351" s="17" t="n">
        <x:v>420.97</x:v>
      </x:c>
      <x:c r="I351" s="3"/>
      <x:c r="J351" s="3"/>
      <x:c r="K351" s="3"/>
      <x:c r="L351" s="3"/>
      <x:c r="M351" s="3"/>
      <x:c r="N351" s="2"/>
      <x:c r="O351" s="16" t="str">
        <x:v>SEG. </x:v>
      </x:c>
    </x:row>
    <x:row r="352" ht="22" customHeight="1">
      <x:c r="A352" s="2"/>
      <x:c r="B352" s="2"/>
      <x:c r="C352" s="2" t="str">
        <x:v>EPC / Others depreciation and amortisation</x:v>
      </x:c>
      <x:c r="D352" s="17" t="n">
        <x:v>28.71</x:v>
      </x:c>
      <x:c r="E352" s="17" t="n">
        <x:v>31.18</x:v>
      </x:c>
      <x:c r="F352" s="17" t="n">
        <x:v>39.48</x:v>
      </x:c>
      <x:c r="G352" s="17" t="n">
        <x:v>13.68</x:v>
      </x:c>
      <x:c r="H352" s="17" t="n">
        <x:v>55.68</x:v>
      </x:c>
      <x:c r="I352" s="3"/>
      <x:c r="J352" s="3"/>
      <x:c r="K352" s="3"/>
      <x:c r="L352" s="3"/>
      <x:c r="M352" s="3"/>
      <x:c r="N352" s="2"/>
      <x:c r="O352" s="16" t="str">
        <x:v>SEG. </x:v>
      </x:c>
    </x:row>
    <x:row r="353" ht="22" customHeight="1">
      <x:c r="A353" s="2"/>
      <x:c r="B353" s="2"/>
      <x:c r="C353" s="2" t="str">
        <x:v>W&amp;C capex, net of disposals</x:v>
      </x:c>
      <x:c r="D353" s="17" t="n">
        <x:v>4048.15</x:v>
      </x:c>
      <x:c r="E353" s="17" t="n">
        <x:v>3157.1</x:v>
      </x:c>
      <x:c r="F353" s="17" t="n">
        <x:v>7582.56</x:v>
      </x:c>
      <x:c r="G353" s="17" t="n">
        <x:v>8953.5</x:v>
      </x:c>
      <x:c r="H353" s="17" t="n">
        <x:v>14276.64</x:v>
      </x:c>
      <x:c r="I353" s="3"/>
      <x:c r="J353" s="3"/>
      <x:c r="K353" s="3"/>
      <x:c r="L353" s="3"/>
      <x:c r="M353" s="3"/>
      <x:c r="N353" s="2"/>
      <x:c r="O353" s="16" t="str">
        <x:v>SEG. </x:v>
      </x:c>
    </x:row>
    <x:row r="354" ht="22" customHeight="1">
      <x:c r="A354" s="2"/>
      <x:c r="B354" s="2"/>
      <x:c r="C354" s="2" t="str">
        <x:v>FMEG capex, net of disposals</x:v>
      </x:c>
      <x:c r="D354" s="17" t="n">
        <x:v>1091.27</x:v>
      </x:c>
      <x:c r="E354" s="17" t="n">
        <x:v>1329.38</x:v>
      </x:c>
      <x:c r="F354" s="17" t="n">
        <x:v>631.99</x:v>
      </x:c>
      <x:c r="G354" s="17" t="n">
        <x:v>629.85</x:v>
      </x:c>
      <x:c r="H354" s="17" t="n">
        <x:v>204.75</x:v>
      </x:c>
      <x:c r="I354" s="3"/>
      <x:c r="J354" s="3"/>
      <x:c r="K354" s="3"/>
      <x:c r="L354" s="3"/>
      <x:c r="M354" s="3"/>
      <x:c r="N354" s="2"/>
      <x:c r="O354" s="16" t="str">
        <x:v>SEG. </x:v>
      </x:c>
    </x:row>
    <x:row r="355" ht="22" customHeight="1">
      <x:c r="A355" s="2"/>
      <x:c r="B355" s="2"/>
      <x:c r="C355" s="2" t="str">
        <x:v>EPC / Others capex, net of disposals</x:v>
      </x:c>
      <x:c r="D355" s="17" t="n">
        <x:v>60.61</x:v>
      </x:c>
      <x:c r="E355" s="17" t="n">
        <x:v>97.67</x:v>
      </x:c>
      <x:c r="F355" s="17" t="n">
        <x:v>365.18</x:v>
      </x:c>
      <x:c r="G355" s="17" t="n">
        <x:v>0</x:v>
      </x:c>
      <x:c r="H355" s="17" t="n">
        <x:v>317.95</x:v>
      </x:c>
      <x:c r="I355" s="3"/>
      <x:c r="J355" s="3"/>
      <x:c r="K355" s="3"/>
      <x:c r="L355" s="3"/>
      <x:c r="M355" s="3"/>
      <x:c r="N355" s="2"/>
      <x:c r="O355" s="16" t="str">
        <x:v>SEG. </x:v>
      </x:c>
    </x:row>
    <x:row r="356" ht="22" customHeight="1">
      <x:c r="A356" s="2"/>
      <x:c r="B356" s="2"/>
      <x:c r="C356" s="2" t="str">
        <x:v>W&amp;C segment assets</x:v>
      </x:c>
      <x:c r="D356" s="17" t="n">
        <x:v>49395.56</x:v>
      </x:c>
      <x:c r="E356" s="17" t="n">
        <x:v>57421.6</x:v>
      </x:c>
      <x:c r="F356" s="17" t="n">
        <x:v>74368.43</x:v>
      </x:c>
      <x:c r="G356" s="17" t="n">
        <x:v>80001.3</x:v>
      </x:c>
      <x:c r="H356" s="17" t="n">
        <x:v>115450.84</x:v>
      </x:c>
      <x:c r="I356" s="3"/>
      <x:c r="J356" s="3"/>
      <x:c r="K356" s="3"/>
      <x:c r="L356" s="3"/>
      <x:c r="M356" s="3"/>
      <x:c r="N356" s="2"/>
      <x:c r="O356" s="16" t="str">
        <x:v>SEG. </x:v>
      </x:c>
    </x:row>
    <x:row r="357" ht="22" customHeight="1">
      <x:c r="A357" s="2"/>
      <x:c r="B357" s="2"/>
      <x:c r="C357" s="2" t="str">
        <x:v>FMEG segment assets</x:v>
      </x:c>
      <x:c r="D357" s="17" t="n">
        <x:v>7754.41</x:v>
      </x:c>
      <x:c r="E357" s="17" t="n">
        <x:v>7496.62</x:v>
      </x:c>
      <x:c r="F357" s="17" t="n">
        <x:v>7765.94</x:v>
      </x:c>
      <x:c r="G357" s="17" t="n">
        <x:v>8437.2</x:v>
      </x:c>
      <x:c r="H357" s="17" t="n">
        <x:v>9514.33</x:v>
      </x:c>
      <x:c r="I357" s="3"/>
      <x:c r="J357" s="3"/>
      <x:c r="K357" s="3"/>
      <x:c r="L357" s="3"/>
      <x:c r="M357" s="3"/>
      <x:c r="N357" s="2"/>
      <x:c r="O357" s="16" t="str">
        <x:v>SEG. </x:v>
      </x:c>
    </x:row>
    <x:row r="358" ht="22" customHeight="1">
      <x:c r="A358" s="2"/>
      <x:c r="B358" s="2"/>
      <x:c r="C358" s="2" t="str">
        <x:v>EPC / Others segment assets</x:v>
      </x:c>
      <x:c r="D358" s="17" t="n">
        <x:v>3491.26</x:v>
      </x:c>
      <x:c r="E358" s="17" t="n">
        <x:v>4531.18</x:v>
      </x:c>
      <x:c r="F358" s="17" t="n">
        <x:v>9872.57</x:v>
      </x:c>
      <x:c r="G358" s="17" t="n">
        <x:v>17235.42</x:v>
      </x:c>
      <x:c r="H358" s="17" t="n">
        <x:v>27186.75</x:v>
      </x:c>
      <x:c r="I358" s="3"/>
      <x:c r="J358" s="3"/>
      <x:c r="K358" s="3"/>
      <x:c r="L358" s="3"/>
      <x:c r="M358" s="3"/>
      <x:c r="N358" s="2"/>
      <x:c r="O358" s="16" t="str">
        <x:v>SEG. </x:v>
      </x:c>
    </x:row>
    <x:row r="359" ht="22" customHeight="1">
      <x:c r="A359" s="2"/>
      <x:c r="B359" s="2"/>
      <x:c r="C359" s="2" t="str">
        <x:v>W&amp;C segment liabilities</x:v>
      </x:c>
      <x:c r="D359" s="17" t="n">
        <x:v>10280.46</x:v>
      </x:c>
      <x:c r="E359" s="17" t="n">
        <x:v>18500.79</x:v>
      </x:c>
      <x:c r="F359" s="17" t="n">
        <x:v>25344.9</x:v>
      </x:c>
      <x:c r="G359" s="17" t="n">
        <x:v>22513.95</x:v>
      </x:c>
      <x:c r="H359" s="17" t="n">
        <x:v>53834.54</x:v>
      </x:c>
      <x:c r="I359" s="3"/>
      <x:c r="J359" s="3"/>
      <x:c r="K359" s="3"/>
      <x:c r="L359" s="3"/>
      <x:c r="M359" s="3"/>
      <x:c r="N359" s="2"/>
      <x:c r="O359" s="16" t="str">
        <x:v>SEG. </x:v>
      </x:c>
    </x:row>
    <x:row r="360" ht="22" customHeight="1">
      <x:c r="A360" s="2"/>
      <x:c r="B360" s="2"/>
      <x:c r="C360" s="2" t="str">
        <x:v>FMEG segment liabilities</x:v>
      </x:c>
      <x:c r="D360" s="17" t="n">
        <x:v>2697.31</x:v>
      </x:c>
      <x:c r="E360" s="17" t="n">
        <x:v>2462.44</x:v>
      </x:c>
      <x:c r="F360" s="17" t="n">
        <x:v>2563.5</x:v>
      </x:c>
      <x:c r="G360" s="17" t="n">
        <x:v>3650.55</x:v>
      </x:c>
      <x:c r="H360" s="17" t="n">
        <x:v>5188.44</x:v>
      </x:c>
      <x:c r="I360" s="3"/>
      <x:c r="J360" s="3"/>
      <x:c r="K360" s="3"/>
      <x:c r="L360" s="3"/>
      <x:c r="M360" s="3"/>
      <x:c r="N360" s="2"/>
      <x:c r="O360" s="16" t="str">
        <x:v>SEG. </x:v>
      </x:c>
    </x:row>
    <x:row r="361" ht="22" customHeight="1">
      <x:c r="A361" s="2"/>
      <x:c r="B361" s="2"/>
      <x:c r="C361" s="2" t="str">
        <x:v>EPC / Others segment liabilities</x:v>
      </x:c>
      <x:c r="D361" s="17" t="n">
        <x:v>2726.23</x:v>
      </x:c>
      <x:c r="E361" s="17" t="n">
        <x:v>2355.51</x:v>
      </x:c>
      <x:c r="F361" s="17" t="n">
        <x:v>4699</x:v>
      </x:c>
      <x:c r="G361" s="17" t="n">
        <x:v>5180.31</x:v>
      </x:c>
      <x:c r="H361" s="17" t="n">
        <x:v>13323.24</x:v>
      </x:c>
      <x:c r="I361" s="3"/>
      <x:c r="J361" s="3"/>
      <x:c r="K361" s="3"/>
      <x:c r="L361" s="3"/>
      <x:c r="M361" s="3"/>
      <x:c r="N361" s="2"/>
      <x:c r="O361" s="16" t="str">
        <x:v>SEG. </x:v>
      </x:c>
    </x:row>
    <x:row r="362" ht="22" customHeight="1">
      <x:c r="A362" s="2"/>
      <x:c r="B362" s="2"/>
      <x:c r="C362" s="2" t="str">
        <x:v>Export / international income</x:v>
      </x:c>
      <x:c r="D362" s="17" t="n">
        <x:v>9229.26</x:v>
      </x:c>
      <x:c r="E362" s="17" t="n">
        <x:v>13835.23</x:v>
      </x:c>
      <x:c r="F362" s="17" t="n">
        <x:v>14359.61</x:v>
      </x:c>
      <x:c r="G362" s="17" t="n">
        <x:v>13451.86</x:v>
      </x:c>
      <x:c r="H362" s="17" t="n">
        <x:v>15694.66</x:v>
      </x:c>
      <x:c r="I362" s="3"/>
      <x:c r="J362" s="3"/>
      <x:c r="K362" s="3"/>
      <x:c r="L362" s="3"/>
      <x:c r="M362" s="3"/>
      <x:c r="N362" s="2"/>
      <x:c r="O362" s="16" t="str">
        <x:v>SEG. </x:v>
      </x:c>
    </x:row>
    <x:row r="363" ht="22" customHeight="1">
      <x:c r="A363" s="2"/>
      <x:c r="B363" s="2"/>
      <x:c r="C363" s="2" t="str">
        <x:v>External segment income within India</x:v>
      </x:c>
      <x:c r="D363" s="17" t="n">
        <x:v>113210.66</x:v>
      </x:c>
      <x:c r="E363" s="17" t="n">
        <x:v>127629.6</x:v>
      </x:c>
      <x:c r="F363" s="17" t="n">
        <x:v>167032.52</x:v>
      </x:c>
      <x:c r="G363" s="17" t="n">
        <x:v>211156.98</x:v>
      </x:c>
      <x:c r="H363" s="17" t="n">
        <x:v>273452.39</x:v>
      </x:c>
      <x:c r="I363" s="3"/>
      <x:c r="J363" s="3"/>
      <x:c r="K363" s="3"/>
      <x:c r="L363" s="3"/>
      <x:c r="M363" s="3"/>
      <x:c r="N363" s="2"/>
      <x:c r="O363" s="16" t="str">
        <x:v>SEG. </x:v>
      </x:c>
    </x:row>
    <x:row r="364" ht="20" customHeight="1">
      <x:c r="A364" s="2"/>
      <x:c r="B364" s="2"/>
      <x:c r="C364" s="2" t="str">
        <x:v>OPERATING KPIs</x:v>
      </x:c>
      <x:c r="D364" s="3"/>
      <x:c r="E364" s="3"/>
      <x:c r="F364" s="3"/>
      <x:c r="G364" s="3"/>
      <x:c r="H364" s="3"/>
      <x:c r="I364" s="3"/>
      <x:c r="J364" s="3"/>
      <x:c r="K364" s="3"/>
      <x:c r="L364" s="3"/>
      <x:c r="M364" s="3"/>
      <x:c r="N364" s="2"/>
      <x:c r="O364" s="2"/>
    </x:row>
    <x:row r="365" ht="22" customHeight="1">
      <x:c r="A365" s="2"/>
      <x:c r="B365" s="2"/>
      <x:c r="C365" s="2" t="str">
        <x:v>Organised domestic W&amp;C market share, low</x:v>
      </x:c>
      <x:c r="D365" s="72" t="n">
        <x:v>0.22</x:v>
      </x:c>
      <x:c r="E365" s="72" t="n">
        <x:v>0.22</x:v>
      </x:c>
      <x:c r="F365" s="72" t="n">
        <x:v>0.25</x:v>
      </x:c>
      <x:c r="G365" s="72" t="n">
        <x:v>0.26</x:v>
      </x:c>
      <x:c r="H365" s="72" t="n">
        <x:v>0.3</x:v>
      </x:c>
      <x:c r="I365" s="3"/>
      <x:c r="J365" s="3"/>
      <x:c r="K365" s="3"/>
      <x:c r="L365" s="3"/>
      <x:c r="M365" s="3"/>
      <x:c r="N365" s="2"/>
      <x:c r="O365" s="16" t="str">
        <x:v>OPS. Company estimates; ranges retained, not midpoints.</x:v>
      </x:c>
    </x:row>
    <x:row r="366" ht="22" customHeight="1">
      <x:c r="A366" s="2"/>
      <x:c r="B366" s="2"/>
      <x:c r="C366" s="2" t="str">
        <x:v>Organised domestic W&amp;C market share, high</x:v>
      </x:c>
      <x:c r="D366" s="72" t="n">
        <x:v>0.24</x:v>
      </x:c>
      <x:c r="E366" s="72" t="n">
        <x:v>0.24</x:v>
      </x:c>
      <x:c r="F366" s="72" t="n">
        <x:v>0.26</x:v>
      </x:c>
      <x:c r="G366" s="72" t="n">
        <x:v>0.27</x:v>
      </x:c>
      <x:c r="H366" s="72" t="n">
        <x:v>0.31</x:v>
      </x:c>
      <x:c r="I366" s="3"/>
      <x:c r="J366" s="3"/>
      <x:c r="K366" s="3"/>
      <x:c r="L366" s="3"/>
      <x:c r="M366" s="3"/>
      <x:c r="N366" s="2"/>
      <x:c r="O366" s="16" t="str">
        <x:v>OPS. Company estimates.</x:v>
      </x:c>
    </x:row>
    <x:row r="367" ht="22" customHeight="1">
      <x:c r="A367" s="2"/>
      <x:c r="B367" s="2"/>
      <x:c r="C367" s="2" t="str">
        <x:v>Dealers / distributors, reported lower bound</x:v>
      </x:c>
      <x:c r="D367" s="17" t="n">
        <x:v>4600</x:v>
      </x:c>
      <x:c r="E367" s="17" t="n">
        <x:v>4300</x:v>
      </x:c>
      <x:c r="F367" s="17" t="n">
        <x:v>3800</x:v>
      </x:c>
      <x:c r="G367" s="17" t="n">
        <x:v>4300</x:v>
      </x:c>
      <x:c r="H367" s="17" t="n">
        <x:v>3900</x:v>
      </x:c>
      <x:c r="I367" s="3"/>
      <x:c r="J367" s="3"/>
      <x:c r="K367" s="3"/>
      <x:c r="L367" s="3"/>
      <x:c r="M367" s="3"/>
      <x:c r="N367" s="2"/>
      <x:c r="O367" s="16" t="str">
        <x:v>OPS. Disclosures say + / over; count definitions and network scope may change.</x:v>
      </x:c>
    </x:row>
    <x:row r="368" ht="22" customHeight="1">
      <x:c r="A368" s="2"/>
      <x:c r="B368" s="2"/>
      <x:c r="C368" s="2" t="str">
        <x:v>Retail outlets, reported lower bound</x:v>
      </x:c>
      <x:c r="D368" s="17" t="n">
        <x:v>205000</x:v>
      </x:c>
      <x:c r="E368" s="17" t="n">
        <x:v>205000</x:v>
      </x:c>
      <x:c r="F368" s="17" t="n">
        <x:v>205000</x:v>
      </x:c>
      <x:c r="G368" s="17" t="n">
        <x:v>200000</x:v>
      </x:c>
      <x:c r="H368" s="17" t="n">
        <x:v>190000</x:v>
      </x:c>
      <x:c r="I368" s="3"/>
      <x:c r="J368" s="3"/>
      <x:c r="K368" s="3"/>
      <x:c r="L368" s="3"/>
      <x:c r="M368" s="3"/>
      <x:c r="N368" s="2"/>
      <x:c r="O368" s="16" t="str">
        <x:v>OPS. Disclosures say + / over; not an exact count.</x:v>
      </x:c>
    </x:row>
    <x:row r="369" ht="22" customHeight="1">
      <x:c r="A369" s="2"/>
      <x:c r="B369" s="2"/>
      <x:c r="C369" s="2" t="str">
        <x:v>Manufacturing units, corporate overview</x:v>
      </x:c>
      <x:c r="D369" s="17" t="n">
        <x:v>23</x:v>
      </x:c>
      <x:c r="E369" s="17" t="n">
        <x:v>25</x:v>
      </x:c>
      <x:c r="F369" s="17" t="n">
        <x:v>28</x:v>
      </x:c>
      <x:c r="G369" s="17" t="n">
        <x:v>27</x:v>
      </x:c>
      <x:c r="H369" s="17" t="n">
        <x:v>26</x:v>
      </x:c>
      <x:c r="I369" s="3"/>
      <x:c r="J369" s="3"/>
      <x:c r="K369" s="3"/>
      <x:c r="L369" s="3"/>
      <x:c r="M369" s="3"/>
      <x:c r="N369" s="2"/>
      <x:c r="O369" s="16" t="str">
        <x:v>OPS. Corporate-overview perimeter; differs from group-facility counts in financial notes.</x:v>
      </x:c>
    </x:row>
    <x:row r="370" ht="22" customHeight="1">
      <x:c r="A370" s="2"/>
      <x:c r="B370" s="2"/>
      <x:c r="C370" s="2" t="str">
        <x:v>Warehouses and depots</x:v>
      </x:c>
      <x:c r="D370" s="17" t="n">
        <x:v>28</x:v>
      </x:c>
      <x:c r="E370" s="17" t="n">
        <x:v>23</x:v>
      </x:c>
      <x:c r="F370" s="17" t="n">
        <x:v>29</x:v>
      </x:c>
      <x:c r="G370" s="17" t="n">
        <x:v>34</x:v>
      </x:c>
      <x:c r="H370" s="17" t="n">
        <x:v>35</x:v>
      </x:c>
      <x:c r="I370" s="3"/>
      <x:c r="J370" s="3"/>
      <x:c r="K370" s="3"/>
      <x:c r="L370" s="3"/>
      <x:c r="M370" s="3"/>
      <x:c r="N370" s="2"/>
      <x:c r="O370" s="16" t="str">
        <x:v>OPS. Corporate overview.</x:v>
      </x:c>
    </x:row>
    <x:row r="371" ht="22" customHeight="1">
      <x:c r="A371" s="2"/>
      <x:c r="B371" s="2"/>
      <x:c r="C371" s="2" t="str">
        <x:v>International country presence</x:v>
      </x:c>
      <x:c r="D371" s="17" t="n">
        <x:v>63</x:v>
      </x:c>
      <x:c r="E371" s="17" t="n">
        <x:v>70</x:v>
      </x:c>
      <x:c r="F371" s="17" t="n">
        <x:v>79</x:v>
      </x:c>
      <x:c r="G371" s="17" t="n">
        <x:v>84</x:v>
      </x:c>
      <x:c r="H371" s="17" t="n">
        <x:v>94</x:v>
      </x:c>
      <x:c r="I371" s="3"/>
      <x:c r="J371" s="3"/>
      <x:c r="K371" s="3"/>
      <x:c r="L371" s="3"/>
      <x:c r="M371" s="3"/>
      <x:c r="N371" s="2"/>
      <x:c r="O371" s="16" t="str">
        <x:v>P26. Q4FY26 presentation p10 historical series.</x:v>
      </x:c>
    </x:row>
    <x:row r="372" ht="22" customHeight="1">
      <x:c r="A372" s="2"/>
      <x:c r="B372" s="2"/>
      <x:c r="C372" s="2" t="str">
        <x:v>Capacity utilisation, disclosed range</x:v>
      </x:c>
      <x:c r="D372" s="3" t="str">
        <x:v>n.a.</x:v>
      </x:c>
      <x:c r="E372" s="3" t="str">
        <x:v>n.a.</x:v>
      </x:c>
      <x:c r="F372" s="3" t="str">
        <x:v>70–80%</x:v>
      </x:c>
      <x:c r="G372" s="3" t="str">
        <x:v>70–80%</x:v>
      </x:c>
      <x:c r="H372" s="3" t="str">
        <x:v>75–80%</x:v>
      </x:c>
      <x:c r="I372" s="3"/>
      <x:c r="J372" s="3"/>
      <x:c r="K372" s="3"/>
      <x:c r="L372" s="3"/>
      <x:c r="M372" s="3"/>
      <x:c r="N372" s="2"/>
      <x:c r="O372" s="16" t="str">
        <x:v>OPS. No numeric midpoint or forward assumption is imposed.</x:v>
      </x:c>
    </x:row>
    <x:row r="373" ht="32" customHeight="1">
      <x:c r="A373" s="2"/>
      <x:c r="B373" s="2"/>
      <x:c r="C373" s="2" t="str">
        <x:v>Domestic W&amp;C volume growth</x:v>
      </x:c>
      <x:c r="D373" s="23" t="str">
        <x:v>n.a.</x:v>
      </x:c>
      <x:c r="E373" s="23" t="str">
        <x:v>n.a.</x:v>
      </x:c>
      <x:c r="F373" s="23" t="str">
        <x:v>n.a.</x:v>
      </x:c>
      <x:c r="G373" s="23" t="str">
        <x:v>n.a.</x:v>
      </x:c>
      <x:c r="H373" s="72" t="n">
        <x:v>0.18</x:v>
      </x:c>
      <x:c r="I373" s="3"/>
      <x:c r="J373" s="3"/>
      <x:c r="K373" s="3"/>
      <x:c r="L373" s="3"/>
      <x:c r="M373" s="3"/>
      <x:c r="N373" s="2"/>
      <x:c r="O373" s="16" t="str">
        <x:v>OPS. FY26 approximate company disclosure, AR26 p44. Earlier comparable quantitative series not verified.</x:v>
      </x:c>
    </x:row>
    <x:row r="374" ht="22" customHeight="1">
      <x:c r="A374" s="2"/>
      <x:c r="B374" s="2"/>
      <x:c r="C374" s="2" t="str">
        <x:v>Advertising and sales promotion expense</x:v>
      </x:c>
      <x:c r="D374" s="17" t="n">
        <x:v>822.69</x:v>
      </x:c>
      <x:c r="E374" s="17" t="n">
        <x:v>1244.04</x:v>
      </x:c>
      <x:c r="F374" s="17" t="n">
        <x:v>1988.63</x:v>
      </x:c>
      <x:c r="G374" s="17" t="n">
        <x:v>1209</x:v>
      </x:c>
      <x:c r="H374" s="17" t="n">
        <x:v>1902</x:v>
      </x:c>
      <x:c r="I374" s="3"/>
      <x:c r="J374" s="3"/>
      <x:c r="K374" s="3"/>
      <x:c r="L374" s="3"/>
      <x:c r="M374" s="3"/>
      <x:c r="N374" s="2"/>
      <x:c r="O374" s="16" t="str">
        <x:v>ADS. AR22 p220–221; AR24 p370–371; Q4FY26 p27 (FY25/FY26 rounded).</x:v>
      </x:c>
    </x:row>
    <x:row r="375" ht="22" customHeight="1">
      <x:c r="A375" s="2"/>
      <x:c r="B375" s="2"/>
      <x:c r="C375" s="2" t="str">
        <x:v>Average LME copper price (USD/MT)</x:v>
      </x:c>
      <x:c r="D375" s="17" t="n">
        <x:v>9691</x:v>
      </x:c>
      <x:c r="E375" s="17" t="n">
        <x:v>8551</x:v>
      </x:c>
      <x:c r="F375" s="17" t="n">
        <x:v>8361</x:v>
      </x:c>
      <x:c r="G375" s="3" t="str">
        <x:v>n.a.</x:v>
      </x:c>
      <x:c r="H375" s="3" t="str">
        <x:v>n.a.</x:v>
      </x:c>
      <x:c r="I375" s="3"/>
      <x:c r="J375" s="3"/>
      <x:c r="K375" s="3"/>
      <x:c r="L375" s="3"/>
      <x:c r="M375" s="3"/>
      <x:c r="N375" s="2"/>
      <x:c r="O375" s="16" t="str">
        <x:v>AR24. AR24 p124 chart. Later comparable annual averages not verified.</x:v>
      </x:c>
    </x:row>
    <x:row r="376" ht="22" customHeight="1">
      <x:c r="A376" s="2"/>
      <x:c r="B376" s="2"/>
      <x:c r="C376" s="2" t="str">
        <x:v>Average LME aluminium price (USD/MT)</x:v>
      </x:c>
      <x:c r="D376" s="17" t="n">
        <x:v>3036</x:v>
      </x:c>
      <x:c r="E376" s="17" t="n">
        <x:v>2769</x:v>
      </x:c>
      <x:c r="F376" s="17" t="n">
        <x:v>2201</x:v>
      </x:c>
      <x:c r="G376" s="3" t="str">
        <x:v>n.a.</x:v>
      </x:c>
      <x:c r="H376" s="3" t="str">
        <x:v>n.a.</x:v>
      </x:c>
      <x:c r="I376" s="3"/>
      <x:c r="J376" s="3"/>
      <x:c r="K376" s="3"/>
      <x:c r="L376" s="3"/>
      <x:c r="M376" s="3"/>
      <x:c r="N376" s="2"/>
      <x:c r="O376" s="16" t="str">
        <x:v>AR24. AR24 p124 chart.</x:v>
      </x:c>
    </x:row>
    <x:row r="377" ht="20" customHeight="1">
      <x:c r="A377" s="2"/>
      <x:c r="B377" s="2"/>
      <x:c r="C377" s="2"/>
      <x:c r="D377" s="3"/>
      <x:c r="E377" s="3"/>
      <x:c r="F377" s="3"/>
      <x:c r="G377" s="3"/>
      <x:c r="H377" s="3"/>
      <x:c r="I377" s="3"/>
      <x:c r="J377" s="3"/>
      <x:c r="K377" s="3"/>
      <x:c r="L377" s="3"/>
      <x:c r="M377" s="3"/>
      <x:c r="N377" s="2"/>
      <x:c r="O377" s="2"/>
    </x:row>
    <x:row r="378" ht="20" customHeight="1">
      <x:c r="A378" s="2"/>
      <x:c r="B378" s="2"/>
      <x:c r="C378" s="2"/>
      <x:c r="D378" s="3"/>
      <x:c r="E378" s="3"/>
      <x:c r="F378" s="3"/>
      <x:c r="G378" s="3"/>
      <x:c r="H378" s="3"/>
      <x:c r="I378" s="3"/>
      <x:c r="J378" s="3"/>
      <x:c r="K378" s="3"/>
      <x:c r="L378" s="3"/>
      <x:c r="M378" s="3"/>
      <x:c r="N378" s="2"/>
      <x:c r="O378" s="2"/>
    </x:row>
    <x:row r="379" ht="20" customHeight="1">
      <x:c r="A379" s="2"/>
      <x:c r="B379" s="2"/>
      <x:c r="C379" s="2"/>
      <x:c r="D379" s="3"/>
      <x:c r="E379" s="3"/>
      <x:c r="F379" s="3"/>
      <x:c r="G379" s="3"/>
      <x:c r="H379" s="3"/>
      <x:c r="I379" s="3"/>
      <x:c r="J379" s="3"/>
      <x:c r="K379" s="3"/>
      <x:c r="L379" s="3"/>
      <x:c r="M379" s="3"/>
      <x:c r="N379" s="2"/>
      <x:c r="O379" s="2"/>
    </x:row>
    <x:row r="380" ht="20" customHeight="1">
      <x:c r="A380" s="2"/>
      <x:c r="B380" s="2"/>
      <x:c r="C380" s="2"/>
      <x:c r="D380" s="3"/>
      <x:c r="E380" s="3"/>
      <x:c r="F380" s="3"/>
      <x:c r="G380" s="3"/>
      <x:c r="H380" s="3"/>
      <x:c r="I380" s="3"/>
      <x:c r="J380" s="3"/>
      <x:c r="K380" s="3"/>
      <x:c r="L380" s="3"/>
      <x:c r="M380" s="3"/>
      <x:c r="N380" s="2"/>
      <x:c r="O380" s="2"/>
    </x:row>
    <x:row r="381" ht="20" customHeight="1">
      <x:c r="A381" s="2"/>
      <x:c r="B381" s="2"/>
      <x:c r="C381" s="2"/>
      <x:c r="D381" s="3"/>
      <x:c r="E381" s="3"/>
      <x:c r="F381" s="3"/>
      <x:c r="G381" s="3"/>
      <x:c r="H381" s="3"/>
      <x:c r="I381" s="3"/>
      <x:c r="J381" s="3"/>
      <x:c r="K381" s="3"/>
      <x:c r="L381" s="3"/>
      <x:c r="M381" s="3"/>
      <x:c r="N381" s="2"/>
      <x:c r="O381" s="2"/>
    </x:row>
    <x:row r="382" ht="20" customHeight="1">
      <x:c r="A382" s="2"/>
      <x:c r="B382" s="2"/>
      <x:c r="C382" s="2"/>
      <x:c r="D382" s="3"/>
      <x:c r="E382" s="3"/>
      <x:c r="F382" s="3"/>
      <x:c r="G382" s="3"/>
      <x:c r="H382" s="3"/>
      <x:c r="I382" s="3"/>
      <x:c r="J382" s="3"/>
      <x:c r="K382" s="3"/>
      <x:c r="L382" s="3"/>
      <x:c r="M382" s="3"/>
      <x:c r="N382" s="2"/>
      <x:c r="O382" s="2"/>
    </x:row>
    <x:row r="383" ht="20" customHeight="1">
      <x:c r="A383" s="2"/>
      <x:c r="B383" s="2"/>
      <x:c r="C383" s="2"/>
      <x:c r="D383" s="3"/>
      <x:c r="E383" s="3"/>
      <x:c r="F383" s="3"/>
      <x:c r="G383" s="3"/>
      <x:c r="H383" s="3"/>
      <x:c r="I383" s="3"/>
      <x:c r="J383" s="3"/>
      <x:c r="K383" s="3"/>
      <x:c r="L383" s="3"/>
      <x:c r="M383" s="3"/>
      <x:c r="N383" s="2"/>
      <x:c r="O383" s="2"/>
    </x:row>
    <x:row r="384" ht="20" customHeight="1">
      <x:c r="A384" s="2"/>
      <x:c r="B384" s="2"/>
      <x:c r="C384" s="2"/>
      <x:c r="D384" s="3"/>
      <x:c r="E384" s="3"/>
      <x:c r="F384" s="3"/>
      <x:c r="G384" s="3"/>
      <x:c r="H384" s="3"/>
      <x:c r="I384" s="3"/>
      <x:c r="J384" s="3"/>
      <x:c r="K384" s="3"/>
      <x:c r="L384" s="3"/>
      <x:c r="M384" s="3"/>
      <x:c r="N384" s="2"/>
      <x:c r="O384" s="2"/>
    </x:row>
    <x:row r="385" ht="20" customHeight="1">
      <x:c r="A385" s="2"/>
      <x:c r="B385" s="2"/>
      <x:c r="C385" s="2"/>
      <x:c r="D385" s="3"/>
      <x:c r="E385" s="3"/>
      <x:c r="F385" s="3"/>
      <x:c r="G385" s="3"/>
      <x:c r="H385" s="3"/>
      <x:c r="I385" s="3"/>
      <x:c r="J385" s="3"/>
      <x:c r="K385" s="3"/>
      <x:c r="L385" s="3"/>
      <x:c r="M385" s="3"/>
      <x:c r="N385" s="2"/>
      <x:c r="O385" s="2"/>
    </x:row>
    <x:row r="386" ht="20" customHeight="1">
      <x:c r="A386" s="2"/>
      <x:c r="B386" s="2"/>
      <x:c r="C386" s="2"/>
      <x:c r="D386" s="3"/>
      <x:c r="E386" s="3"/>
      <x:c r="F386" s="3"/>
      <x:c r="G386" s="3"/>
      <x:c r="H386" s="3"/>
      <x:c r="I386" s="3"/>
      <x:c r="J386" s="3"/>
      <x:c r="K386" s="3"/>
      <x:c r="L386" s="3"/>
      <x:c r="M386" s="3"/>
      <x:c r="N386" s="2"/>
      <x:c r="O386" s="2"/>
    </x:row>
    <x:row r="387" ht="20" customHeight="1">
      <x:c r="A387" s="2"/>
      <x:c r="B387" s="2"/>
      <x:c r="C387" s="2"/>
      <x:c r="D387" s="3"/>
      <x:c r="E387" s="3"/>
      <x:c r="F387" s="3"/>
      <x:c r="G387" s="3"/>
      <x:c r="H387" s="3"/>
      <x:c r="I387" s="3"/>
      <x:c r="J387" s="3"/>
      <x:c r="K387" s="3"/>
      <x:c r="L387" s="3"/>
      <x:c r="M387" s="3"/>
      <x:c r="N387" s="2"/>
      <x:c r="O387" s="2"/>
    </x:row>
    <x:row r="388" ht="20" customHeight="1">
      <x:c r="A388" s="2"/>
      <x:c r="B388" s="2"/>
      <x:c r="C388" s="2"/>
      <x:c r="D388" s="3"/>
      <x:c r="E388" s="3"/>
      <x:c r="F388" s="3"/>
      <x:c r="G388" s="3"/>
      <x:c r="H388" s="3"/>
      <x:c r="I388" s="3"/>
      <x:c r="J388" s="3"/>
      <x:c r="K388" s="3"/>
      <x:c r="L388" s="3"/>
      <x:c r="M388" s="3"/>
      <x:c r="N388" s="2"/>
      <x:c r="O388" s="2"/>
    </x:row>
    <x:row r="389" ht="20" customHeight="1">
      <x:c r="A389" s="2"/>
      <x:c r="B389" s="2"/>
      <x:c r="C389" s="2"/>
      <x:c r="D389" s="3"/>
      <x:c r="E389" s="3"/>
      <x:c r="F389" s="3"/>
      <x:c r="G389" s="3"/>
      <x:c r="H389" s="3"/>
      <x:c r="I389" s="3"/>
      <x:c r="J389" s="3"/>
      <x:c r="K389" s="3"/>
      <x:c r="L389" s="3"/>
      <x:c r="M389" s="3"/>
      <x:c r="N389" s="2"/>
      <x:c r="O389" s="2"/>
    </x:row>
    <x:row r="390" ht="20" customHeight="1">
      <x:c r="A390" s="2"/>
      <x:c r="B390" s="2"/>
      <x:c r="C390" s="2"/>
      <x:c r="D390" s="3"/>
      <x:c r="E390" s="3"/>
      <x:c r="F390" s="3"/>
      <x:c r="G390" s="3"/>
      <x:c r="H390" s="3"/>
      <x:c r="I390" s="3"/>
      <x:c r="J390" s="3"/>
      <x:c r="K390" s="3"/>
      <x:c r="L390" s="3"/>
      <x:c r="M390" s="3"/>
      <x:c r="N390" s="2"/>
      <x:c r="O390" s="2"/>
    </x:row>
    <x:row r="391" ht="20" customHeight="1">
      <x:c r="A391" s="2"/>
      <x:c r="B391" s="2"/>
      <x:c r="C391" s="2"/>
      <x:c r="D391" s="3"/>
      <x:c r="E391" s="3"/>
      <x:c r="F391" s="3"/>
      <x:c r="G391" s="3"/>
      <x:c r="H391" s="3"/>
      <x:c r="I391" s="3"/>
      <x:c r="J391" s="3"/>
      <x:c r="K391" s="3"/>
      <x:c r="L391" s="3"/>
      <x:c r="M391" s="3"/>
      <x:c r="N391" s="2"/>
      <x:c r="O391" s="2"/>
    </x:row>
    <x:row r="392" ht="24" customHeight="1">
      <x:c r="A392" s="2"/>
      <x:c r="B392" s="2"/>
      <x:c r="C392" s="11" t="str">
        <x:v>Historical working-capital definitions</x:v>
      </x:c>
      <x:c r="D392" s="19"/>
      <x:c r="E392" s="19"/>
      <x:c r="F392" s="19"/>
      <x:c r="G392" s="19"/>
      <x:c r="H392" s="19"/>
      <x:c r="I392" s="19"/>
      <x:c r="J392" s="19"/>
      <x:c r="K392" s="19"/>
      <x:c r="L392" s="19"/>
      <x:c r="M392" s="19"/>
      <x:c r="N392" s="2"/>
      <x:c r="O392" s="2"/>
    </x:row>
    <x:row r="393" ht="20" customHeight="1">
      <x:c r="A393" s="2"/>
      <x:c r="B393" s="2"/>
      <x:c r="C393" s="2"/>
      <x:c r="D393" s="3"/>
      <x:c r="E393" s="3"/>
      <x:c r="F393" s="3"/>
      <x:c r="G393" s="3"/>
      <x:c r="H393" s="3"/>
      <x:c r="I393" s="3"/>
      <x:c r="J393" s="3"/>
      <x:c r="K393" s="3"/>
      <x:c r="L393" s="3"/>
      <x:c r="M393" s="3"/>
      <x:c r="N393" s="2"/>
      <x:c r="O393" s="2"/>
    </x:row>
    <x:row r="394" ht="22" customHeight="1">
      <x:c r="A394" s="2"/>
      <x:c r="B394" s="2"/>
      <x:c r="C394" s="2" t="str">
        <x:v>Model days use 365 days and broad materials / traded goods / project costs. Reported company days are separate.</x:v>
      </x:c>
      <x:c r="D394" s="3"/>
      <x:c r="E394" s="3"/>
      <x:c r="F394" s="3"/>
      <x:c r="G394" s="3"/>
      <x:c r="H394" s="3"/>
      <x:c r="I394" s="3"/>
      <x:c r="J394" s="3"/>
      <x:c r="K394" s="3"/>
      <x:c r="L394" s="3"/>
      <x:c r="M394" s="3"/>
      <x:c r="N394" s="2"/>
      <x:c r="O394" s="16" t="str">
        <x:v>Active case</x:v>
      </x:c>
    </x:row>
    <x:row r="395" ht="22" customHeight="1">
      <x:c r="A395" s="2"/>
      <x:c r="B395" s="2"/>
      <x:c r="C395" s="2"/>
      <x:c r="D395" s="3"/>
      <x:c r="E395" s="3"/>
      <x:c r="F395" s="3"/>
      <x:c r="G395" s="3"/>
      <x:c r="H395" s="3"/>
      <x:c r="I395" s="3"/>
      <x:c r="J395" s="3"/>
      <x:c r="K395" s="3"/>
      <x:c r="L395" s="3"/>
      <x:c r="M395" s="3"/>
      <x:c r="N395" s="2"/>
      <x:c r="O395" s="16" t="str">
        <x:v>Base</x:v>
      </x:c>
    </x:row>
    <x:row r="396" ht="20" customHeight="1">
      <x:c r="A396" s="2"/>
      <x:c r="B396" s="2"/>
      <x:c r="C396" s="2" t="str">
        <x:v>INR million, unless specified</x:v>
      </x:c>
      <x:c r="D396" s="21" t="str">
        <x:v>FY22A</x:v>
      </x:c>
      <x:c r="E396" s="21" t="str">
        <x:v>FY23A</x:v>
      </x:c>
      <x:c r="F396" s="21" t="str">
        <x:v>FY24A</x:v>
      </x:c>
      <x:c r="G396" s="21" t="str">
        <x:v>FY25A</x:v>
      </x:c>
      <x:c r="H396" s="21" t="str">
        <x:v>FY26A</x:v>
      </x:c>
      <x:c r="I396" s="3"/>
      <x:c r="J396" s="3"/>
      <x:c r="K396" s="3"/>
      <x:c r="L396" s="3"/>
      <x:c r="M396" s="3"/>
      <x:c r="N396" s="2"/>
      <x:c r="O396" s="2"/>
    </x:row>
    <x:row r="397" ht="20" customHeight="1">
      <x:c r="A397" s="2"/>
      <x:c r="B397" s="2"/>
      <x:c r="C397" s="2"/>
      <x:c r="D397" s="3"/>
      <x:c r="E397" s="3"/>
      <x:c r="F397" s="3"/>
      <x:c r="G397" s="3"/>
      <x:c r="H397" s="3"/>
      <x:c r="I397" s="3"/>
      <x:c r="J397" s="3"/>
      <x:c r="K397" s="3"/>
      <x:c r="L397" s="3"/>
      <x:c r="M397" s="3"/>
      <x:c r="N397" s="2"/>
      <x:c r="O397" s="2"/>
    </x:row>
    <x:row r="398" ht="20" customHeight="1">
      <x:c r="A398" s="2"/>
      <x:c r="B398" s="2"/>
      <x:c r="C398" s="2" t="str">
        <x:v>Current trade receivables</x:v>
      </x:c>
      <x:c r="D398" s="22" t="n">
        <x:f>IF(ISNUMBER('01_Historical+Segments'!D183),'01_Historical+Segments'!D183,"")</x:f>
        <x:v>12963.94</x:v>
      </x:c>
      <x:c r="E398" s="22" t="n">
        <x:f>IF(ISNUMBER('01_Historical+Segments'!E183),'01_Historical+Segments'!E183,"")</x:f>
        <x:v>12465.96</x:v>
      </x:c>
      <x:c r="F398" s="22" t="n">
        <x:f>IF(ISNUMBER('01_Historical+Segments'!F183),'01_Historical+Segments'!F183,"")</x:f>
        <x:v>20471.17</x:v>
      </x:c>
      <x:c r="G398" s="22" t="n">
        <x:f>IF(ISNUMBER('01_Historical+Segments'!G183),'01_Historical+Segments'!G183,"")</x:f>
        <x:v>25962.68</x:v>
      </x:c>
      <x:c r="H398" s="22" t="n">
        <x:f>IF(ISNUMBER('01_Historical+Segments'!H183),'01_Historical+Segments'!H183,"")</x:f>
        <x:v>37585.04</x:v>
      </x:c>
      <x:c r="I398" s="3"/>
      <x:c r="J398" s="3"/>
      <x:c r="K398" s="3"/>
      <x:c r="L398" s="3"/>
      <x:c r="M398" s="3"/>
      <x:c r="N398" s="2"/>
      <x:c r="O398" s="2"/>
    </x:row>
    <x:row r="399" ht="20" customHeight="1">
      <x:c r="A399" s="2"/>
      <x:c r="B399" s="2"/>
      <x:c r="C399" s="2" t="str">
        <x:v>Non-current trade receivables</x:v>
      </x:c>
      <x:c r="D399" s="22" t="n">
        <x:f>IF(ISNUMBER('01_Historical+Segments'!D175),'01_Historical+Segments'!D175,"")</x:f>
        <x:v>799.31</x:v>
      </x:c>
      <x:c r="E399" s="22" t="n">
        <x:f>IF(ISNUMBER('01_Historical+Segments'!E175),'01_Historical+Segments'!E175,"")</x:f>
        <x:v>526.37</x:v>
      </x:c>
      <x:c r="F399" s="22" t="n">
        <x:f>IF(ISNUMBER('01_Historical+Segments'!F175),'01_Historical+Segments'!F175,"")</x:f>
        <x:v>1190.7</x:v>
      </x:c>
      <x:c r="G399" s="22" t="n">
        <x:f>IF(ISNUMBER('01_Historical+Segments'!G175),'01_Historical+Segments'!G175,"")</x:f>
        <x:v>2994.38</x:v>
      </x:c>
      <x:c r="H399" s="22" t="n">
        <x:f>IF(ISNUMBER('01_Historical+Segments'!H175),'01_Historical+Segments'!H175,"")</x:f>
        <x:v>4477.84</x:v>
      </x:c>
      <x:c r="I399" s="3"/>
      <x:c r="J399" s="3"/>
      <x:c r="K399" s="3"/>
      <x:c r="L399" s="3"/>
      <x:c r="M399" s="3"/>
      <x:c r="N399" s="2"/>
      <x:c r="O399" s="2"/>
    </x:row>
    <x:row r="400" ht="20" customHeight="1">
      <x:c r="A400" s="2"/>
      <x:c r="B400" s="2"/>
      <x:c r="C400" s="2" t="str">
        <x:v>Inventories</x:v>
      </x:c>
      <x:c r="D400" s="22" t="n">
        <x:f>IF(ISNUMBER('01_Historical+Segments'!D181),'01_Historical+Segments'!D181,"")</x:f>
        <x:v>21996.47</x:v>
      </x:c>
      <x:c r="E400" s="22" t="n">
        <x:f>IF(ISNUMBER('01_Historical+Segments'!E181),'01_Historical+Segments'!E181,"")</x:f>
        <x:v>29513.84</x:v>
      </x:c>
      <x:c r="F400" s="22" t="n">
        <x:f>IF(ISNUMBER('01_Historical+Segments'!F181),'01_Historical+Segments'!F181,"")</x:f>
        <x:v>36751.14</x:v>
      </x:c>
      <x:c r="G400" s="22" t="n">
        <x:f>IF(ISNUMBER('01_Historical+Segments'!G181),'01_Historical+Segments'!G181,"")</x:f>
        <x:v>36613</x:v>
      </x:c>
      <x:c r="H400" s="22" t="n">
        <x:f>IF(ISNUMBER('01_Historical+Segments'!H181),'01_Historical+Segments'!H181,"")</x:f>
        <x:v>55595.98</x:v>
      </x:c>
      <x:c r="I400" s="3"/>
      <x:c r="J400" s="3"/>
      <x:c r="K400" s="3"/>
      <x:c r="L400" s="3"/>
      <x:c r="M400" s="3"/>
      <x:c r="N400" s="2"/>
      <x:c r="O400" s="2"/>
    </x:row>
    <x:row r="401" ht="20" customHeight="1">
      <x:c r="A401" s="2"/>
      <x:c r="B401" s="2"/>
      <x:c r="C401" s="2" t="str">
        <x:v>Trade payables, excluding acceptances</x:v>
      </x:c>
      <x:c r="D401" s="22" t="n">
        <x:f>'01_Historical+Segments'!D205+'01_Historical+Segments'!D206</x:f>
        <x:v>5810.75</x:v>
      </x:c>
      <x:c r="E401" s="22" t="n">
        <x:f>'01_Historical+Segments'!E205+'01_Historical+Segments'!E206</x:f>
        <x:v>8068.88</x:v>
      </x:c>
      <x:c r="F401" s="22" t="n">
        <x:f>'01_Historical+Segments'!F205+'01_Historical+Segments'!F206</x:f>
        <x:v>10013.59</x:v>
      </x:c>
      <x:c r="G401" s="22" t="n">
        <x:f>'01_Historical+Segments'!G205+'01_Historical+Segments'!G206</x:f>
        <x:v>14295.19</x:v>
      </x:c>
      <x:c r="H401" s="22" t="n">
        <x:f>'01_Historical+Segments'!H205+'01_Historical+Segments'!H206</x:f>
        <x:v>17988.14</x:v>
      </x:c>
      <x:c r="I401" s="3"/>
      <x:c r="J401" s="3"/>
      <x:c r="K401" s="3"/>
      <x:c r="L401" s="3"/>
      <x:c r="M401" s="3"/>
      <x:c r="N401" s="2"/>
      <x:c r="O401" s="2"/>
    </x:row>
    <x:row r="402" ht="20" customHeight="1">
      <x:c r="A402" s="2"/>
      <x:c r="B402" s="2"/>
      <x:c r="C402" s="2" t="str">
        <x:v>Acceptances</x:v>
      </x:c>
      <x:c r="D402" s="22" t="n">
        <x:f>IF(ISNUMBER('01_Historical+Segments'!D204),'01_Historical+Segments'!D204,"")</x:f>
        <x:v>6364.55</x:v>
      </x:c>
      <x:c r="E402" s="22" t="n">
        <x:f>IF(ISNUMBER('01_Historical+Segments'!E204),'01_Historical+Segments'!E204,"")</x:f>
        <x:v>12257.56</x:v>
      </x:c>
      <x:c r="F402" s="22" t="n">
        <x:f>IF(ISNUMBER('01_Historical+Segments'!F204),'01_Historical+Segments'!F204,"")</x:f>
        <x:v>18619.66</x:v>
      </x:c>
      <x:c r="G402" s="22" t="n">
        <x:f>IF(ISNUMBER('01_Historical+Segments'!G204),'01_Historical+Segments'!G204,"")</x:f>
        <x:v>13062.37</x:v>
      </x:c>
      <x:c r="H402" s="22" t="n">
        <x:f>IF(ISNUMBER('01_Historical+Segments'!H204),'01_Historical+Segments'!H204,"")</x:f>
        <x:v>42656.19</x:v>
      </x:c>
      <x:c r="I402" s="3"/>
      <x:c r="J402" s="3"/>
      <x:c r="K402" s="3"/>
      <x:c r="L402" s="3"/>
      <x:c r="M402" s="3"/>
      <x:c r="N402" s="2"/>
      <x:c r="O402" s="2"/>
    </x:row>
    <x:row r="403" ht="20" customHeight="1">
      <x:c r="A403" s="2"/>
      <x:c r="B403" s="2"/>
      <x:c r="C403" s="2"/>
      <x:c r="D403" s="3"/>
      <x:c r="E403" s="3"/>
      <x:c r="F403" s="3"/>
      <x:c r="G403" s="3"/>
      <x:c r="H403" s="3"/>
      <x:c r="I403" s="3"/>
      <x:c r="J403" s="3"/>
      <x:c r="K403" s="3"/>
      <x:c r="L403" s="3"/>
      <x:c r="M403" s="3"/>
      <x:c r="N403" s="2"/>
      <x:c r="O403" s="2"/>
    </x:row>
    <x:row r="404" ht="20" customHeight="1">
      <x:c r="A404" s="2"/>
      <x:c r="B404" s="2"/>
      <x:c r="C404" s="2" t="str">
        <x:v>Trade working capital, including acceptances</x:v>
      </x:c>
      <x:c r="D404" s="14" t="n">
        <x:f>SUM(D398:D400)-SUM(D401:D402)</x:f>
        <x:v>23584.420000000002</x:v>
      </x:c>
      <x:c r="E404" s="14" t="n">
        <x:f>SUM(E398:E400)-SUM(E401:E402)</x:f>
        <x:v>22179.73</x:v>
      </x:c>
      <x:c r="F404" s="14" t="n">
        <x:f>SUM(F398:F400)-SUM(F401:F402)</x:f>
        <x:v>29779.759999999995</x:v>
      </x:c>
      <x:c r="G404" s="14" t="n">
        <x:f>SUM(G398:G400)-SUM(G401:G402)</x:f>
        <x:v>38212.5</x:v>
      </x:c>
      <x:c r="H404" s="14" t="n">
        <x:f>SUM(H398:H400)-SUM(H401:H402)</x:f>
        <x:v>37014.53000000001</x:v>
      </x:c>
      <x:c r="I404" s="3"/>
      <x:c r="J404" s="3"/>
      <x:c r="K404" s="3"/>
      <x:c r="L404" s="3"/>
      <x:c r="M404" s="3"/>
      <x:c r="N404" s="2"/>
      <x:c r="O404" s="2"/>
    </x:row>
    <x:row r="405" ht="20" customHeight="1">
      <x:c r="A405" s="2"/>
      <x:c r="B405" s="2"/>
      <x:c r="C405" s="2"/>
      <x:c r="D405" s="3"/>
      <x:c r="E405" s="3"/>
      <x:c r="F405" s="3"/>
      <x:c r="G405" s="3"/>
      <x:c r="H405" s="3"/>
      <x:c r="I405" s="3"/>
      <x:c r="J405" s="3"/>
      <x:c r="K405" s="3"/>
      <x:c r="L405" s="3"/>
      <x:c r="M405" s="3"/>
      <x:c r="N405" s="2"/>
      <x:c r="O405" s="2"/>
    </x:row>
    <x:row r="406" ht="20" customHeight="1">
      <x:c r="A406" s="2"/>
      <x:c r="B406" s="2"/>
      <x:c r="C406" s="2" t="str">
        <x:v>Other non-cash assets, excluding fixed assets</x:v>
      </x:c>
      <x:c r="D406" s="22" t="n">
        <x:f>'01_Historical+Segments'!D191-'01_Historical+Segments'!D455-'01_Historical+Segments'!D175-'01_Historical+Segments'!D183-'01_Historical+Segments'!D181-'01_Historical+Segments'!D182-'01_Historical+Segments'!D184-'01_Historical+Segments'!D185</x:f>
        <x:v>6141.919999999993</x:v>
      </x:c>
      <x:c r="E406" s="22" t="n">
        <x:f>'01_Historical+Segments'!E191-'01_Historical+Segments'!E455-'01_Historical+Segments'!E175-'01_Historical+Segments'!E183-'01_Historical+Segments'!E181-'01_Historical+Segments'!E182-'01_Historical+Segments'!E184-'01_Historical+Segments'!E185</x:f>
        <x:v>8114.140000000007</x:v>
      </x:c>
      <x:c r="F406" s="22" t="n">
        <x:f>'01_Historical+Segments'!F191-'01_Historical+Segments'!F455-'01_Historical+Segments'!F175-'01_Historical+Segments'!F183-'01_Historical+Segments'!F181-'01_Historical+Segments'!F182-'01_Historical+Segments'!F184-'01_Historical+Segments'!F185</x:f>
        <x:v>10968.42</x:v>
      </x:c>
      <x:c r="G406" s="22" t="n">
        <x:f>'01_Historical+Segments'!G191-'01_Historical+Segments'!G455-'01_Historical+Segments'!G175-'01_Historical+Segments'!G183-'01_Historical+Segments'!G181-'01_Historical+Segments'!G182-'01_Historical+Segments'!G184-'01_Historical+Segments'!G185</x:f>
        <x:v>9797.880000000006</x:v>
      </x:c>
      <x:c r="H406" s="22" t="n">
        <x:f>'01_Historical+Segments'!H191-'01_Historical+Segments'!H455-'01_Historical+Segments'!H175-'01_Historical+Segments'!H183-'01_Historical+Segments'!H181-'01_Historical+Segments'!H182-'01_Historical+Segments'!H184-'01_Historical+Segments'!H185</x:f>
        <x:v>15436.549999999985</x:v>
      </x:c>
      <x:c r="I406" s="3"/>
      <x:c r="J406" s="3"/>
      <x:c r="K406" s="3"/>
      <x:c r="L406" s="3"/>
      <x:c r="M406" s="3"/>
      <x:c r="N406" s="2"/>
      <x:c r="O406" s="2"/>
    </x:row>
    <x:row r="407" ht="20" customHeight="1">
      <x:c r="A407" s="2"/>
      <x:c r="B407" s="2"/>
      <x:c r="C407" s="2" t="str">
        <x:v>Other liabilities, excluding debt and leases</x:v>
      </x:c>
      <x:c r="D407" s="22" t="n">
        <x:f>'01_Historical+Segments'!D138-'01_Historical+Segments'!D133-'01_Historical+Segments'!D196-'01_Historical+Segments'!D203-D401-D402</x:f>
        <x:v>5074.170000000005</x:v>
      </x:c>
      <x:c r="E407" s="22" t="n">
        <x:f>'01_Historical+Segments'!E138-'01_Historical+Segments'!E133-'01_Historical+Segments'!E196-'01_Historical+Segments'!E203-E401-E402</x:f>
        <x:v>6089.009999999997</x:v>
      </x:c>
      <x:c r="F407" s="22" t="n">
        <x:f>'01_Historical+Segments'!F138-'01_Historical+Segments'!F133-'01_Historical+Segments'!F196-'01_Historical+Segments'!F203-F401-F402</x:f>
        <x:v>8111.25</x:v>
      </x:c>
      <x:c r="G407" s="22" t="n">
        <x:f>'01_Historical+Segments'!G138-'01_Historical+Segments'!G133-'01_Historical+Segments'!G196-'01_Historical+Segments'!G203-G401-G402</x:f>
        <x:v>9277.49</x:v>
      </x:c>
      <x:c r="H407" s="22" t="n">
        <x:f>'01_Historical+Segments'!H138-'01_Historical+Segments'!H133-'01_Historical+Segments'!H196-'01_Historical+Segments'!H203-H401-H402</x:f>
        <x:v>20494.710000000006</x:v>
      </x:c>
      <x:c r="I407" s="3"/>
      <x:c r="J407" s="3"/>
      <x:c r="K407" s="3"/>
      <x:c r="L407" s="3"/>
      <x:c r="M407" s="3"/>
      <x:c r="N407" s="2"/>
      <x:c r="O407" s="2"/>
    </x:row>
    <x:row r="408" ht="20" customHeight="1">
      <x:c r="A408" s="2"/>
      <x:c r="B408" s="2"/>
      <x:c r="C408" s="2"/>
      <x:c r="D408" s="3"/>
      <x:c r="E408" s="3"/>
      <x:c r="F408" s="3"/>
      <x:c r="G408" s="3"/>
      <x:c r="H408" s="3"/>
      <x:c r="I408" s="3"/>
      <x:c r="J408" s="3"/>
      <x:c r="K408" s="3"/>
      <x:c r="L408" s="3"/>
      <x:c r="M408" s="3"/>
      <x:c r="N408" s="2"/>
      <x:c r="O408" s="2"/>
    </x:row>
    <x:row r="409" ht="44" customHeight="1">
      <x:c r="A409" s="2"/>
      <x:c r="B409" s="2"/>
      <x:c r="C409" s="2" t="str">
        <x:v>Broad non-cash working-capital balance</x:v>
      </x:c>
      <x:c r="D409" s="14" t="n">
        <x:f>D404+D406-D407</x:f>
        <x:v>24652.16999999999</x:v>
      </x:c>
      <x:c r="E409" s="14" t="n">
        <x:f>E404+E406-E407</x:f>
        <x:v>24204.860000000008</x:v>
      </x:c>
      <x:c r="F409" s="14" t="n">
        <x:f>F404+F406-F407</x:f>
        <x:v>32636.929999999993</x:v>
      </x:c>
      <x:c r="G409" s="14" t="n">
        <x:f>G404+G406-G407</x:f>
        <x:v>38732.89000000001</x:v>
      </x:c>
      <x:c r="H409" s="14" t="n">
        <x:f>H404+H406-H407</x:f>
        <x:v>31956.369999999995</x:v>
      </x:c>
      <x:c r="I409" s="3"/>
      <x:c r="J409" s="3"/>
      <x:c r="K409" s="3"/>
      <x:c r="L409" s="3"/>
      <x:c r="M409" s="3"/>
      <x:c r="N409" s="2"/>
      <x:c r="O409" s="16" t="str">
        <x:v>Broad balance includes all non-cash non-fixed assets and liabilities except equity, borrowings, leases, current investments and other bank balances. DCF normalisation must consider tax and non-operating items.</x:v>
      </x:c>
    </x:row>
    <x:row r="410" ht="20" customHeight="1">
      <x:c r="A410" s="2"/>
      <x:c r="B410" s="2"/>
      <x:c r="C410" s="2" t="str">
        <x:v>Increase / (release) in broad balance</x:v>
      </x:c>
      <x:c r="D410" s="3" t="str">
        <x:v>n.a.</x:v>
      </x:c>
      <x:c r="E410" s="14" t="n">
        <x:f>E409-D409</x:f>
        <x:v>-447.3099999999831</x:v>
      </x:c>
      <x:c r="F410" s="14" t="n">
        <x:f>F409-E409</x:f>
        <x:v>8432.069999999985</x:v>
      </x:c>
      <x:c r="G410" s="14" t="n">
        <x:f>G409-F409</x:f>
        <x:v>6095.960000000014</x:v>
      </x:c>
      <x:c r="H410" s="14" t="n">
        <x:f>H409-G409</x:f>
        <x:v>-6776.520000000011</x:v>
      </x:c>
      <x:c r="I410" s="3"/>
      <x:c r="J410" s="3"/>
      <x:c r="K410" s="3"/>
      <x:c r="L410" s="3"/>
      <x:c r="M410" s="3"/>
      <x:c r="N410" s="2"/>
      <x:c r="O410" s="2"/>
    </x:row>
    <x:row r="411" ht="20" customHeight="1">
      <x:c r="A411" s="2"/>
      <x:c r="B411" s="2"/>
      <x:c r="C411" s="2"/>
      <x:c r="D411" s="3"/>
      <x:c r="E411" s="3"/>
      <x:c r="F411" s="3"/>
      <x:c r="G411" s="3"/>
      <x:c r="H411" s="3"/>
      <x:c r="I411" s="3"/>
      <x:c r="J411" s="3"/>
      <x:c r="K411" s="3"/>
      <x:c r="L411" s="3"/>
      <x:c r="M411" s="3"/>
      <x:c r="N411" s="2"/>
      <x:c r="O411" s="2"/>
    </x:row>
    <x:row r="412" ht="20" customHeight="1">
      <x:c r="A412" s="2"/>
      <x:c r="B412" s="2"/>
      <x:c r="C412" s="2"/>
      <x:c r="D412" s="3"/>
      <x:c r="E412" s="3"/>
      <x:c r="F412" s="3"/>
      <x:c r="G412" s="3"/>
      <x:c r="H412" s="3"/>
      <x:c r="I412" s="3"/>
      <x:c r="J412" s="3"/>
      <x:c r="K412" s="3"/>
      <x:c r="L412" s="3"/>
      <x:c r="M412" s="3"/>
      <x:c r="N412" s="2"/>
      <x:c r="O412" s="2"/>
    </x:row>
    <x:row r="413" ht="32" customHeight="1">
      <x:c r="A413" s="2"/>
      <x:c r="B413" s="2"/>
      <x:c r="C413" s="2" t="str">
        <x:v>Model closing receivable days</x:v>
      </x:c>
      <x:c r="D413" s="22" t="n">
        <x:f>D398/'01_Historical+Segments'!D143*365</x:f>
        <x:v>38.773605120585366</x:v>
      </x:c>
      <x:c r="E413" s="22" t="n">
        <x:f>E398/'01_Historical+Segments'!E143*365</x:f>
        <x:v>32.25224695200052</x:v>
      </x:c>
      <x:c r="F413" s="22" t="n">
        <x:f>F398/'01_Historical+Segments'!F143*365</x:f>
        <x:v>41.4202181065004</x:v>
      </x:c>
      <x:c r="G413" s="22" t="n">
        <x:f>G398/'01_Historical+Segments'!G143*365</x:f>
        <x:v>42.28956548402372</x:v>
      </x:c>
      <x:c r="H413" s="22" t="n">
        <x:f>H398/'01_Historical+Segments'!H143*365</x:f>
        <x:v>47.49563215245423</x:v>
      </x:c>
      <x:c r="I413" s="3"/>
      <x:c r="J413" s="3"/>
      <x:c r="K413" s="3"/>
      <x:c r="L413" s="3"/>
      <x:c r="M413" s="3"/>
      <x:c r="N413" s="2"/>
      <x:c r="O413" s="16" t="str">
        <x:v>Current receivables / revenue × 365. Inventory and payables use broad COGS. Not a reconstruction of company denominators.</x:v>
      </x:c>
    </x:row>
    <x:row r="414" ht="20" customHeight="1">
      <x:c r="A414" s="2"/>
      <x:c r="B414" s="2"/>
      <x:c r="C414" s="2" t="str">
        <x:v>Model closing inventory days</x:v>
      </x:c>
      <x:c r="D414" s="22" t="n">
        <x:f>D400/'01_Historical+Segments'!D111*365</x:f>
        <x:v>84.81920942571877</x:v>
      </x:c>
      <x:c r="E414" s="22" t="n">
        <x:f>E400/'01_Historical+Segments'!E111*365</x:f>
        <x:v>102.4893748354089</x:v>
      </x:c>
      <x:c r="F414" s="22" t="n">
        <x:f>F400/'01_Historical+Segments'!F111*365</x:f>
        <x:v>101.00799748439435</x:v>
      </x:c>
      <x:c r="G414" s="22" t="n">
        <x:f>G400/'01_Historical+Segments'!G111*365</x:f>
        <x:v>79.4041520893037</x:v>
      </x:c>
      <x:c r="H414" s="22" t="n">
        <x:f>H400/'01_Historical+Segments'!H111*365</x:f>
        <x:v>94.02702079924853</x:v>
      </x:c>
      <x:c r="I414" s="3"/>
      <x:c r="J414" s="3"/>
      <x:c r="K414" s="3"/>
      <x:c r="L414" s="3"/>
      <x:c r="M414" s="3"/>
      <x:c r="N414" s="2"/>
      <x:c r="O414" s="2"/>
    </x:row>
    <x:row r="415" ht="20" customHeight="1">
      <x:c r="A415" s="2"/>
      <x:c r="B415" s="2"/>
      <x:c r="C415" s="2" t="str">
        <x:v>Model closing payable days, excl acceptances</x:v>
      </x:c>
      <x:c r="D415" s="22" t="n">
        <x:f>D401/'01_Historical+Segments'!D111*365</x:f>
        <x:v>22.40646890935206</x:v>
      </x:c>
      <x:c r="E415" s="22" t="n">
        <x:f>E401/'01_Historical+Segments'!E111*365</x:f>
        <x:v>28.019887172320995</x:v>
      </x:c>
      <x:c r="F415" s="22" t="n">
        <x:f>F401/'01_Historical+Segments'!F111*365</x:f>
        <x:v>27.521667995326307</x:v>
      </x:c>
      <x:c r="G415" s="22" t="n">
        <x:f>G401/'01_Historical+Segments'!G111*365</x:f>
        <x:v>31.002579436415843</x:v>
      </x:c>
      <x:c r="H415" s="22" t="n">
        <x:f>H401/'01_Historical+Segments'!H111*365</x:f>
        <x:v>30.42254518977441</x:v>
      </x:c>
      <x:c r="I415" s="3"/>
      <x:c r="J415" s="3"/>
      <x:c r="K415" s="3"/>
      <x:c r="L415" s="3"/>
      <x:c r="M415" s="3"/>
      <x:c r="N415" s="2"/>
      <x:c r="O415" s="2"/>
    </x:row>
    <x:row r="416" ht="20" customHeight="1">
      <x:c r="A416" s="2"/>
      <x:c r="B416" s="2"/>
      <x:c r="C416" s="2" t="str">
        <x:v>Model closing acceptance days</x:v>
      </x:c>
      <x:c r="D416" s="22" t="n">
        <x:f>D402/'01_Historical+Segments'!D111*365</x:f>
        <x:v>24.54194238213942</x:v>
      </x:c>
      <x:c r="E416" s="22" t="n">
        <x:f>E402/'01_Historical+Segments'!E111*365</x:f>
        <x:v>42.565442565505364</x:v>
      </x:c>
      <x:c r="F416" s="22" t="n">
        <x:f>F402/'01_Historical+Segments'!F111*365</x:f>
        <x:v>51.174863431182764</x:v>
      </x:c>
      <x:c r="G416" s="22" t="n">
        <x:f>G402/'01_Historical+Segments'!G111*365</x:f>
        <x:v>28.32891088211176</x:v>
      </x:c>
      <x:c r="H416" s="22" t="n">
        <x:f>H402/'01_Historical+Segments'!H111*365</x:f>
        <x:v>72.14252657020701</x:v>
      </x:c>
      <x:c r="I416" s="3"/>
      <x:c r="J416" s="3"/>
      <x:c r="K416" s="3"/>
      <x:c r="L416" s="3"/>
      <x:c r="M416" s="3"/>
      <x:c r="N416" s="2"/>
      <x:c r="O416" s="2"/>
    </x:row>
    <x:row r="417" ht="20" customHeight="1">
      <x:c r="A417" s="2"/>
      <x:c r="B417" s="2"/>
      <x:c r="C417" s="2" t="str">
        <x:v>Model closing cash conversion cycle</x:v>
      </x:c>
      <x:c r="D417" s="14" t="n">
        <x:f>D413+D414-D415-D416</x:f>
        <x:v>76.64440325481266</x:v>
      </x:c>
      <x:c r="E417" s="14" t="n">
        <x:f>E413+E414-E415-E416</x:f>
        <x:v>64.15629204958307</x:v>
      </x:c>
      <x:c r="F417" s="14" t="n">
        <x:f>F413+F414-F415-F416</x:f>
        <x:v>63.731684164385676</x:v>
      </x:c>
      <x:c r="G417" s="14" t="n">
        <x:f>G413+G414-G415-G416</x:f>
        <x:v>62.362227254799805</x:v>
      </x:c>
      <x:c r="H417" s="14" t="n">
        <x:f>H413+H414-H415-H416</x:f>
        <x:v>38.95758119172133</x:v>
      </x:c>
      <x:c r="I417" s="3"/>
      <x:c r="J417" s="3"/>
      <x:c r="K417" s="3"/>
      <x:c r="L417" s="3"/>
      <x:c r="M417" s="3"/>
      <x:c r="N417" s="2"/>
      <x:c r="O417" s="2"/>
    </x:row>
    <x:row r="418" ht="20" customHeight="1">
      <x:c r="A418" s="2"/>
      <x:c r="B418" s="2"/>
      <x:c r="C418" s="2"/>
      <x:c r="D418" s="3"/>
      <x:c r="E418" s="3"/>
      <x:c r="F418" s="3"/>
      <x:c r="G418" s="3"/>
      <x:c r="H418" s="3"/>
      <x:c r="I418" s="3"/>
      <x:c r="J418" s="3"/>
      <x:c r="K418" s="3"/>
      <x:c r="L418" s="3"/>
      <x:c r="M418" s="3"/>
      <x:c r="N418" s="2"/>
      <x:c r="O418" s="2"/>
    </x:row>
    <x:row r="419" ht="20" customHeight="1">
      <x:c r="A419" s="2"/>
      <x:c r="B419" s="2"/>
      <x:c r="C419" s="2"/>
      <x:c r="D419" s="3"/>
      <x:c r="E419" s="3"/>
      <x:c r="F419" s="3"/>
      <x:c r="G419" s="3"/>
      <x:c r="H419" s="3"/>
      <x:c r="I419" s="3"/>
      <x:c r="J419" s="3"/>
      <x:c r="K419" s="3"/>
      <x:c r="L419" s="3"/>
      <x:c r="M419" s="3"/>
      <x:c r="N419" s="2"/>
      <x:c r="O419" s="2"/>
    </x:row>
    <x:row r="420" ht="22" customHeight="1">
      <x:c r="A420" s="2"/>
      <x:c r="B420" s="2"/>
      <x:c r="C420" s="2" t="str">
        <x:v>Model average receivable days</x:v>
      </x:c>
      <x:c r="D420" s="22" t="n">
        <x:f>(D398+'00_Cover+Sources'!D57)/2/'01_Historical+Segments'!D143*365</x:f>
        <x:v>40.857845585471566</x:v>
      </x:c>
      <x:c r="E420" s="22" t="n">
        <x:f>(E398+D398)/2/'01_Historical+Segments'!E143*365</x:f>
        <x:v>32.8964401764757</x:v>
      </x:c>
      <x:c r="F420" s="22" t="n">
        <x:f>(F398+E398)/2/'01_Historical+Segments'!F143*365</x:f>
        <x:v>33.32157146861067</x:v>
      </x:c>
      <x:c r="G420" s="22" t="n">
        <x:f>(G398+F398)/2/'01_Historical+Segments'!G143*365</x:f>
        <x:v>37.81711557224321</x:v>
      </x:c>
      <x:c r="H420" s="22" t="n">
        <x:f>(H398+G398)/2/'01_Historical+Segments'!H143*365</x:f>
        <x:v>40.15213411036889</x:v>
      </x:c>
      <x:c r="I420" s="3"/>
      <x:c r="J420" s="3"/>
      <x:c r="K420" s="3"/>
      <x:c r="L420" s="3"/>
      <x:c r="M420" s="3"/>
      <x:c r="N420" s="2"/>
      <x:c r="O420" s="16" t="str">
        <x:v>Average = opening/closing mean. FY22 opening balances from AR22 FY21 comparative in Sources.</x:v>
      </x:c>
    </x:row>
    <x:row r="421" ht="20" customHeight="1">
      <x:c r="A421" s="2"/>
      <x:c r="B421" s="2"/>
      <x:c r="C421" s="2" t="str">
        <x:v>Model average inventory days</x:v>
      </x:c>
      <x:c r="D421" s="22" t="n">
        <x:f>(D400+'00_Cover+Sources'!D58)/2/'01_Historical+Segments'!D111*365</x:f>
        <x:v>80.73688054609094</x:v>
      </x:c>
      <x:c r="E421" s="22" t="n">
        <x:f>(E400+D400)/2/'01_Historical+Segments'!E111*365</x:f>
        <x:v>89.43701445623665</x:v>
      </x:c>
      <x:c r="F421" s="22" t="n">
        <x:f>(F400+E400)/2/'01_Historical+Segments'!F111*365</x:f>
        <x:v>91.06238518238403</x:v>
      </x:c>
      <x:c r="G421" s="22" t="n">
        <x:f>(G400+F400)/2/'01_Historical+Segments'!G111*365</x:f>
        <x:v>79.55394710158917</x:v>
      </x:c>
      <x:c r="H421" s="22" t="n">
        <x:f>(H400+G400)/2/'01_Historical+Segments'!H111*365</x:f>
        <x:v>77.97448376966727</x:v>
      </x:c>
      <x:c r="I421" s="3"/>
      <x:c r="J421" s="3"/>
      <x:c r="K421" s="3"/>
      <x:c r="L421" s="3"/>
      <x:c r="M421" s="3"/>
      <x:c r="N421" s="2"/>
      <x:c r="O421" s="2"/>
    </x:row>
    <x:row r="422" ht="20" customHeight="1">
      <x:c r="A422" s="2"/>
      <x:c r="B422" s="2"/>
      <x:c r="C422" s="2" t="str">
        <x:v>Model average payable days, incl acceptances</x:v>
      </x:c>
      <x:c r="D422" s="22" t="n">
        <x:f>(D401+D402+'00_Cover+Sources'!D59)/2/'01_Historical+Segments'!D111*365</x:f>
        <x:v>49.46451420902214</x:v>
      </x:c>
      <x:c r="E422" s="22" t="n">
        <x:f>(E401+E402+SUM(D401:D402))/2/'01_Historical+Segments'!E111*365</x:f>
        <x:v>56.43255865151744</x:v>
      </x:c>
      <x:c r="F422" s="22" t="n">
        <x:f>(F401+F402+SUM(E401:E402))/2/'01_Historical+Segments'!F111*365</x:f>
        <x:v>67.28118154099067</x:v>
      </x:c>
      <x:c r="G422" s="22" t="n">
        <x:f>(G401+G402+SUM(F401:F402))/2/'01_Historical+Segments'!G111*365</x:f>
        <x:v>60.714811581177536</x:v>
      </x:c>
      <x:c r="H422" s="22" t="n">
        <x:f>(H401+H402+SUM(G401:G402))/2/'01_Historical+Segments'!H111*365</x:f>
        <x:v>74.41685119502509</x:v>
      </x:c>
      <x:c r="I422" s="3"/>
      <x:c r="J422" s="3"/>
      <x:c r="K422" s="3"/>
      <x:c r="L422" s="3"/>
      <x:c r="M422" s="3"/>
      <x:c r="N422" s="2"/>
      <x:c r="O422" s="2"/>
    </x:row>
    <x:row r="423" ht="20" customHeight="1">
      <x:c r="A423" s="2"/>
      <x:c r="B423" s="2"/>
      <x:c r="C423" s="2" t="str">
        <x:v>Model average cash conversion cycle</x:v>
      </x:c>
      <x:c r="D423" s="14" t="n">
        <x:f>SUM(D420:D421)-D422</x:f>
        <x:v>72.13021192254037</x:v>
      </x:c>
      <x:c r="E423" s="14" t="n">
        <x:f>SUM(E420:E421)-E422</x:f>
        <x:v>65.9008959811949</x:v>
      </x:c>
      <x:c r="F423" s="14" t="n">
        <x:f>SUM(F420:F421)-F422</x:f>
        <x:v>57.10277511000403</x:v>
      </x:c>
      <x:c r="G423" s="14" t="n">
        <x:f>SUM(G420:G421)-G422</x:f>
        <x:v>56.65625109265485</x:v>
      </x:c>
      <x:c r="H423" s="14" t="n">
        <x:f>SUM(H420:H421)-H422</x:f>
        <x:v>43.709766685011076</x:v>
      </x:c>
      <x:c r="I423" s="3"/>
      <x:c r="J423" s="3"/>
      <x:c r="K423" s="3"/>
      <x:c r="L423" s="3"/>
      <x:c r="M423" s="3"/>
      <x:c r="N423" s="2"/>
      <x:c r="O423" s="2"/>
    </x:row>
    <x:row r="424" ht="20" customHeight="1">
      <x:c r="A424" s="2"/>
      <x:c r="B424" s="2"/>
      <x:c r="C424" s="2"/>
      <x:c r="D424" s="3"/>
      <x:c r="E424" s="3"/>
      <x:c r="F424" s="3"/>
      <x:c r="G424" s="3"/>
      <x:c r="H424" s="3"/>
      <x:c r="I424" s="3"/>
      <x:c r="J424" s="3"/>
      <x:c r="K424" s="3"/>
      <x:c r="L424" s="3"/>
      <x:c r="M424" s="3"/>
      <x:c r="N424" s="2"/>
      <x:c r="O424" s="2"/>
    </x:row>
    <x:row r="425" ht="20" customHeight="1">
      <x:c r="A425" s="2"/>
      <x:c r="B425" s="2"/>
      <x:c r="C425" s="2"/>
      <x:c r="D425" s="3"/>
      <x:c r="E425" s="3"/>
      <x:c r="F425" s="3"/>
      <x:c r="G425" s="3"/>
      <x:c r="H425" s="3"/>
      <x:c r="I425" s="3"/>
      <x:c r="J425" s="3"/>
      <x:c r="K425" s="3"/>
      <x:c r="L425" s="3"/>
      <x:c r="M425" s="3"/>
      <x:c r="N425" s="2"/>
      <x:c r="O425" s="2"/>
    </x:row>
    <x:row r="426" ht="32" customHeight="1">
      <x:c r="A426" s="2"/>
      <x:c r="B426" s="2"/>
      <x:c r="C426" s="2" t="str">
        <x:v>Company closing receivable days</x:v>
      </x:c>
      <x:c r="D426" s="22" t="n">
        <x:f>IF(ISNUMBER('01_Historical+Segments'!D262),'01_Historical+Segments'!D262,"")</x:f>
        <x:v>39</x:v>
      </x:c>
      <x:c r="E426" s="22" t="n">
        <x:f>IF(ISNUMBER('01_Historical+Segments'!E262),'01_Historical+Segments'!E262,"")</x:f>
        <x:v>32</x:v>
      </x:c>
      <x:c r="F426" s="22" t="n">
        <x:f>IF(ISNUMBER('01_Historical+Segments'!F262),'01_Historical+Segments'!F262,"")</x:f>
        <x:v>41</x:v>
      </x:c>
      <x:c r="G426" s="22" t="n">
        <x:f>IF(ISNUMBER('01_Historical+Segments'!G262),'01_Historical+Segments'!G262,"")</x:f>
        <x:v>42</x:v>
      </x:c>
      <x:c r="H426" s="22" t="n">
        <x:f>IF(ISNUMBER('01_Historical+Segments'!H262),'01_Historical+Segments'!H262,"")</x:f>
        <x:v>47</x:v>
      </x:c>
      <x:c r="I426" s="3"/>
      <x:c r="J426" s="3"/>
      <x:c r="K426" s="3"/>
      <x:c r="L426" s="3"/>
      <x:c r="M426" s="3"/>
      <x:c r="N426" s="2"/>
      <x:c r="O426" s="16" t="str">
        <x:v>AR26 p520 five-year series. FY25 presentation comparator conflicts; both are documented in Sources.</x:v>
      </x:c>
    </x:row>
    <x:row r="427" ht="20" customHeight="1">
      <x:c r="A427" s="2"/>
      <x:c r="B427" s="2"/>
      <x:c r="C427" s="2" t="str">
        <x:v>Company closing inventory days</x:v>
      </x:c>
      <x:c r="D427" s="22" t="n">
        <x:f>IF(ISNUMBER('01_Historical+Segments'!D263),'01_Historical+Segments'!D263,"")</x:f>
        <x:v>85</x:v>
      </x:c>
      <x:c r="E427" s="22" t="n">
        <x:f>IF(ISNUMBER('01_Historical+Segments'!E263),'01_Historical+Segments'!E263,"")</x:f>
        <x:v>102</x:v>
      </x:c>
      <x:c r="F427" s="22" t="n">
        <x:f>IF(ISNUMBER('01_Historical+Segments'!F263),'01_Historical+Segments'!F263,"")</x:f>
        <x:v>101</x:v>
      </x:c>
      <x:c r="G427" s="22" t="n">
        <x:f>IF(ISNUMBER('01_Historical+Segments'!G263),'01_Historical+Segments'!G263,"")</x:f>
        <x:v>79</x:v>
      </x:c>
      <x:c r="H427" s="22" t="n">
        <x:f>IF(ISNUMBER('01_Historical+Segments'!H263),'01_Historical+Segments'!H263,"")</x:f>
        <x:v>94</x:v>
      </x:c>
      <x:c r="I427" s="3"/>
      <x:c r="J427" s="3"/>
      <x:c r="K427" s="3"/>
      <x:c r="L427" s="3"/>
      <x:c r="M427" s="3"/>
      <x:c r="N427" s="2"/>
      <x:c r="O427" s="2"/>
    </x:row>
    <x:row r="428" ht="20" customHeight="1">
      <x:c r="A428" s="2"/>
      <x:c r="B428" s="2"/>
      <x:c r="C428" s="2" t="str">
        <x:v>Company closing payable days</x:v>
      </x:c>
      <x:c r="D428" s="22" t="n">
        <x:f>IF(ISNUMBER('01_Historical+Segments'!D264),'01_Historical+Segments'!D264,"")</x:f>
        <x:v>63</x:v>
      </x:c>
      <x:c r="E428" s="22" t="n">
        <x:f>IF(ISNUMBER('01_Historical+Segments'!E264),'01_Historical+Segments'!E264,"")</x:f>
        <x:v>85</x:v>
      </x:c>
      <x:c r="F428" s="22" t="n">
        <x:f>IF(ISNUMBER('01_Historical+Segments'!F264),'01_Historical+Segments'!F264,"")</x:f>
        <x:v>94</x:v>
      </x:c>
      <x:c r="G428" s="22" t="n">
        <x:f>IF(ISNUMBER('01_Historical+Segments'!G264),'01_Historical+Segments'!G264,"")</x:f>
        <x:v>72</x:v>
      </x:c>
      <x:c r="H428" s="22" t="n">
        <x:f>IF(ISNUMBER('01_Historical+Segments'!H264),'01_Historical+Segments'!H264,"")</x:f>
        <x:v>130</x:v>
      </x:c>
      <x:c r="I428" s="3"/>
      <x:c r="J428" s="3"/>
      <x:c r="K428" s="3"/>
      <x:c r="L428" s="3"/>
      <x:c r="M428" s="3"/>
      <x:c r="N428" s="2"/>
      <x:c r="O428" s="2"/>
    </x:row>
    <x:row r="429" ht="20" customHeight="1">
      <x:c r="A429" s="2"/>
      <x:c r="B429" s="2"/>
      <x:c r="C429" s="2" t="str">
        <x:v>Company closing cash-cycle days</x:v>
      </x:c>
      <x:c r="D429" s="22" t="n">
        <x:f>IF(ISNUMBER('01_Historical+Segments'!D265),'01_Historical+Segments'!D265,"")</x:f>
        <x:v>61</x:v>
      </x:c>
      <x:c r="E429" s="22" t="n">
        <x:f>IF(ISNUMBER('01_Historical+Segments'!E265),'01_Historical+Segments'!E265,"")</x:f>
        <x:v>50</x:v>
      </x:c>
      <x:c r="F429" s="22" t="n">
        <x:f>IF(ISNUMBER('01_Historical+Segments'!F265),'01_Historical+Segments'!F265,"")</x:f>
        <x:v>48</x:v>
      </x:c>
      <x:c r="G429" s="22" t="n">
        <x:f>IF(ISNUMBER('01_Historical+Segments'!G265),'01_Historical+Segments'!G265,"")</x:f>
        <x:v>49</x:v>
      </x:c>
      <x:c r="H429" s="22" t="n">
        <x:f>IF(ISNUMBER('01_Historical+Segments'!H265),'01_Historical+Segments'!H265,"")</x:f>
        <x:v>11</x:v>
      </x:c>
      <x:c r="I429" s="3"/>
      <x:c r="J429" s="3"/>
      <x:c r="K429" s="3"/>
      <x:c r="L429" s="3"/>
      <x:c r="M429" s="3"/>
      <x:c r="N429" s="2"/>
      <x:c r="O429" s="2"/>
    </x:row>
    <x:row r="430" ht="20" customHeight="1">
      <x:c r="A430" s="2"/>
      <x:c r="B430" s="2"/>
      <x:c r="C430" s="2"/>
      <x:c r="D430" s="3"/>
      <x:c r="E430" s="3"/>
      <x:c r="F430" s="3"/>
      <x:c r="G430" s="3"/>
      <x:c r="H430" s="3"/>
      <x:c r="I430" s="3"/>
      <x:c r="J430" s="3"/>
      <x:c r="K430" s="3"/>
      <x:c r="L430" s="3"/>
      <x:c r="M430" s="3"/>
      <x:c r="N430" s="2"/>
      <x:c r="O430" s="2"/>
    </x:row>
    <x:row r="431" ht="20" customHeight="1">
      <x:c r="A431" s="2"/>
      <x:c r="B431" s="2"/>
      <x:c r="C431" s="2"/>
      <x:c r="D431" s="3"/>
      <x:c r="E431" s="3"/>
      <x:c r="F431" s="3"/>
      <x:c r="G431" s="3"/>
      <x:c r="H431" s="3"/>
      <x:c r="I431" s="3"/>
      <x:c r="J431" s="3"/>
      <x:c r="K431" s="3"/>
      <x:c r="L431" s="3"/>
      <x:c r="M431" s="3"/>
      <x:c r="N431" s="2"/>
      <x:c r="O431" s="2"/>
    </x:row>
    <x:row r="432" ht="20" customHeight="1">
      <x:c r="A432" s="2"/>
      <x:c r="B432" s="2"/>
      <x:c r="C432" s="2"/>
      <x:c r="D432" s="3"/>
      <x:c r="E432" s="3"/>
      <x:c r="F432" s="3"/>
      <x:c r="G432" s="3"/>
      <x:c r="H432" s="3"/>
      <x:c r="I432" s="3"/>
      <x:c r="J432" s="3"/>
      <x:c r="K432" s="3"/>
      <x:c r="L432" s="3"/>
      <x:c r="M432" s="3"/>
      <x:c r="N432" s="2"/>
      <x:c r="O432" s="2"/>
    </x:row>
    <x:row r="433" ht="20" customHeight="1">
      <x:c r="A433" s="2"/>
      <x:c r="B433" s="2"/>
      <x:c r="C433" s="2"/>
      <x:c r="D433" s="3"/>
      <x:c r="E433" s="3"/>
      <x:c r="F433" s="3"/>
      <x:c r="G433" s="3"/>
      <x:c r="H433" s="3"/>
      <x:c r="I433" s="3"/>
      <x:c r="J433" s="3"/>
      <x:c r="K433" s="3"/>
      <x:c r="L433" s="3"/>
      <x:c r="M433" s="3"/>
      <x:c r="N433" s="2"/>
      <x:c r="O433" s="2"/>
    </x:row>
    <x:row r="434" ht="20" customHeight="1">
      <x:c r="A434" s="2"/>
      <x:c r="B434" s="2"/>
      <x:c r="C434" s="2"/>
      <x:c r="D434" s="3"/>
      <x:c r="E434" s="3"/>
      <x:c r="F434" s="3"/>
      <x:c r="G434" s="3"/>
      <x:c r="H434" s="3"/>
      <x:c r="I434" s="3"/>
      <x:c r="J434" s="3"/>
      <x:c r="K434" s="3"/>
      <x:c r="L434" s="3"/>
      <x:c r="M434" s="3"/>
      <x:c r="N434" s="2"/>
      <x:c r="O434" s="2"/>
    </x:row>
    <x:row r="435" ht="20" customHeight="1">
      <x:c r="A435" s="2"/>
      <x:c r="B435" s="2"/>
      <x:c r="C435" s="2"/>
      <x:c r="D435" s="3"/>
      <x:c r="E435" s="3"/>
      <x:c r="F435" s="3"/>
      <x:c r="G435" s="3"/>
      <x:c r="H435" s="3"/>
      <x:c r="I435" s="3"/>
      <x:c r="J435" s="3"/>
      <x:c r="K435" s="3"/>
      <x:c r="L435" s="3"/>
      <x:c r="M435" s="3"/>
      <x:c r="N435" s="2"/>
      <x:c r="O435" s="2"/>
    </x:row>
    <x:row r="436" ht="20" customHeight="1">
      <x:c r="A436" s="2"/>
      <x:c r="B436" s="2"/>
      <x:c r="C436" s="2"/>
      <x:c r="D436" s="3"/>
      <x:c r="E436" s="3"/>
      <x:c r="F436" s="3"/>
      <x:c r="G436" s="3"/>
      <x:c r="H436" s="3"/>
      <x:c r="I436" s="3"/>
      <x:c r="J436" s="3"/>
      <x:c r="K436" s="3"/>
      <x:c r="L436" s="3"/>
      <x:c r="M436" s="3"/>
      <x:c r="N436" s="2"/>
      <x:c r="O436" s="2"/>
    </x:row>
    <x:row r="437" ht="20" customHeight="1">
      <x:c r="A437" s="2"/>
      <x:c r="B437" s="2"/>
      <x:c r="C437" s="2"/>
      <x:c r="D437" s="3"/>
      <x:c r="E437" s="3"/>
      <x:c r="F437" s="3"/>
      <x:c r="G437" s="3"/>
      <x:c r="H437" s="3"/>
      <x:c r="I437" s="3"/>
      <x:c r="J437" s="3"/>
      <x:c r="K437" s="3"/>
      <x:c r="L437" s="3"/>
      <x:c r="M437" s="3"/>
      <x:c r="N437" s="2"/>
      <x:c r="O437" s="2"/>
    </x:row>
    <x:row r="438" ht="20" customHeight="1">
      <x:c r="A438" s="2"/>
      <x:c r="B438" s="2"/>
      <x:c r="C438" s="2"/>
      <x:c r="D438" s="3"/>
      <x:c r="E438" s="3"/>
      <x:c r="F438" s="3"/>
      <x:c r="G438" s="3"/>
      <x:c r="H438" s="3"/>
      <x:c r="I438" s="3"/>
      <x:c r="J438" s="3"/>
      <x:c r="K438" s="3"/>
      <x:c r="L438" s="3"/>
      <x:c r="M438" s="3"/>
      <x:c r="N438" s="2"/>
      <x:c r="O438" s="2"/>
    </x:row>
    <x:row r="439" ht="20" customHeight="1">
      <x:c r="A439" s="2"/>
      <x:c r="B439" s="2"/>
      <x:c r="C439" s="2"/>
      <x:c r="D439" s="3"/>
      <x:c r="E439" s="3"/>
      <x:c r="F439" s="3"/>
      <x:c r="G439" s="3"/>
      <x:c r="H439" s="3"/>
      <x:c r="I439" s="3"/>
      <x:c r="J439" s="3"/>
      <x:c r="K439" s="3"/>
      <x:c r="L439" s="3"/>
      <x:c r="M439" s="3"/>
      <x:c r="N439" s="2"/>
      <x:c r="O439" s="2"/>
    </x:row>
    <x:row r="440" ht="20" customHeight="1">
      <x:c r="A440" s="2"/>
      <x:c r="B440" s="2"/>
      <x:c r="C440" s="2"/>
      <x:c r="D440" s="3"/>
      <x:c r="E440" s="3"/>
      <x:c r="F440" s="3"/>
      <x:c r="G440" s="3"/>
      <x:c r="H440" s="3"/>
      <x:c r="I440" s="3"/>
      <x:c r="J440" s="3"/>
      <x:c r="K440" s="3"/>
      <x:c r="L440" s="3"/>
      <x:c r="M440" s="3"/>
      <x:c r="N440" s="2"/>
      <x:c r="O440" s="2"/>
    </x:row>
    <x:row r="441" ht="20" customHeight="1">
      <x:c r="A441" s="2"/>
      <x:c r="B441" s="2"/>
      <x:c r="C441" s="2"/>
      <x:c r="D441" s="3"/>
      <x:c r="E441" s="3"/>
      <x:c r="F441" s="3"/>
      <x:c r="G441" s="3"/>
      <x:c r="H441" s="3"/>
      <x:c r="I441" s="3"/>
      <x:c r="J441" s="3"/>
      <x:c r="K441" s="3"/>
      <x:c r="L441" s="3"/>
      <x:c r="M441" s="3"/>
      <x:c r="N441" s="2"/>
      <x:c r="O441" s="2"/>
    </x:row>
    <x:row r="442" ht="24" customHeight="1">
      <x:c r="A442" s="2"/>
      <x:c r="B442" s="2"/>
      <x:c r="C442" s="11" t="str">
        <x:v>Historical fixed assets and cash-to-book reconciliation</x:v>
      </x:c>
      <x:c r="D442" s="19"/>
      <x:c r="E442" s="19"/>
      <x:c r="F442" s="19"/>
      <x:c r="G442" s="19"/>
      <x:c r="H442" s="19"/>
      <x:c r="I442" s="19"/>
      <x:c r="J442" s="19"/>
      <x:c r="K442" s="19"/>
      <x:c r="L442" s="19"/>
      <x:c r="M442" s="19"/>
      <x:c r="N442" s="2"/>
      <x:c r="O442" s="2"/>
    </x:row>
    <x:row r="443" ht="20" customHeight="1">
      <x:c r="A443" s="2"/>
      <x:c r="B443" s="2"/>
      <x:c r="C443" s="2"/>
      <x:c r="D443" s="3"/>
      <x:c r="E443" s="3"/>
      <x:c r="F443" s="3"/>
      <x:c r="G443" s="3"/>
      <x:c r="H443" s="3"/>
      <x:c r="I443" s="3"/>
      <x:c r="J443" s="3"/>
      <x:c r="K443" s="3"/>
      <x:c r="L443" s="3"/>
      <x:c r="M443" s="3"/>
      <x:c r="N443" s="2"/>
      <x:c r="O443" s="2"/>
    </x:row>
    <x:row r="444" ht="22" customHeight="1">
      <x:c r="A444" s="2"/>
      <x:c r="B444" s="2"/>
      <x:c r="C444" s="2" t="str">
        <x:v>Cash capex and book assets use separate definitions. Future cash-to-book adjustments require inputs.</x:v>
      </x:c>
      <x:c r="D444" s="3"/>
      <x:c r="E444" s="3"/>
      <x:c r="F444" s="3"/>
      <x:c r="G444" s="3"/>
      <x:c r="H444" s="3"/>
      <x:c r="I444" s="3"/>
      <x:c r="J444" s="3"/>
      <x:c r="K444" s="3"/>
      <x:c r="L444" s="3"/>
      <x:c r="M444" s="3"/>
      <x:c r="N444" s="2"/>
      <x:c r="O444" s="16" t="str">
        <x:v>Active case</x:v>
      </x:c>
    </x:row>
    <x:row r="445" ht="22" customHeight="1">
      <x:c r="A445" s="2"/>
      <x:c r="B445" s="2"/>
      <x:c r="C445" s="2"/>
      <x:c r="D445" s="3"/>
      <x:c r="E445" s="3"/>
      <x:c r="F445" s="3"/>
      <x:c r="G445" s="3"/>
      <x:c r="H445" s="3"/>
      <x:c r="I445" s="3"/>
      <x:c r="J445" s="3"/>
      <x:c r="K445" s="3"/>
      <x:c r="L445" s="3"/>
      <x:c r="M445" s="3"/>
      <x:c r="N445" s="2"/>
      <x:c r="O445" s="16" t="str">
        <x:v>Base</x:v>
      </x:c>
    </x:row>
    <x:row r="446" ht="20" customHeight="1">
      <x:c r="A446" s="2"/>
      <x:c r="B446" s="2"/>
      <x:c r="C446" s="2" t="str">
        <x:v>INR million, unless specified</x:v>
      </x:c>
      <x:c r="D446" s="21" t="str">
        <x:v>FY22A</x:v>
      </x:c>
      <x:c r="E446" s="21" t="str">
        <x:v>FY23A</x:v>
      </x:c>
      <x:c r="F446" s="21" t="str">
        <x:v>FY24A</x:v>
      </x:c>
      <x:c r="G446" s="21" t="str">
        <x:v>FY25A</x:v>
      </x:c>
      <x:c r="H446" s="21" t="str">
        <x:v>FY26A</x:v>
      </x:c>
      <x:c r="I446" s="3"/>
      <x:c r="J446" s="3"/>
      <x:c r="K446" s="3"/>
      <x:c r="L446" s="3"/>
      <x:c r="M446" s="3"/>
      <x:c r="N446" s="2"/>
      <x:c r="O446" s="2"/>
    </x:row>
    <x:row r="447" ht="20" customHeight="1">
      <x:c r="A447" s="2"/>
      <x:c r="B447" s="2"/>
      <x:c r="C447" s="2"/>
      <x:c r="D447" s="3"/>
      <x:c r="E447" s="3"/>
      <x:c r="F447" s="3"/>
      <x:c r="G447" s="3"/>
      <x:c r="H447" s="3"/>
      <x:c r="I447" s="3"/>
      <x:c r="J447" s="3"/>
      <x:c r="K447" s="3"/>
      <x:c r="L447" s="3"/>
      <x:c r="M447" s="3"/>
      <x:c r="N447" s="2"/>
      <x:c r="O447" s="2"/>
    </x:row>
    <x:row r="448" ht="20" customHeight="1">
      <x:c r="A448" s="2"/>
      <x:c r="B448" s="2"/>
      <x:c r="C448" s="2" t="str">
        <x:v>PPE, net</x:v>
      </x:c>
      <x:c r="D448" s="22" t="n">
        <x:f>IF(ISNUMBER('01_Historical+Segments'!D168),'01_Historical+Segments'!D168,"")</x:f>
        <x:v>16170.25</x:v>
      </x:c>
      <x:c r="E448" s="22" t="n">
        <x:f>IF(ISNUMBER('01_Historical+Segments'!E168),'01_Historical+Segments'!E168,"")</x:f>
        <x:v>20104.28</x:v>
      </x:c>
      <x:c r="F448" s="22" t="n">
        <x:f>IF(ISNUMBER('01_Historical+Segments'!F168),'01_Historical+Segments'!F168,"")</x:f>
        <x:v>21677.57</x:v>
      </x:c>
      <x:c r="G448" s="22" t="n">
        <x:f>IF(ISNUMBER('01_Historical+Segments'!G168),'01_Historical+Segments'!G168,"")</x:f>
        <x:v>27913.26</x:v>
      </x:c>
      <x:c r="H448" s="22" t="n">
        <x:f>IF(ISNUMBER('01_Historical+Segments'!H168),'01_Historical+Segments'!H168,"")</x:f>
        <x:v>35050.71</x:v>
      </x:c>
      <x:c r="I448" s="3"/>
      <x:c r="J448" s="3"/>
      <x:c r="K448" s="3"/>
      <x:c r="L448" s="3"/>
      <x:c r="M448" s="3"/>
      <x:c r="N448" s="2"/>
      <x:c r="O448" s="2"/>
    </x:row>
    <x:row r="449" ht="20" customHeight="1">
      <x:c r="A449" s="2"/>
      <x:c r="B449" s="2"/>
      <x:c r="C449" s="2" t="str">
        <x:v>Capital work-in-progress</x:v>
      </x:c>
      <x:c r="D449" s="22" t="n">
        <x:f>IF(ISNUMBER('01_Historical+Segments'!D169),'01_Historical+Segments'!D169,"")</x:f>
        <x:v>3754.5</x:v>
      </x:c>
      <x:c r="E449" s="22" t="n">
        <x:f>IF(ISNUMBER('01_Historical+Segments'!E169),'01_Historical+Segments'!E169,"")</x:f>
        <x:v>2507.67</x:v>
      </x:c>
      <x:c r="F449" s="22" t="n">
        <x:f>IF(ISNUMBER('01_Historical+Segments'!F169),'01_Historical+Segments'!F169,"")</x:f>
        <x:v>5784.46</x:v>
      </x:c>
      <x:c r="G449" s="22" t="n">
        <x:f>IF(ISNUMBER('01_Historical+Segments'!G169),'01_Historical+Segments'!G169,"")</x:f>
        <x:v>7081.44</x:v>
      </x:c>
      <x:c r="H449" s="22" t="n">
        <x:f>IF(ISNUMBER('01_Historical+Segments'!H169),'01_Historical+Segments'!H169,"")</x:f>
        <x:v>11392.59</x:v>
      </x:c>
      <x:c r="I449" s="3"/>
      <x:c r="J449" s="3"/>
      <x:c r="K449" s="3"/>
      <x:c r="L449" s="3"/>
      <x:c r="M449" s="3"/>
      <x:c r="N449" s="2"/>
      <x:c r="O449" s="2"/>
    </x:row>
    <x:row r="450" ht="20" customHeight="1">
      <x:c r="A450" s="2"/>
      <x:c r="B450" s="2"/>
      <x:c r="C450" s="2" t="str">
        <x:v>Right-of-use assets</x:v>
      </x:c>
      <x:c r="D450" s="22" t="n">
        <x:f>IF(ISNUMBER('01_Historical+Segments'!D171),'01_Historical+Segments'!D171,"")</x:f>
        <x:v>351.36</x:v>
      </x:c>
      <x:c r="E450" s="22" t="n">
        <x:f>IF(ISNUMBER('01_Historical+Segments'!E171),'01_Historical+Segments'!E171,"")</x:f>
        <x:v>361.82</x:v>
      </x:c>
      <x:c r="F450" s="22" t="n">
        <x:f>IF(ISNUMBER('01_Historical+Segments'!F171),'01_Historical+Segments'!F171,"")</x:f>
        <x:v>728.26</x:v>
      </x:c>
      <x:c r="G450" s="22" t="n">
        <x:f>IF(ISNUMBER('01_Historical+Segments'!G171),'01_Historical+Segments'!G171,"")</x:f>
        <x:v>1309.71</x:v>
      </x:c>
      <x:c r="H450" s="22" t="n">
        <x:f>IF(ISNUMBER('01_Historical+Segments'!H171),'01_Historical+Segments'!H171,"")</x:f>
        <x:v>1426.27</x:v>
      </x:c>
      <x:c r="I450" s="3"/>
      <x:c r="J450" s="3"/>
      <x:c r="K450" s="3"/>
      <x:c r="L450" s="3"/>
      <x:c r="M450" s="3"/>
      <x:c r="N450" s="2"/>
      <x:c r="O450" s="2"/>
    </x:row>
    <x:row r="451" ht="20" customHeight="1">
      <x:c r="A451" s="2"/>
      <x:c r="B451" s="2"/>
      <x:c r="C451" s="2" t="str">
        <x:v>Intangible assets</x:v>
      </x:c>
      <x:c r="D451" s="22" t="n">
        <x:f>IF(ISNUMBER('01_Historical+Segments'!D172),'01_Historical+Segments'!D172,"")</x:f>
        <x:v>183.4</x:v>
      </x:c>
      <x:c r="E451" s="22" t="n">
        <x:f>IF(ISNUMBER('01_Historical+Segments'!E172),'01_Historical+Segments'!E172,"")</x:f>
        <x:v>157.08</x:v>
      </x:c>
      <x:c r="F451" s="22" t="n">
        <x:f>IF(ISNUMBER('01_Historical+Segments'!F172),'01_Historical+Segments'!F172,"")</x:f>
        <x:v>160.17</x:v>
      </x:c>
      <x:c r="G451" s="22" t="n">
        <x:f>IF(ISNUMBER('01_Historical+Segments'!G172),'01_Historical+Segments'!G172,"")</x:f>
        <x:v>98.45</x:v>
      </x:c>
      <x:c r="H451" s="22" t="n">
        <x:f>IF(ISNUMBER('01_Historical+Segments'!H172),'01_Historical+Segments'!H172,"")</x:f>
        <x:v>40.97</x:v>
      </x:c>
      <x:c r="I451" s="3"/>
      <x:c r="J451" s="3"/>
      <x:c r="K451" s="3"/>
      <x:c r="L451" s="3"/>
      <x:c r="M451" s="3"/>
      <x:c r="N451" s="2"/>
      <x:c r="O451" s="2"/>
    </x:row>
    <x:row r="452" ht="20" customHeight="1">
      <x:c r="A452" s="2"/>
      <x:c r="B452" s="2"/>
      <x:c r="C452" s="2" t="str">
        <x:v>Investment property under construction</x:v>
      </x:c>
      <x:c r="D452" s="22" t="n">
        <x:f>IF(ISNUMBER('01_Historical+Segments'!D170),'01_Historical+Segments'!D170,"")</x:f>
        <x:v>0</x:v>
      </x:c>
      <x:c r="E452" s="22" t="n">
        <x:f>IF(ISNUMBER('01_Historical+Segments'!E170),'01_Historical+Segments'!E170,"")</x:f>
        <x:v>0</x:v>
      </x:c>
      <x:c r="F452" s="22" t="n">
        <x:f>IF(ISNUMBER('01_Historical+Segments'!F170),'01_Historical+Segments'!F170,"")</x:f>
        <x:v>762.98</x:v>
      </x:c>
      <x:c r="G452" s="22" t="n">
        <x:f>IF(ISNUMBER('01_Historical+Segments'!G170),'01_Historical+Segments'!G170,"")</x:f>
        <x:v>790.08</x:v>
      </x:c>
      <x:c r="H452" s="22" t="n">
        <x:f>IF(ISNUMBER('01_Historical+Segments'!H170),'01_Historical+Segments'!H170,"")</x:f>
        <x:v>883.02</x:v>
      </x:c>
      <x:c r="I452" s="3"/>
      <x:c r="J452" s="3"/>
      <x:c r="K452" s="3"/>
      <x:c r="L452" s="3"/>
      <x:c r="M452" s="3"/>
      <x:c r="N452" s="2"/>
      <x:c r="O452" s="2"/>
    </x:row>
    <x:row r="453" ht="20" customHeight="1">
      <x:c r="A453" s="2"/>
      <x:c r="B453" s="2"/>
      <x:c r="C453" s="2" t="str">
        <x:v>Goodwill</x:v>
      </x:c>
      <x:c r="D453" s="22" t="n">
        <x:f>IF(ISNUMBER('01_Historical+Segments'!D173),'01_Historical+Segments'!D173,"")</x:f>
        <x:v>46.22</x:v>
      </x:c>
      <x:c r="E453" s="22" t="n">
        <x:f>IF(ISNUMBER('01_Historical+Segments'!E173),'01_Historical+Segments'!E173,"")</x:f>
        <x:v>46.22</x:v>
      </x:c>
      <x:c r="F453" s="22" t="n">
        <x:f>IF(ISNUMBER('01_Historical+Segments'!F173),'01_Historical+Segments'!F173,"")</x:f>
        <x:v>46.22</x:v>
      </x:c>
      <x:c r="G453" s="22" t="n">
        <x:f>IF(ISNUMBER('01_Historical+Segments'!G173),'01_Historical+Segments'!G173,"")</x:f>
        <x:v>0</x:v>
      </x:c>
      <x:c r="H453" s="22" t="n">
        <x:f>IF(ISNUMBER('01_Historical+Segments'!H173),'01_Historical+Segments'!H173,"")</x:f>
        <x:v>0</x:v>
      </x:c>
      <x:c r="I453" s="3"/>
      <x:c r="J453" s="3"/>
      <x:c r="K453" s="3"/>
      <x:c r="L453" s="3"/>
      <x:c r="M453" s="3"/>
      <x:c r="N453" s="2"/>
      <x:c r="O453" s="2"/>
    </x:row>
    <x:row r="454" ht="20" customHeight="1">
      <x:c r="A454" s="2"/>
      <x:c r="B454" s="2"/>
      <x:c r="C454" s="2"/>
      <x:c r="D454" s="3"/>
      <x:c r="E454" s="3"/>
      <x:c r="F454" s="3"/>
      <x:c r="G454" s="3"/>
      <x:c r="H454" s="3"/>
      <x:c r="I454" s="3"/>
      <x:c r="J454" s="3"/>
      <x:c r="K454" s="3"/>
      <x:c r="L454" s="3"/>
      <x:c r="M454" s="3"/>
      <x:c r="N454" s="2"/>
      <x:c r="O454" s="2"/>
    </x:row>
    <x:row r="455" ht="20" customHeight="1">
      <x:c r="A455" s="2"/>
      <x:c r="B455" s="2"/>
      <x:c r="C455" s="2" t="str">
        <x:v>Total fixed assets, model perimeter</x:v>
      </x:c>
      <x:c r="D455" s="14" t="n">
        <x:f>SUM(D448:D453)</x:f>
        <x:v>20505.730000000003</x:v>
      </x:c>
      <x:c r="E455" s="14" t="n">
        <x:f>SUM(E448:E453)</x:f>
        <x:v>23177.07</x:v>
      </x:c>
      <x:c r="F455" s="14" t="n">
        <x:f>SUM(F448:F453)</x:f>
        <x:v>29159.659999999996</x:v>
      </x:c>
      <x:c r="G455" s="14" t="n">
        <x:f>SUM(G448:G453)</x:f>
        <x:v>37192.939999999995</x:v>
      </x:c>
      <x:c r="H455" s="14" t="n">
        <x:f>SUM(H448:H453)</x:f>
        <x:v>48793.56</x:v>
      </x:c>
      <x:c r="I455" s="3"/>
      <x:c r="J455" s="3"/>
      <x:c r="K455" s="3"/>
      <x:c r="L455" s="3"/>
      <x:c r="M455" s="3"/>
      <x:c r="N455" s="2"/>
      <x:c r="O455" s="2"/>
    </x:row>
    <x:row r="456" ht="20" customHeight="1">
      <x:c r="A456" s="2"/>
      <x:c r="B456" s="2"/>
      <x:c r="C456" s="2"/>
      <x:c r="D456" s="3"/>
      <x:c r="E456" s="3"/>
      <x:c r="F456" s="3"/>
      <x:c r="G456" s="3"/>
      <x:c r="H456" s="3"/>
      <x:c r="I456" s="3"/>
      <x:c r="J456" s="3"/>
      <x:c r="K456" s="3"/>
      <x:c r="L456" s="3"/>
      <x:c r="M456" s="3"/>
      <x:c r="N456" s="2"/>
      <x:c r="O456" s="2"/>
    </x:row>
    <x:row r="457" ht="20" customHeight="1">
      <x:c r="A457" s="2"/>
      <x:c r="B457" s="2"/>
      <x:c r="C457" s="2" t="str">
        <x:v>Opening net fixed assets</x:v>
      </x:c>
      <x:c r="D457" s="22" t="n">
        <x:f>'00_Cover+Sources'!D61</x:f>
        <x:v>19686.5</x:v>
      </x:c>
      <x:c r="E457" s="14" t="n">
        <x:f>D455</x:f>
        <x:v>20505.730000000003</x:v>
      </x:c>
      <x:c r="F457" s="14" t="n">
        <x:f>E455</x:f>
        <x:v>23177.07</x:v>
      </x:c>
      <x:c r="G457" s="14" t="n">
        <x:f>F455</x:f>
        <x:v>29159.659999999996</x:v>
      </x:c>
      <x:c r="H457" s="14" t="n">
        <x:f>G455</x:f>
        <x:v>37192.939999999995</x:v>
      </x:c>
      <x:c r="I457" s="3"/>
      <x:c r="J457" s="3"/>
      <x:c r="K457" s="3"/>
      <x:c r="L457" s="3"/>
      <x:c r="M457" s="3"/>
      <x:c r="N457" s="2"/>
      <x:c r="O457" s="2"/>
    </x:row>
    <x:row r="458" ht="20" customHeight="1">
      <x:c r="A458" s="2"/>
      <x:c r="B458" s="2"/>
      <x:c r="C458" s="2" t="str">
        <x:v>Gross cash capex</x:v>
      </x:c>
      <x:c r="D458" s="22" t="n">
        <x:f>IF(ISNUMBER('01_Historical+Segments'!D128),'01_Historical+Segments'!D128,"")</x:f>
        <x:v>5266.929999999999</x:v>
      </x:c>
      <x:c r="E458" s="22" t="n">
        <x:f>IF(ISNUMBER('01_Historical+Segments'!E128),'01_Historical+Segments'!E128,"")</x:f>
        <x:v>4794.53</x:v>
      </x:c>
      <x:c r="F458" s="22" t="n">
        <x:f>IF(ISNUMBER('01_Historical+Segments'!F128),'01_Historical+Segments'!F128,"")</x:f>
        <x:v>8585.189999999999</x:v>
      </x:c>
      <x:c r="G458" s="22" t="n">
        <x:f>IF(ISNUMBER('01_Historical+Segments'!G128),'01_Historical+Segments'!G128,"")</x:f>
        <x:v>9724.44</x:v>
      </x:c>
      <x:c r="H458" s="22" t="n">
        <x:f>IF(ISNUMBER('01_Historical+Segments'!H128),'01_Historical+Segments'!H128,"")</x:f>
        <x:v>14898.080000000002</x:v>
      </x:c>
      <x:c r="I458" s="3"/>
      <x:c r="J458" s="3"/>
      <x:c r="K458" s="3"/>
      <x:c r="L458" s="3"/>
      <x:c r="M458" s="3"/>
      <x:c r="N458" s="2"/>
      <x:c r="O458" s="2"/>
    </x:row>
    <x:row r="459" ht="20" customHeight="1">
      <x:c r="A459" s="2"/>
      <x:c r="B459" s="2"/>
      <x:c r="C459" s="2" t="str">
        <x:v>PPE disposal cash proceeds</x:v>
      </x:c>
      <x:c r="D459" s="22" t="n">
        <x:f>IF(ISNUMBER('01_Historical+Segments'!D229),'01_Historical+Segments'!D229,"")</x:f>
        <x:v>66.9</x:v>
      </x:c>
      <x:c r="E459" s="22" t="n">
        <x:f>IF(ISNUMBER('01_Historical+Segments'!E229),'01_Historical+Segments'!E229,"")</x:f>
        <x:v>210.35</x:v>
      </x:c>
      <x:c r="F459" s="22" t="n">
        <x:f>IF(ISNUMBER('01_Historical+Segments'!F229),'01_Historical+Segments'!F229,"")</x:f>
        <x:v>5.47</x:v>
      </x:c>
      <x:c r="G459" s="22" t="n">
        <x:f>IF(ISNUMBER('01_Historical+Segments'!G229),'01_Historical+Segments'!G229,"")</x:f>
        <x:v>141.07</x:v>
      </x:c>
      <x:c r="H459" s="22" t="n">
        <x:f>IF(ISNUMBER('01_Historical+Segments'!H229),'01_Historical+Segments'!H229,"")</x:f>
        <x:v>98.74</x:v>
      </x:c>
      <x:c r="I459" s="3"/>
      <x:c r="J459" s="3"/>
      <x:c r="K459" s="3"/>
      <x:c r="L459" s="3"/>
      <x:c r="M459" s="3"/>
      <x:c r="N459" s="2"/>
      <x:c r="O459" s="2"/>
    </x:row>
    <x:row r="460" ht="20" customHeight="1">
      <x:c r="A460" s="2"/>
      <x:c r="B460" s="2"/>
      <x:c r="C460" s="2" t="str">
        <x:v>Net cash capex</x:v>
      </x:c>
      <x:c r="D460" s="22" t="n">
        <x:f>IF(ISNUMBER('01_Historical+Segments'!D129),'01_Historical+Segments'!D129,"")</x:f>
        <x:v>5200.03</x:v>
      </x:c>
      <x:c r="E460" s="22" t="n">
        <x:f>IF(ISNUMBER('01_Historical+Segments'!E129),'01_Historical+Segments'!E129,"")</x:f>
        <x:v>4584.179999999999</x:v>
      </x:c>
      <x:c r="F460" s="22" t="n">
        <x:f>IF(ISNUMBER('01_Historical+Segments'!F129),'01_Historical+Segments'!F129,"")</x:f>
        <x:v>8579.72</x:v>
      </x:c>
      <x:c r="G460" s="22" t="n">
        <x:f>IF(ISNUMBER('01_Historical+Segments'!G129),'01_Historical+Segments'!G129,"")</x:f>
        <x:v>9583.37</x:v>
      </x:c>
      <x:c r="H460" s="22" t="n">
        <x:f>IF(ISNUMBER('01_Historical+Segments'!H129),'01_Historical+Segments'!H129,"")</x:f>
        <x:v>14799.340000000002</x:v>
      </x:c>
      <x:c r="I460" s="3"/>
      <x:c r="J460" s="3"/>
      <x:c r="K460" s="3"/>
      <x:c r="L460" s="3"/>
      <x:c r="M460" s="3"/>
      <x:c r="N460" s="2"/>
      <x:c r="O460" s="2"/>
    </x:row>
    <x:row r="461" ht="20" customHeight="1">
      <x:c r="A461" s="2"/>
      <x:c r="B461" s="2"/>
      <x:c r="C461" s="2" t="str">
        <x:v>Depreciation and amortisation</x:v>
      </x:c>
      <x:c r="D461" s="22" t="n">
        <x:f>IF(ISNUMBER('01_Historical+Segments'!D151),'01_Historical+Segments'!D151,"")</x:f>
        <x:v>2015.19</x:v>
      </x:c>
      <x:c r="E461" s="22" t="n">
        <x:f>IF(ISNUMBER('01_Historical+Segments'!E151),'01_Historical+Segments'!E151,"")</x:f>
        <x:v>2091.64</x:v>
      </x:c>
      <x:c r="F461" s="22" t="n">
        <x:f>IF(ISNUMBER('01_Historical+Segments'!F151),'01_Historical+Segments'!F151,"")</x:f>
        <x:v>2450.4</x:v>
      </x:c>
      <x:c r="G461" s="22" t="n">
        <x:f>IF(ISNUMBER('01_Historical+Segments'!G151),'01_Historical+Segments'!G151,"")</x:f>
        <x:v>2981.03</x:v>
      </x:c>
      <x:c r="H461" s="22" t="n">
        <x:f>IF(ISNUMBER('01_Historical+Segments'!H151),'01_Historical+Segments'!H151,"")</x:f>
        <x:v>3858.69</x:v>
      </x:c>
      <x:c r="I461" s="3"/>
      <x:c r="J461" s="3"/>
      <x:c r="K461" s="3"/>
      <x:c r="L461" s="3"/>
      <x:c r="M461" s="3"/>
      <x:c r="N461" s="2"/>
      <x:c r="O461" s="2"/>
    </x:row>
    <x:row r="462" ht="44" customHeight="1">
      <x:c r="A462" s="2"/>
      <x:c r="B462" s="2"/>
      <x:c r="C462" s="2" t="str">
        <x:v>Other book changes and cash-to-book difference</x:v>
      </x:c>
      <x:c r="D462" s="14" t="n">
        <x:f>D455-D457-D458+D461</x:f>
        <x:v>-2432.509999999996</x:v>
      </x:c>
      <x:c r="E462" s="14" t="n">
        <x:f>E455-E457-E458+E461</x:f>
        <x:v>-31.550000000003365</x:v>
      </x:c>
      <x:c r="F462" s="14" t="n">
        <x:f>F455-F457-F458+F461</x:f>
        <x:v>-152.2000000000021</x:v>
      </x:c>
      <x:c r="G462" s="14" t="n">
        <x:f>G455-G457-G458+G461</x:f>
        <x:v>1289.8699999999985</x:v>
      </x:c>
      <x:c r="H462" s="14" t="n">
        <x:f>H455-H457-H458+H461</x:f>
        <x:v>561.2300000000009</x:v>
      </x:c>
      <x:c r="I462" s="3"/>
      <x:c r="J462" s="3"/>
      <x:c r="K462" s="3"/>
      <x:c r="L462" s="3"/>
      <x:c r="M462" s="3"/>
      <x:c r="N462" s="2"/>
      <x:c r="O462" s="16" t="str">
        <x:v>Historical residual = closing - opening - gross cash capex + D&amp;A. Includes non-cash grants, ROU changes, acquisitions, disposals, FX and capital-payable timing. Not a forecast plug.</x:v>
      </x:c>
    </x:row>
    <x:row r="463" ht="20" customHeight="1">
      <x:c r="A463" s="2"/>
      <x:c r="B463" s="2"/>
      <x:c r="C463" s="2" t="str">
        <x:v>Closing net fixed assets</x:v>
      </x:c>
      <x:c r="D463" s="14" t="n">
        <x:f>D457+D458-D461+D462</x:f>
        <x:v>20505.730000000007</x:v>
      </x:c>
      <x:c r="E463" s="14" t="n">
        <x:f>E457+E458-E461+E462</x:f>
        <x:v>23177.07</x:v>
      </x:c>
      <x:c r="F463" s="14" t="n">
        <x:f>F457+F458-F461+F462</x:f>
        <x:v>29159.659999999996</x:v>
      </x:c>
      <x:c r="G463" s="14" t="n">
        <x:f>G457+G458-G461+G462</x:f>
        <x:v>37192.939999999995</x:v>
      </x:c>
      <x:c r="H463" s="14" t="n">
        <x:f>H457+H458-H461+H462</x:f>
        <x:v>48793.56</x:v>
      </x:c>
      <x:c r="I463" s="3"/>
      <x:c r="J463" s="3"/>
      <x:c r="K463" s="3"/>
      <x:c r="L463" s="3"/>
      <x:c r="M463" s="3"/>
      <x:c r="N463" s="2"/>
      <x:c r="O463" s="2"/>
    </x:row>
    <x:row r="464" ht="20" customHeight="1">
      <x:c r="A464" s="2"/>
      <x:c r="B464" s="2"/>
      <x:c r="C464" s="2" t="str">
        <x:v>Roll-forward less balance-sheet fixed assets</x:v>
      </x:c>
      <x:c r="D464" s="14" t="n">
        <x:f>D463-D455</x:f>
        <x:v>3.637978807091713e-12</x:v>
      </x:c>
      <x:c r="E464" s="14" t="n">
        <x:f>E463-E455</x:f>
        <x:v>0</x:v>
      </x:c>
      <x:c r="F464" s="14" t="n">
        <x:f>F463-F455</x:f>
        <x:v>0</x:v>
      </x:c>
      <x:c r="G464" s="14" t="n">
        <x:f>G463-G455</x:f>
        <x:v>0</x:v>
      </x:c>
      <x:c r="H464" s="14" t="n">
        <x:f>H463-H455</x:f>
        <x:v>0</x:v>
      </x:c>
      <x:c r="I464" s="3"/>
      <x:c r="J464" s="3"/>
      <x:c r="K464" s="3"/>
      <x:c r="L464" s="3"/>
      <x:c r="M464" s="3"/>
      <x:c r="N464" s="2"/>
      <x:c r="O464" s="2"/>
    </x:row>
    <x:row r="465" ht="20" customHeight="1">
      <x:c r="A465" s="2"/>
      <x:c r="B465" s="2"/>
      <x:c r="C465" s="2"/>
      <x:c r="D465" s="3"/>
      <x:c r="E465" s="3"/>
      <x:c r="F465" s="3"/>
      <x:c r="G465" s="3"/>
      <x:c r="H465" s="3"/>
      <x:c r="I465" s="3"/>
      <x:c r="J465" s="3"/>
      <x:c r="K465" s="3"/>
      <x:c r="L465" s="3"/>
      <x:c r="M465" s="3"/>
      <x:c r="N465" s="2"/>
      <x:c r="O465" s="2"/>
    </x:row>
    <x:row r="466" ht="20" customHeight="1">
      <x:c r="A466" s="2"/>
      <x:c r="B466" s="2"/>
      <x:c r="C466" s="2"/>
      <x:c r="D466" s="3"/>
      <x:c r="E466" s="3"/>
      <x:c r="F466" s="3"/>
      <x:c r="G466" s="3"/>
      <x:c r="H466" s="3"/>
      <x:c r="I466" s="3"/>
      <x:c r="J466" s="3"/>
      <x:c r="K466" s="3"/>
      <x:c r="L466" s="3"/>
      <x:c r="M466" s="3"/>
      <x:c r="N466" s="2"/>
      <x:c r="O466" s="2"/>
    </x:row>
    <x:row r="467" ht="20" customHeight="1">
      <x:c r="A467" s="2"/>
      <x:c r="B467" s="2"/>
      <x:c r="C467" s="2" t="str">
        <x:v>Gross cash capex / revenue</x:v>
      </x:c>
      <x:c r="D467" s="22" t="n">
        <x:f>D458/'01_Historical+Segments'!D143</x:f>
        <x:v>0.043158252607536314</x:v>
      </x:c>
      <x:c r="E467" s="22" t="n">
        <x:f>E458/'01_Historical+Segments'!E143</x:f>
        <x:v>0.033985011672284605</x:v>
      </x:c>
      <x:c r="F467" s="22" t="n">
        <x:f>F458/'01_Historical+Segments'!F143</x:f>
        <x:v>0.04759121179122815</x:v>
      </x:c>
      <x:c r="G467" s="22" t="n">
        <x:f>G458/'01_Historical+Segments'!G143</x:f>
        <x:v>0.04339657340559283</x:v>
      </x:c>
      <x:c r="H467" s="22" t="n">
        <x:f>H458/'01_Historical+Segments'!H143</x:f>
        <x:v>0.05157937711225729</x:v>
      </x:c>
      <x:c r="I467" s="3"/>
      <x:c r="J467" s="3"/>
      <x:c r="K467" s="3"/>
      <x:c r="L467" s="3"/>
      <x:c r="M467" s="3"/>
      <x:c r="N467" s="2"/>
      <x:c r="O467" s="2"/>
    </x:row>
    <x:row r="468" ht="20" customHeight="1">
      <x:c r="A468" s="2"/>
      <x:c r="B468" s="2"/>
      <x:c r="C468" s="2" t="str">
        <x:v>D&amp;A / revenue</x:v>
      </x:c>
      <x:c r="D468" s="22" t="n">
        <x:f>D461/'01_Historical+Segments'!D143</x:f>
        <x:v>0.016512860256768385</x:v>
      </x:c>
      <x:c r="E468" s="22" t="n">
        <x:f>E461/'01_Historical+Segments'!E143</x:f>
        <x:v>0.014826147675417064</x:v>
      </x:c>
      <x:c r="F468" s="22" t="n">
        <x:f>F461/'01_Historical+Segments'!F143</x:f>
        <x:v>0.013583567209721098</x:v>
      </x:c>
      <x:c r="G468" s="22" t="n">
        <x:f>G461/'01_Historical+Segments'!G143</x:f>
        <x:v>0.01330323259943754</x:v>
      </x:c>
      <x:c r="H468" s="22" t="n">
        <x:f>H461/'01_Historical+Segments'!H143</x:f>
        <x:v>0.013359360848464773</x:v>
      </x:c>
      <x:c r="I468" s="3"/>
      <x:c r="J468" s="3"/>
      <x:c r="K468" s="3"/>
      <x:c r="L468" s="3"/>
      <x:c r="M468" s="3"/>
      <x:c r="N468" s="2"/>
      <x:c r="O468" s="2"/>
    </x:row>
    <x:row r="469" ht="20" customHeight="1">
      <x:c r="A469" s="2"/>
      <x:c r="B469" s="2"/>
      <x:c r="C469" s="2"/>
      <x:c r="D469" s="3"/>
      <x:c r="E469" s="3"/>
      <x:c r="F469" s="3"/>
      <x:c r="G469" s="3"/>
      <x:c r="H469" s="3"/>
      <x:c r="I469" s="3"/>
      <x:c r="J469" s="3"/>
      <x:c r="K469" s="3"/>
      <x:c r="L469" s="3"/>
      <x:c r="M469" s="3"/>
      <x:c r="N469" s="2"/>
      <x:c r="O469" s="2"/>
    </x:row>
    <x:row r="470" ht="20" customHeight="1">
      <x:c r="A470" s="2"/>
      <x:c r="B470" s="2"/>
      <x:c r="C470" s="2"/>
      <x:c r="D470" s="3"/>
      <x:c r="E470" s="3"/>
      <x:c r="F470" s="3"/>
      <x:c r="G470" s="3"/>
      <x:c r="H470" s="3"/>
      <x:c r="I470" s="3"/>
      <x:c r="J470" s="3"/>
      <x:c r="K470" s="3"/>
      <x:c r="L470" s="3"/>
      <x:c r="M470" s="3"/>
      <x:c r="N470" s="2"/>
      <x:c r="O470" s="2"/>
    </x:row>
    <x:row r="471" ht="20" customHeight="1">
      <x:c r="A471" s="2"/>
      <x:c r="B471" s="2"/>
      <x:c r="C471" s="2" t="str">
        <x:v>Company capex, net of disposal</x:v>
      </x:c>
      <x:c r="D471" s="22" t="n">
        <x:f>IF(ISNUMBER('01_Historical+Segments'!D258),'01_Historical+Segments'!D258,"")</x:f>
        <x:v>5200.03</x:v>
      </x:c>
      <x:c r="E471" s="22" t="n">
        <x:f>IF(ISNUMBER('01_Historical+Segments'!E258),'01_Historical+Segments'!E258,"")</x:f>
        <x:v>4584.18</x:v>
      </x:c>
      <x:c r="F471" s="22" t="n">
        <x:f>IF(ISNUMBER('01_Historical+Segments'!F258),'01_Historical+Segments'!F258,"")</x:f>
        <x:v>8579.73</x:v>
      </x:c>
      <x:c r="G471" s="22" t="n">
        <x:f>IF(ISNUMBER('01_Historical+Segments'!G258),'01_Historical+Segments'!G258,"")</x:f>
        <x:v>9583.35</x:v>
      </x:c>
      <x:c r="H471" s="22" t="n">
        <x:f>IF(ISNUMBER('01_Historical+Segments'!H258),'01_Historical+Segments'!H258,"")</x:f>
        <x:v>14799.34</x:v>
      </x:c>
      <x:c r="I471" s="3"/>
      <x:c r="J471" s="3"/>
      <x:c r="K471" s="3"/>
      <x:c r="L471" s="3"/>
      <x:c r="M471" s="3"/>
      <x:c r="N471" s="2"/>
      <x:c r="O471" s="2"/>
    </x:row>
    <x:row r="472" ht="20" customHeight="1">
      <x:c r="A472" s="2"/>
      <x:c r="B472" s="2"/>
      <x:c r="C472" s="2" t="str">
        <x:v>Company capex less model net cash capex</x:v>
      </x:c>
      <x:c r="D472" s="14" t="n">
        <x:f>D471-D460</x:f>
        <x:v>0</x:v>
      </x:c>
      <x:c r="E472" s="14" t="n">
        <x:f>E471-E460</x:f>
        <x:v>9.094947017729282e-13</x:v>
      </x:c>
      <x:c r="F472" s="14" t="n">
        <x:f>F471-F460</x:f>
        <x:v>0.010000000000218279</x:v>
      </x:c>
      <x:c r="G472" s="14" t="n">
        <x:f>G471-G460</x:f>
        <x:v>-0.020000000000436557</x:v>
      </x:c>
      <x:c r="H472" s="14" t="n">
        <x:f>H471-H460</x:f>
        <x:v>-1.8189894035458565e-12</x:v>
      </x:c>
      <x:c r="I472" s="3"/>
      <x:c r="J472" s="3"/>
      <x:c r="K472" s="3"/>
      <x:c r="L472" s="3"/>
      <x:c r="M472" s="3"/>
      <x:c r="N472" s="2"/>
      <x:c r="O472" s="2"/>
    </x:row>
    <x:row r="473" ht="20" customHeight="1">
      <x:c r="A473" s="2"/>
      <x:c r="B473" s="2"/>
      <x:c r="C473" s="2"/>
      <x:c r="D473" s="3"/>
      <x:c r="E473" s="3"/>
      <x:c r="F473" s="3"/>
      <x:c r="G473" s="3"/>
      <x:c r="H473" s="3"/>
      <x:c r="I473" s="3"/>
      <x:c r="J473" s="3"/>
      <x:c r="K473" s="3"/>
      <x:c r="L473" s="3"/>
      <x:c r="M473" s="3"/>
      <x:c r="N473" s="2"/>
      <x:c r="O473" s="2"/>
    </x:row>
    <x:row r="474" ht="22" customHeight="1">
      <x:c r="A474" s="2"/>
      <x:c r="B474" s="2"/>
      <x:c r="C474" s="2" t="str">
        <x:v>PPE acquired through government grants</x:v>
      </x:c>
      <x:c r="D474" s="22" t="n">
        <x:f>IF(ISNUMBER('01_Historical+Segments'!D255),'01_Historical+Segments'!D255,"")</x:f>
        <x:v>57.07</x:v>
      </x:c>
      <x:c r="E474" s="22" t="n">
        <x:f>IF(ISNUMBER('01_Historical+Segments'!E255),'01_Historical+Segments'!E255,"")</x:f>
        <x:v>129.18</x:v>
      </x:c>
      <x:c r="F474" s="22" t="n">
        <x:f>IF(ISNUMBER('01_Historical+Segments'!F255),'01_Historical+Segments'!F255,"")</x:f>
        <x:v>453.5</x:v>
      </x:c>
      <x:c r="G474" s="22" t="n">
        <x:f>IF(ISNUMBER('01_Historical+Segments'!G255),'01_Historical+Segments'!G255,"")</x:f>
        <x:v>673.05</x:v>
      </x:c>
      <x:c r="H474" s="22" t="n">
        <x:f>IF(ISNUMBER('01_Historical+Segments'!H255),'01_Historical+Segments'!H255,"")</x:f>
        <x:v>1163.61</x:v>
      </x:c>
      <x:c r="I474" s="3"/>
      <x:c r="J474" s="3"/>
      <x:c r="K474" s="3"/>
      <x:c r="L474" s="3"/>
      <x:c r="M474" s="3"/>
      <x:c r="N474" s="2"/>
      <x:c r="O474" s="16" t="str">
        <x:v>Supplemental disclosures are explanatory subsets of the residual and must not be added again.</x:v>
      </x:c>
    </x:row>
    <x:row r="475" ht="20" customHeight="1">
      <x:c r="A475" s="2"/>
      <x:c r="B475" s="2"/>
      <x:c r="C475" s="2" t="str">
        <x:v>Non-cash right-of-use additions</x:v>
      </x:c>
      <x:c r="D475" s="22" t="n">
        <x:f>IF(ISNUMBER('01_Historical+Segments'!D256),'01_Historical+Segments'!D256,"")</x:f>
        <x:v>194.23</x:v>
      </x:c>
      <x:c r="E475" s="22" t="n">
        <x:f>IF(ISNUMBER('01_Historical+Segments'!E256),'01_Historical+Segments'!E256,"")</x:f>
        <x:v>173.44</x:v>
      </x:c>
      <x:c r="F475" s="22" t="n">
        <x:f>IF(ISNUMBER('01_Historical+Segments'!F256),'01_Historical+Segments'!F256,"")</x:f>
        <x:v>572.56</x:v>
      </x:c>
      <x:c r="G475" s="22" t="n">
        <x:f>IF(ISNUMBER('01_Historical+Segments'!G256),'01_Historical+Segments'!G256,"")</x:f>
        <x:v>899.01</x:v>
      </x:c>
      <x:c r="H475" s="22" t="n">
        <x:f>IF(ISNUMBER('01_Historical+Segments'!H256),'01_Historical+Segments'!H256,"")</x:f>
        <x:v>429.11</x:v>
      </x:c>
      <x:c r="I475" s="3"/>
      <x:c r="J475" s="3"/>
      <x:c r="K475" s="3"/>
      <x:c r="L475" s="3"/>
      <x:c r="M475" s="3"/>
      <x:c r="N475" s="2"/>
      <x:c r="O475" s="2"/>
    </x:row>
    <x:row r="476" ht="20" customHeight="1">
      <x:c r="A476" s="2"/>
      <x:c r="B476" s="2"/>
      <x:c r="C476" s="2"/>
      <x:c r="D476" s="3"/>
      <x:c r="E476" s="3"/>
      <x:c r="F476" s="3"/>
      <x:c r="G476" s="3"/>
      <x:c r="H476" s="3"/>
      <x:c r="I476" s="3"/>
      <x:c r="J476" s="3"/>
      <x:c r="K476" s="3"/>
      <x:c r="L476" s="3"/>
      <x:c r="M476" s="3"/>
      <x:c r="N476" s="2"/>
      <x:c r="O476" s="2"/>
    </x:row>
    <x:row r="477" ht="20" customHeight="1">
      <x:c r="A477" s="2"/>
      <x:c r="B477" s="2"/>
      <x:c r="C477" s="2"/>
      <x:c r="D477" s="3"/>
      <x:c r="E477" s="3"/>
      <x:c r="F477" s="3"/>
      <x:c r="G477" s="3"/>
      <x:c r="H477" s="3"/>
      <x:c r="I477" s="3"/>
      <x:c r="J477" s="3"/>
      <x:c r="K477" s="3"/>
      <x:c r="L477" s="3"/>
      <x:c r="M477" s="3"/>
      <x:c r="N477" s="2"/>
      <x:c r="O477" s="2"/>
    </x:row>
    <x:row r="478" ht="20" customHeight="1">
      <x:c r="A478" s="2"/>
      <x:c r="B478" s="2"/>
      <x:c r="C478" s="2"/>
      <x:c r="D478" s="3"/>
      <x:c r="E478" s="3"/>
      <x:c r="F478" s="3"/>
      <x:c r="G478" s="3"/>
      <x:c r="H478" s="3"/>
      <x:c r="I478" s="3"/>
      <x:c r="J478" s="3"/>
      <x:c r="K478" s="3"/>
      <x:c r="L478" s="3"/>
      <x:c r="M478" s="3"/>
      <x:c r="N478" s="2"/>
      <x:c r="O478" s="2"/>
    </x:row>
    <x:row r="479" ht="20" customHeight="1">
      <x:c r="A479" s="2"/>
      <x:c r="B479" s="2"/>
      <x:c r="C479" s="2"/>
      <x:c r="D479" s="3"/>
      <x:c r="E479" s="3"/>
      <x:c r="F479" s="3"/>
      <x:c r="G479" s="3"/>
      <x:c r="H479" s="3"/>
      <x:c r="I479" s="3"/>
      <x:c r="J479" s="3"/>
      <x:c r="K479" s="3"/>
      <x:c r="L479" s="3"/>
      <x:c r="M479" s="3"/>
      <x:c r="N479" s="2"/>
      <x:c r="O479" s="2"/>
    </x:row>
    <x:row r="480" ht="20" customHeight="1">
      <x:c r="A480" s="2"/>
      <x:c r="B480" s="2"/>
      <x:c r="C480" s="2"/>
      <x:c r="D480" s="3"/>
      <x:c r="E480" s="3"/>
      <x:c r="F480" s="3"/>
      <x:c r="G480" s="3"/>
      <x:c r="H480" s="3"/>
      <x:c r="I480" s="3"/>
      <x:c r="J480" s="3"/>
      <x:c r="K480" s="3"/>
      <x:c r="L480" s="3"/>
      <x:c r="M480" s="3"/>
      <x:c r="N480" s="2"/>
      <x:c r="O480" s="2"/>
    </x:row>
  </x:sheetData>
  <x:mergeCells>
    <x:mergeCell ref="D52:G52"/>
    <x:mergeCell ref="D55:G55"/>
    <x:mergeCell ref="D58:G58"/>
    <x:mergeCell ref="D61:G61"/>
    <x:mergeCell ref="D64:G64"/>
    <x:mergeCell ref="D67:G67"/>
    <x:mergeCell ref="D70:G70"/>
    <x:mergeCell ref="D73:G73"/>
    <x:mergeCell ref="D76:G76"/>
    <x:mergeCell ref="D79:G79"/>
    <x:mergeCell ref="C53:M53"/>
    <x:mergeCell ref="C59:M59"/>
    <x:mergeCell ref="C62:M62"/>
    <x:mergeCell ref="C65:M65"/>
    <x:mergeCell ref="C68:M68"/>
    <x:mergeCell ref="C71:M71"/>
    <x:mergeCell ref="C74:M74"/>
    <x:mergeCell ref="C77:M77"/>
    <x:mergeCell ref="C80:M80"/>
    <x:mergeCell ref="C56:M56"/>
  </x:mergeCells>
  <x:conditionalFormatting sqref="D273:H285">
    <x:cfRule type="cellIs" dxfId="4" priority="1" operator="notBetween">
      <x:formula>-0.1</x:formula>
      <x:formula>0.1</x:formula>
    </x:cfRule>
  </x:conditionalFormatting>
  <x:pageMargins left="0.7" right="0.7" top="0.75" bottom="0.75" header="0.3" footer="0.3"/>
</x:worksheet>
</file>

<file path=xl/worksheets/sheet3.xml><?xml version="1.0" encoding="utf-8"?>
<x:worksheet xmlns:x="http://schemas.openxmlformats.org/spreadsheetml/2006/main">
  <x:sheetPr>
    <x:tabColor rgb="FFBE8E3B"/>
  </x:sheetPr>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5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 hidden="0" customWidth="1"/>
    <x:col min="15" max="15" width="96" hidden="0" customWidth="1"/>
  </x:cols>
  <x:sheetData>
    <x:row r="1" ht="20" customHeight="1">
      <x:c r="A1" s="2"/>
      <x:c r="B1" s="2"/>
      <x:c r="C1" s="2"/>
      <x:c r="D1" s="2"/>
      <x:c r="E1" s="2"/>
      <x:c r="F1" s="2"/>
      <x:c r="G1" s="2"/>
      <x:c r="H1" s="2"/>
      <x:c r="I1" s="2"/>
      <x:c r="J1" s="2"/>
      <x:c r="K1" s="2"/>
      <x:c r="L1" s="2"/>
      <x:c r="M1" s="2"/>
      <x:c r="N1" s="2"/>
      <x:c r="O1" s="2"/>
    </x:row>
    <x:row r="2" ht="20" customHeight="1">
      <x:c r="A2" s="2"/>
      <x:c r="B2" s="2"/>
      <x:c r="C2" s="4" t="str">
        <x:v>Operating assumptions and scenarios</x:v>
      </x:c>
      <x:c r="D2" s="2"/>
      <x:c r="E2" s="2"/>
      <x:c r="F2" s="2"/>
      <x:c r="G2" s="2"/>
      <x:c r="H2" s="2"/>
      <x:c r="I2" s="2"/>
      <x:c r="J2" s="2"/>
      <x:c r="K2" s="2"/>
      <x:c r="L2" s="2"/>
      <x:c r="M2" s="2"/>
      <x:c r="N2" s="2"/>
      <x:c r="O2" s="2"/>
    </x:row>
    <x:row r="3" ht="20" customHeight="1">
      <x:c r="A3" s="2"/>
      <x:c r="B3" s="2"/>
      <x:c r="C3" s="5"/>
      <x:c r="D3" s="36" t="n">
        <x:v>1</x:v>
      </x:c>
      <x:c r="E3" s="5"/>
      <x:c r="F3" s="5" t="str">
        <x:v>1 Base    2 Bull    3 Bear</x:v>
      </x:c>
      <x:c r="G3" s="5"/>
      <x:c r="H3" s="5"/>
      <x:c r="I3" s="5"/>
      <x:c r="J3" s="5"/>
      <x:c r="K3" s="5"/>
      <x:c r="L3" s="5"/>
      <x:c r="M3" s="5"/>
      <x:c r="N3" s="2"/>
      <x:c r="O3" s="2"/>
    </x:row>
    <x:row r="4" ht="20" customHeight="1">
      <x:c r="A4" s="2"/>
      <x:c r="B4" s="2"/>
      <x:c r="C4" s="6" t="str">
        <x:v>INR million. March year-end. A = actual; E = estimate.</x:v>
      </x:c>
      <x:c r="D4" s="2"/>
      <x:c r="E4" s="2"/>
      <x:c r="F4" s="2"/>
      <x:c r="G4" s="2"/>
      <x:c r="H4" s="2"/>
      <x:c r="I4" s="2"/>
      <x:c r="J4" s="2"/>
      <x:c r="K4" s="2"/>
      <x:c r="L4" s="2"/>
      <x:c r="M4" s="2"/>
      <x:c r="N4" s="2"/>
      <x:c r="O4" s="2"/>
    </x:row>
    <x:row r="5" ht="20" customHeight="1">
      <x:c r="A5" s="2"/>
      <x:c r="B5" s="2"/>
      <x:c r="C5" s="2" t="str">
        <x:v>Case selected</x:v>
      </x:c>
      <x:c r="D5" s="7" t="str">
        <x:f>CHOOSE('02_Drivers+Scenarios'!$D$3,"Base","Bull","Bear")</x:f>
        <x:v>Base</x:v>
      </x:c>
      <x:c r="E5" s="2"/>
      <x:c r="F5" s="2"/>
      <x:c r="G5" s="2"/>
      <x:c r="H5" s="2"/>
      <x:c r="I5" s="2"/>
      <x:c r="J5" s="2"/>
      <x:c r="K5" s="2"/>
      <x:c r="L5" s="2"/>
      <x:c r="M5" s="2"/>
      <x:c r="N5" s="2"/>
      <x:c r="O5" s="2"/>
    </x:row>
    <x:row r="6" ht="20" customHeight="1">
      <x:c r="A6" s="2"/>
      <x:c r="B6" s="2"/>
      <x:c r="C6" s="9" t="str">
        <x:v>Metric</x:v>
      </x:c>
      <x:c r="D6" s="12" t="str">
        <x:v>FY22A</x:v>
      </x:c>
      <x:c r="E6" s="12" t="str">
        <x:v>FY23A</x:v>
      </x:c>
      <x:c r="F6" s="12" t="str">
        <x:v>FY24A</x:v>
      </x:c>
      <x:c r="G6" s="12" t="str">
        <x:v>FY25A</x:v>
      </x:c>
      <x:c r="H6" s="12" t="str">
        <x:v>FY26A</x:v>
      </x:c>
      <x:c r="I6" s="13" t="str">
        <x:v>FY27E</x:v>
      </x:c>
      <x:c r="J6" s="13" t="str">
        <x:v>FY28E</x:v>
      </x:c>
      <x:c r="K6" s="13" t="str">
        <x:v>FY29E</x:v>
      </x:c>
      <x:c r="L6" s="13" t="str">
        <x:v>FY30E</x:v>
      </x:c>
      <x:c r="M6" s="13" t="str">
        <x:v>FY31E</x:v>
      </x:c>
      <x:c r="N6" s="2"/>
      <x:c r="O6" s="2"/>
    </x:row>
    <x:row r="7" ht="20" customHeight="1">
      <x:c r="A7" s="2"/>
      <x:c r="B7" s="2"/>
      <x:c r="C7" s="2"/>
      <x:c r="D7" s="3"/>
      <x:c r="E7" s="3"/>
      <x:c r="F7" s="3"/>
      <x:c r="G7" s="3"/>
      <x:c r="H7" s="3"/>
      <x:c r="I7" s="3"/>
      <x:c r="J7" s="3"/>
      <x:c r="K7" s="3"/>
      <x:c r="L7" s="3"/>
      <x:c r="M7" s="3"/>
      <x:c r="N7" s="2"/>
      <x:c r="O7" s="2"/>
    </x:row>
    <x:row r="8" ht="20" customHeight="1">
      <x:c r="A8" s="2"/>
      <x:c r="B8" s="2"/>
      <x:c r="C8" s="2"/>
      <x:c r="D8" s="3"/>
      <x:c r="E8" s="3"/>
      <x:c r="F8" s="3"/>
      <x:c r="G8" s="3"/>
      <x:c r="H8" s="3"/>
      <x:c r="I8" s="3"/>
      <x:c r="J8" s="3"/>
      <x:c r="K8" s="3"/>
      <x:c r="L8" s="3"/>
      <x:c r="M8" s="3"/>
      <x:c r="N8" s="2"/>
      <x:c r="O8" s="2"/>
    </x:row>
    <x:row r="9" ht="20" customHeight="1">
      <x:c r="A9" s="2"/>
      <x:c r="B9" s="2"/>
      <x:c r="C9" s="31" t="str">
        <x:v>Nominal domestic industry growth</x:v>
      </x:c>
      <x:c r="D9" s="32"/>
      <x:c r="E9" s="32"/>
      <x:c r="F9" s="32"/>
      <x:c r="G9" s="32"/>
      <x:c r="H9" s="32"/>
      <x:c r="I9" s="41" t="n">
        <x:f>IF(CHOOSE($D$3,ISNUMBER(I10),ISNUMBER(I11),ISNUMBER(I12)),CHOOSE($D$3,I10,I11,I12),"n.a.")</x:f>
        <x:v>0.16</x:v>
      </x:c>
      <x:c r="J9" s="41" t="n">
        <x:f>IF(CHOOSE($D$3,ISNUMBER(J10),ISNUMBER(J11),ISNUMBER(J12)),CHOOSE($D$3,J10,J11,J12),"n.a.")</x:f>
        <x:v>0.12</x:v>
      </x:c>
      <x:c r="K9" s="41" t="n">
        <x:f>IF(CHOOSE($D$3,ISNUMBER(K10),ISNUMBER(K11),ISNUMBER(K12)),CHOOSE($D$3,K10,K11,K12),"n.a.")</x:f>
        <x:v>0.11</x:v>
      </x:c>
      <x:c r="L9" s="41" t="n">
        <x:f>IF(CHOOSE($D$3,ISNUMBER(L10),ISNUMBER(L11),ISNUMBER(L12)),CHOOSE($D$3,L10,L11,L12),"n.a.")</x:f>
        <x:v>0.1</x:v>
      </x:c>
      <x:c r="M9" s="41" t="n">
        <x:f>IF(CHOOSE($D$3,ISNUMBER(M10),ISNUMBER(M11),ISNUMBER(M12)),CHOOSE($D$3,M10,M11,M12),"n.a.")</x:f>
        <x:v>0.1</x:v>
      </x:c>
      <x:c r="N9" s="2"/>
      <x:c r="O9" s="2"/>
    </x:row>
    <x:row r="10" ht="20" customHeight="1">
      <x:c r="A10" s="2"/>
      <x:c r="B10" s="2"/>
      <x:c r="C10" s="24" t="str">
        <x:v>Base</x:v>
      </x:c>
      <x:c r="D10" s="25"/>
      <x:c r="E10" s="25"/>
      <x:c r="F10" s="25"/>
      <x:c r="G10" s="25"/>
      <x:c r="H10" s="25"/>
      <x:c r="I10" s="40" t="n">
        <x:v>0.16</x:v>
      </x:c>
      <x:c r="J10" s="40" t="n">
        <x:v>0.12</x:v>
      </x:c>
      <x:c r="K10" s="40" t="n">
        <x:v>0.11</x:v>
      </x:c>
      <x:c r="L10" s="40" t="n">
        <x:v>0.1</x:v>
      </x:c>
      <x:c r="M10" s="40" t="n">
        <x:v>0.1</x:v>
      </x:c>
      <x:c r="N10" s="2"/>
      <x:c r="O10" s="2"/>
    </x:row>
    <x:row r="11" ht="20" customHeight="1">
      <x:c r="A11" s="2"/>
      <x:c r="B11" s="2"/>
      <x:c r="C11" s="24" t="str">
        <x:v>Bull</x:v>
      </x:c>
      <x:c r="D11" s="25"/>
      <x:c r="E11" s="25"/>
      <x:c r="F11" s="25"/>
      <x:c r="G11" s="25"/>
      <x:c r="H11" s="25"/>
      <x:c r="I11" s="40" t="n">
        <x:v>0.18</x:v>
      </x:c>
      <x:c r="J11" s="40" t="n">
        <x:v>0.14</x:v>
      </x:c>
      <x:c r="K11" s="40" t="n">
        <x:v>0.13</x:v>
      </x:c>
      <x:c r="L11" s="40" t="n">
        <x:v>0.12</x:v>
      </x:c>
      <x:c r="M11" s="40" t="n">
        <x:v>0.11</x:v>
      </x:c>
      <x:c r="N11" s="2"/>
      <x:c r="O11" s="2"/>
    </x:row>
    <x:row r="12" ht="20" customHeight="1">
      <x:c r="A12" s="2"/>
      <x:c r="B12" s="2"/>
      <x:c r="C12" s="24" t="str">
        <x:v>Bear</x:v>
      </x:c>
      <x:c r="D12" s="25"/>
      <x:c r="E12" s="25"/>
      <x:c r="F12" s="25"/>
      <x:c r="G12" s="25"/>
      <x:c r="H12" s="25"/>
      <x:c r="I12" s="40" t="n">
        <x:v>0.1</x:v>
      </x:c>
      <x:c r="J12" s="40" t="n">
        <x:v>0.09</x:v>
      </x:c>
      <x:c r="K12" s="40" t="n">
        <x:v>0.09</x:v>
      </x:c>
      <x:c r="L12" s="40" t="n">
        <x:v>0.09</x:v>
      </x:c>
      <x:c r="M12" s="40" t="n">
        <x:v>0.08</x:v>
      </x:c>
      <x:c r="N12" s="2"/>
      <x:c r="O12" s="2"/>
    </x:row>
    <x:row r="13" ht="34" customHeight="1">
      <x:c r="A13" s="2"/>
      <x:c r="B13" s="2"/>
      <x:c r="C13" s="16" t="str">
        <x:v>Analyst: FY27 16% uses CRISIL FY26 mid-teens benchmark plus Q1 commodity momentum. Fade thereafter. Nominal, not volume. S07/S08/S09.</x:v>
      </x:c>
      <x:c r="D13" s="38"/>
      <x:c r="E13" s="38"/>
      <x:c r="F13" s="38"/>
      <x:c r="G13" s="38"/>
      <x:c r="H13" s="38"/>
      <x:c r="I13" s="38"/>
      <x:c r="J13" s="38"/>
      <x:c r="K13" s="38"/>
      <x:c r="L13" s="38"/>
      <x:c r="M13" s="38"/>
      <x:c r="N13" s="2"/>
      <x:c r="O13" s="2"/>
    </x:row>
    <x:row r="14" ht="20" customHeight="1">
      <x:c r="A14" s="2"/>
      <x:c r="B14" s="2"/>
      <x:c r="C14" s="47" t="str">
        <x:v>Polycab nominal outperformance (x)</x:v>
      </x:c>
      <x:c r="D14" s="48"/>
      <x:c r="E14" s="48"/>
      <x:c r="F14" s="48"/>
      <x:c r="G14" s="48"/>
      <x:c r="H14" s="48"/>
      <x:c r="I14" s="51" t="n">
        <x:f>IF(CHOOSE($D$3,ISNUMBER(I15),ISNUMBER(I16),ISNUMBER(I17)),CHOOSE($D$3,I15,I16,I17),"n.a.")</x:f>
        <x:v>1.5</x:v>
      </x:c>
      <x:c r="J14" s="51" t="n">
        <x:f>IF(CHOOSE($D$3,ISNUMBER(J15),ISNUMBER(J16),ISNUMBER(J17)),CHOOSE($D$3,J15,J16,J17),"n.a.")</x:f>
        <x:v>1.5</x:v>
      </x:c>
      <x:c r="K14" s="51" t="n">
        <x:f>IF(CHOOSE($D$3,ISNUMBER(K15),ISNUMBER(K16),ISNUMBER(K17)),CHOOSE($D$3,K15,K16,K17),"n.a.")</x:f>
        <x:v>1.5</x:v>
      </x:c>
      <x:c r="L14" s="51" t="n">
        <x:f>IF(CHOOSE($D$3,ISNUMBER(L15),ISNUMBER(L16),ISNUMBER(L17)),CHOOSE($D$3,L15,L16,L17),"n.a.")</x:f>
        <x:v>1.5</x:v>
      </x:c>
      <x:c r="M14" s="51" t="n">
        <x:f>IF(CHOOSE($D$3,ISNUMBER(M15),ISNUMBER(M16),ISNUMBER(M17)),CHOOSE($D$3,M15,M16,M17),"n.a.")</x:f>
        <x:v>1.3</x:v>
      </x:c>
      <x:c r="N14" s="2"/>
      <x:c r="O14" s="2"/>
    </x:row>
    <x:row r="15" ht="20" customHeight="1">
      <x:c r="A15" s="2"/>
      <x:c r="B15" s="2"/>
      <x:c r="C15" s="2" t="str">
        <x:v>Base</x:v>
      </x:c>
      <x:c r="D15" s="42"/>
      <x:c r="E15" s="42"/>
      <x:c r="F15" s="42"/>
      <x:c r="G15" s="42"/>
      <x:c r="H15" s="42"/>
      <x:c r="I15" s="50" t="n">
        <x:v>1.5</x:v>
      </x:c>
      <x:c r="J15" s="50" t="n">
        <x:v>1.5</x:v>
      </x:c>
      <x:c r="K15" s="50" t="n">
        <x:v>1.5</x:v>
      </x:c>
      <x:c r="L15" s="50" t="n">
        <x:v>1.5</x:v>
      </x:c>
      <x:c r="M15" s="50" t="n">
        <x:v>1.3</x:v>
      </x:c>
      <x:c r="N15" s="2"/>
      <x:c r="O15" s="2"/>
    </x:row>
    <x:row r="16" ht="20" customHeight="1">
      <x:c r="A16" s="2"/>
      <x:c r="B16" s="2"/>
      <x:c r="C16" s="2" t="str">
        <x:v>Bull</x:v>
      </x:c>
      <x:c r="D16" s="42"/>
      <x:c r="E16" s="42"/>
      <x:c r="F16" s="42"/>
      <x:c r="G16" s="42"/>
      <x:c r="H16" s="42"/>
      <x:c r="I16" s="50" t="n">
        <x:v>1.6</x:v>
      </x:c>
      <x:c r="J16" s="50" t="n">
        <x:v>1.6</x:v>
      </x:c>
      <x:c r="K16" s="50" t="n">
        <x:v>1.6</x:v>
      </x:c>
      <x:c r="L16" s="50" t="n">
        <x:v>1.5</x:v>
      </x:c>
      <x:c r="M16" s="50" t="n">
        <x:v>1.5</x:v>
      </x:c>
      <x:c r="N16" s="2"/>
      <x:c r="O16" s="2"/>
    </x:row>
    <x:row r="17" ht="20" customHeight="1">
      <x:c r="A17" s="2"/>
      <x:c r="B17" s="2"/>
      <x:c r="C17" s="2" t="str">
        <x:v>Bear</x:v>
      </x:c>
      <x:c r="D17" s="42"/>
      <x:c r="E17" s="42"/>
      <x:c r="F17" s="42"/>
      <x:c r="G17" s="42"/>
      <x:c r="H17" s="42"/>
      <x:c r="I17" s="50" t="n">
        <x:v>1.2</x:v>
      </x:c>
      <x:c r="J17" s="50" t="n">
        <x:v>1.2</x:v>
      </x:c>
      <x:c r="K17" s="50" t="n">
        <x:v>1.2</x:v>
      </x:c>
      <x:c r="L17" s="50" t="n">
        <x:v>1.2</x:v>
      </x:c>
      <x:c r="M17" s="50" t="n">
        <x:v>1.1</x:v>
      </x:c>
      <x:c r="N17" s="2"/>
      <x:c r="O17" s="2"/>
    </x:row>
    <x:row r="18" ht="34" customHeight="1">
      <x:c r="A18" s="2"/>
      <x:c r="B18" s="2"/>
      <x:c r="C18" s="16" t="str">
        <x:v>S06/S09: 1.5x market growth includes volume and value. FY31 analyst fade after Spring. No additional commodity or share-growth term.</x:v>
      </x:c>
      <x:c r="D18" s="38"/>
      <x:c r="E18" s="38"/>
      <x:c r="F18" s="38"/>
      <x:c r="G18" s="38"/>
      <x:c r="H18" s="38"/>
      <x:c r="I18" s="38"/>
      <x:c r="J18" s="38"/>
      <x:c r="K18" s="38"/>
      <x:c r="L18" s="38"/>
      <x:c r="M18" s="38"/>
      <x:c r="N18" s="2"/>
      <x:c r="O18" s="2"/>
    </x:row>
    <x:row r="19" ht="20" customHeight="1">
      <x:c r="A19" s="2"/>
      <x:c r="B19" s="2"/>
      <x:c r="C19" s="31" t="str">
        <x:v>Export income growth</x:v>
      </x:c>
      <x:c r="D19" s="62" t="str">
        <x:f>'01_Historical+Segments'!D327</x:f>
        <x:v>n.a.</x:v>
      </x:c>
      <x:c r="E19" s="62" t="n">
        <x:f>'01_Historical+Segments'!E327</x:f>
        <x:v>0.4990616799179999</x:v>
      </x:c>
      <x:c r="F19" s="62" t="n">
        <x:f>'01_Historical+Segments'!F327</x:f>
        <x:v>0.0379017912965669</x:v>
      </x:c>
      <x:c r="G19" s="62" t="n">
        <x:f>'01_Historical+Segments'!G327</x:f>
        <x:v>-0.06321550515647711</x:v>
      </x:c>
      <x:c r="H19" s="62" t="n">
        <x:f>'01_Historical+Segments'!H327</x:f>
        <x:v>0.16672787257672916</x:v>
      </x:c>
      <x:c r="I19" s="41" t="n">
        <x:f>IF(CHOOSE($D$3,ISNUMBER(I20),ISNUMBER(I21),ISNUMBER(I22)),CHOOSE($D$3,I20,I21,I22),"n.a.")</x:f>
        <x:v>0.15</x:v>
      </x:c>
      <x:c r="J19" s="41" t="n">
        <x:f>IF(CHOOSE($D$3,ISNUMBER(J20),ISNUMBER(J21),ISNUMBER(J22)),CHOOSE($D$3,J20,J21,J22),"n.a.")</x:f>
        <x:v>0.25</x:v>
      </x:c>
      <x:c r="K19" s="41" t="n">
        <x:f>IF(CHOOSE($D$3,ISNUMBER(K20),ISNUMBER(K21),ISNUMBER(K22)),CHOOSE($D$3,K20,K21,K22),"n.a.")</x:f>
        <x:v>0.25</x:v>
      </x:c>
      <x:c r="L19" s="41" t="n">
        <x:f>IF(CHOOSE($D$3,ISNUMBER(L20),ISNUMBER(L21),ISNUMBER(L22)),CHOOSE($D$3,L20,L21,L22),"n.a.")</x:f>
        <x:v>0.25</x:v>
      </x:c>
      <x:c r="M19" s="41" t="n">
        <x:f>IF(CHOOSE($D$3,ISNUMBER(M20),ISNUMBER(M21),ISNUMBER(M22)),CHOOSE($D$3,M20,M21,M22),"n.a.")</x:f>
        <x:v>0.25</x:v>
      </x:c>
      <x:c r="N19" s="2"/>
      <x:c r="O19" s="2"/>
    </x:row>
    <x:row r="20" ht="20" customHeight="1">
      <x:c r="A20" s="2"/>
      <x:c r="B20" s="2"/>
      <x:c r="C20" s="24" t="str">
        <x:v>Base</x:v>
      </x:c>
      <x:c r="D20" s="25"/>
      <x:c r="E20" s="25"/>
      <x:c r="F20" s="25"/>
      <x:c r="G20" s="25"/>
      <x:c r="H20" s="25"/>
      <x:c r="I20" s="40" t="n">
        <x:v>0.15</x:v>
      </x:c>
      <x:c r="J20" s="40" t="n">
        <x:v>0.25</x:v>
      </x:c>
      <x:c r="K20" s="40" t="n">
        <x:v>0.25</x:v>
      </x:c>
      <x:c r="L20" s="40" t="n">
        <x:v>0.25</x:v>
      </x:c>
      <x:c r="M20" s="40" t="n">
        <x:v>0.25</x:v>
      </x:c>
      <x:c r="N20" s="2"/>
      <x:c r="O20" s="2"/>
    </x:row>
    <x:row r="21" ht="20" customHeight="1">
      <x:c r="A21" s="2"/>
      <x:c r="B21" s="2"/>
      <x:c r="C21" s="24" t="str">
        <x:v>Bull</x:v>
      </x:c>
      <x:c r="D21" s="25"/>
      <x:c r="E21" s="25"/>
      <x:c r="F21" s="25"/>
      <x:c r="G21" s="25"/>
      <x:c r="H21" s="25"/>
      <x:c r="I21" s="40" t="n">
        <x:v>0.25</x:v>
      </x:c>
      <x:c r="J21" s="40" t="n">
        <x:v>0.4</x:v>
      </x:c>
      <x:c r="K21" s="40" t="n">
        <x:v>0.4</x:v>
      </x:c>
      <x:c r="L21" s="40" t="n">
        <x:v>0.4</x:v>
      </x:c>
      <x:c r="M21" s="40" t="n">
        <x:v>0.3</x:v>
      </x:c>
      <x:c r="N21" s="2"/>
      <x:c r="O21" s="2"/>
    </x:row>
    <x:row r="22" ht="20" customHeight="1">
      <x:c r="A22" s="2"/>
      <x:c r="B22" s="2"/>
      <x:c r="C22" s="24" t="str">
        <x:v>Bear</x:v>
      </x:c>
      <x:c r="D22" s="25"/>
      <x:c r="E22" s="25"/>
      <x:c r="F22" s="25"/>
      <x:c r="G22" s="25"/>
      <x:c r="H22" s="25"/>
      <x:c r="I22" s="40" t="n">
        <x:v>0</x:v>
      </x:c>
      <x:c r="J22" s="40" t="n">
        <x:v>0.1</x:v>
      </x:c>
      <x:c r="K22" s="40" t="n">
        <x:v>0.12</x:v>
      </x:c>
      <x:c r="L22" s="40" t="n">
        <x:v>0.12</x:v>
      </x:c>
      <x:c r="M22" s="40" t="n">
        <x:v>0.12</x:v>
      </x:c>
      <x:c r="N22" s="2"/>
      <x:c r="O22" s="2"/>
    </x:row>
    <x:row r="23" ht="34" customHeight="1">
      <x:c r="A23" s="2"/>
      <x:c r="B23" s="2"/>
      <x:c r="C23" s="16" t="str">
        <x:v>Analyst recovery below &gt;10% FY30 ambition; Q1FY27 exports -13%. Bull tests faster certification/order conversion. S06/S07/S08.</x:v>
      </x:c>
      <x:c r="D23" s="38"/>
      <x:c r="E23" s="38"/>
      <x:c r="F23" s="38"/>
      <x:c r="G23" s="38"/>
      <x:c r="H23" s="38"/>
      <x:c r="I23" s="38"/>
      <x:c r="J23" s="38"/>
      <x:c r="K23" s="38"/>
      <x:c r="L23" s="38"/>
      <x:c r="M23" s="38"/>
      <x:c r="N23" s="2"/>
      <x:c r="O23" s="2"/>
    </x:row>
    <x:row r="24" ht="20" customHeight="1">
      <x:c r="A24" s="2"/>
      <x:c r="B24" s="2"/>
      <x:c r="C24" s="31" t="str">
        <x:v>FMEG income growth</x:v>
      </x:c>
      <x:c r="D24" s="62" t="str">
        <x:f>'01_Historical+Segments'!D325</x:f>
        <x:v>n.a.</x:v>
      </x:c>
      <x:c r="E24" s="62" t="n">
        <x:f>'01_Historical+Segments'!E325</x:f>
        <x:v>-0.002571782302534409</x:v>
      </x:c>
      <x:c r="F24" s="62" t="n">
        <x:f>'01_Historical+Segments'!F325</x:f>
        <x:v>0.025257421730446428</x:v>
      </x:c>
      <x:c r="G24" s="62" t="n">
        <x:f>'01_Historical+Segments'!G325</x:f>
        <x:v>0.2890521828747119</x:v>
      </x:c>
      <x:c r="H24" s="62" t="n">
        <x:f>'01_Historical+Segments'!H325</x:f>
        <x:v>0.25145173209994076</x:v>
      </x:c>
      <x:c r="I24" s="41" t="n">
        <x:f>IF(CHOOSE($D$3,ISNUMBER(I25),ISNUMBER(I26),ISNUMBER(I27)),CHOOSE($D$3,I25,I26,I27),"n.a.")</x:f>
        <x:v>0.4</x:v>
      </x:c>
      <x:c r="J24" s="41" t="n">
        <x:f>IF(CHOOSE($D$3,ISNUMBER(J25),ISNUMBER(J26),ISNUMBER(J27)),CHOOSE($D$3,J25,J26,J27),"n.a.")</x:f>
        <x:v>0.25</x:v>
      </x:c>
      <x:c r="K24" s="41" t="n">
        <x:f>IF(CHOOSE($D$3,ISNUMBER(K25),ISNUMBER(K26),ISNUMBER(K27)),CHOOSE($D$3,K25,K26,K27),"n.a.")</x:f>
        <x:v>0.2</x:v>
      </x:c>
      <x:c r="L24" s="41" t="n">
        <x:f>IF(CHOOSE($D$3,ISNUMBER(L25),ISNUMBER(L26),ISNUMBER(L27)),CHOOSE($D$3,L25,L26,L27),"n.a.")</x:f>
        <x:v>0.18</x:v>
      </x:c>
      <x:c r="M24" s="41" t="n">
        <x:f>IF(CHOOSE($D$3,ISNUMBER(M25),ISNUMBER(M26),ISNUMBER(M27)),CHOOSE($D$3,M25,M26,M27),"n.a.")</x:f>
        <x:v>0.15</x:v>
      </x:c>
      <x:c r="N24" s="2"/>
      <x:c r="O24" s="2"/>
    </x:row>
    <x:row r="25" ht="20" customHeight="1">
      <x:c r="A25" s="2"/>
      <x:c r="B25" s="2"/>
      <x:c r="C25" s="24" t="str">
        <x:v>Base</x:v>
      </x:c>
      <x:c r="D25" s="25"/>
      <x:c r="E25" s="25"/>
      <x:c r="F25" s="25"/>
      <x:c r="G25" s="25"/>
      <x:c r="H25" s="25"/>
      <x:c r="I25" s="40" t="n">
        <x:v>0.4</x:v>
      </x:c>
      <x:c r="J25" s="40" t="n">
        <x:v>0.25</x:v>
      </x:c>
      <x:c r="K25" s="40" t="n">
        <x:v>0.2</x:v>
      </x:c>
      <x:c r="L25" s="40" t="n">
        <x:v>0.18</x:v>
      </x:c>
      <x:c r="M25" s="40" t="n">
        <x:v>0.15</x:v>
      </x:c>
      <x:c r="N25" s="2"/>
      <x:c r="O25" s="2"/>
    </x:row>
    <x:row r="26" ht="20" customHeight="1">
      <x:c r="A26" s="2"/>
      <x:c r="B26" s="2"/>
      <x:c r="C26" s="24" t="str">
        <x:v>Bull</x:v>
      </x:c>
      <x:c r="D26" s="25"/>
      <x:c r="E26" s="25"/>
      <x:c r="F26" s="25"/>
      <x:c r="G26" s="25"/>
      <x:c r="H26" s="25"/>
      <x:c r="I26" s="40" t="n">
        <x:v>0.5</x:v>
      </x:c>
      <x:c r="J26" s="40" t="n">
        <x:v>0.3</x:v>
      </x:c>
      <x:c r="K26" s="40" t="n">
        <x:v>0.25</x:v>
      </x:c>
      <x:c r="L26" s="40" t="n">
        <x:v>0.22</x:v>
      </x:c>
      <x:c r="M26" s="40" t="n">
        <x:v>0.18</x:v>
      </x:c>
      <x:c r="N26" s="2"/>
      <x:c r="O26" s="2"/>
    </x:row>
    <x:row r="27" ht="20" customHeight="1">
      <x:c r="A27" s="2"/>
      <x:c r="B27" s="2"/>
      <x:c r="C27" s="24" t="str">
        <x:v>Bear</x:v>
      </x:c>
      <x:c r="D27" s="25"/>
      <x:c r="E27" s="25"/>
      <x:c r="F27" s="25"/>
      <x:c r="G27" s="25"/>
      <x:c r="H27" s="25"/>
      <x:c r="I27" s="40" t="n">
        <x:v>0.25</x:v>
      </x:c>
      <x:c r="J27" s="40" t="n">
        <x:v>0.15</x:v>
      </x:c>
      <x:c r="K27" s="40" t="n">
        <x:v>0.12</x:v>
      </x:c>
      <x:c r="L27" s="40" t="n">
        <x:v>0.1</x:v>
      </x:c>
      <x:c r="M27" s="40" t="n">
        <x:v>0.1</x:v>
      </x:c>
      <x:c r="N27" s="2"/>
      <x:c r="O27" s="2"/>
    </x:row>
    <x:row r="28" ht="34" customHeight="1">
      <x:c r="A28" s="2"/>
      <x:c r="B28" s="2"/>
      <x:c r="C28" s="16" t="str">
        <x:v>Analyst: 40% FY27 blends strong Q1 (+71%) with moderation; thereafter fades from FY26 +25%. Solar/distribution support, seasonal strength moderates. S08 and historicals.</x:v>
      </x:c>
      <x:c r="D28" s="38"/>
      <x:c r="E28" s="38"/>
      <x:c r="F28" s="38"/>
      <x:c r="G28" s="38"/>
      <x:c r="H28" s="38"/>
      <x:c r="I28" s="38"/>
      <x:c r="J28" s="38"/>
      <x:c r="K28" s="38"/>
      <x:c r="L28" s="38"/>
      <x:c r="M28" s="38"/>
      <x:c r="N28" s="2"/>
      <x:c r="O28" s="2"/>
    </x:row>
    <x:row r="29" ht="20" customHeight="1">
      <x:c r="A29" s="2"/>
      <x:c r="B29" s="2"/>
      <x:c r="C29" s="31" t="str">
        <x:v>W&amp;C EBITDA margin</x:v>
      </x:c>
      <x:c r="D29" s="62" t="n">
        <x:f>('01_Historical+Segments'!D347+'01_Historical+Segments'!D350)/'01_Historical+Segments'!D341</x:f>
        <x:v>0.11387212923771403</x:v>
      </x:c>
      <x:c r="E29" s="62" t="n">
        <x:f>('01_Historical+Segments'!E347+'01_Historical+Segments'!E350)/'01_Historical+Segments'!E341</x:f>
        <x:v>0.14581907541358735</x:v>
      </x:c>
      <x:c r="F29" s="62" t="n">
        <x:f>('01_Historical+Segments'!F347+'01_Historical+Segments'!F350)/'01_Historical+Segments'!F341</x:f>
        <x:v>0.15973266147376608</x:v>
      </x:c>
      <x:c r="G29" s="62" t="n">
        <x:f>('01_Historical+Segments'!G347+'01_Historical+Segments'!G350)/'01_Historical+Segments'!G341</x:f>
        <x:v>0.15008600916672257</x:v>
      </x:c>
      <x:c r="H29" s="62" t="n">
        <x:f>('01_Historical+Segments'!H347+'01_Historical+Segments'!H350)/'01_Historical+Segments'!H341</x:f>
        <x:v>0.1496725767916374</x:v>
      </x:c>
      <x:c r="I29" s="41" t="n">
        <x:f>IF(CHOOSE($D$3,ISNUMBER(I30),ISNUMBER(I31),ISNUMBER(I32)),CHOOSE($D$3,I30,I31,I32),"n.a.")</x:f>
        <x:v>0.14</x:v>
      </x:c>
      <x:c r="J29" s="41" t="n">
        <x:f>IF(CHOOSE($D$3,ISNUMBER(J30),ISNUMBER(J31),ISNUMBER(J32)),CHOOSE($D$3,J30,J31,J32),"n.a.")</x:f>
        <x:v>0.135</x:v>
      </x:c>
      <x:c r="K29" s="41" t="n">
        <x:f>IF(CHOOSE($D$3,ISNUMBER(K30),ISNUMBER(K31),ISNUMBER(K32)),CHOOSE($D$3,K30,K31,K32),"n.a.")</x:f>
        <x:v>0.13</x:v>
      </x:c>
      <x:c r="L29" s="41" t="n">
        <x:f>IF(CHOOSE($D$3,ISNUMBER(L30),ISNUMBER(L31),ISNUMBER(L32)),CHOOSE($D$3,L30,L31,L32),"n.a.")</x:f>
        <x:v>0.125</x:v>
      </x:c>
      <x:c r="M29" s="41" t="n">
        <x:f>IF(CHOOSE($D$3,ISNUMBER(M30),ISNUMBER(M31),ISNUMBER(M32)),CHOOSE($D$3,M30,M31,M32),"n.a.")</x:f>
        <x:v>0.125</x:v>
      </x:c>
      <x:c r="N29" s="2"/>
      <x:c r="O29" s="2"/>
    </x:row>
    <x:row r="30" ht="20" customHeight="1">
      <x:c r="A30" s="2"/>
      <x:c r="B30" s="2"/>
      <x:c r="C30" s="24" t="str">
        <x:v>Base</x:v>
      </x:c>
      <x:c r="D30" s="25"/>
      <x:c r="E30" s="25"/>
      <x:c r="F30" s="25"/>
      <x:c r="G30" s="25"/>
      <x:c r="H30" s="25"/>
      <x:c r="I30" s="40" t="n">
        <x:v>0.14</x:v>
      </x:c>
      <x:c r="J30" s="40" t="n">
        <x:v>0.135</x:v>
      </x:c>
      <x:c r="K30" s="40" t="n">
        <x:v>0.13</x:v>
      </x:c>
      <x:c r="L30" s="40" t="n">
        <x:v>0.125</x:v>
      </x:c>
      <x:c r="M30" s="40" t="n">
        <x:v>0.125</x:v>
      </x:c>
      <x:c r="N30" s="2"/>
      <x:c r="O30" s="2"/>
    </x:row>
    <x:row r="31" ht="20" customHeight="1">
      <x:c r="A31" s="2"/>
      <x:c r="B31" s="2"/>
      <x:c r="C31" s="24" t="str">
        <x:v>Bull</x:v>
      </x:c>
      <x:c r="D31" s="25"/>
      <x:c r="E31" s="25"/>
      <x:c r="F31" s="25"/>
      <x:c r="G31" s="25"/>
      <x:c r="H31" s="25"/>
      <x:c r="I31" s="40" t="n">
        <x:v>0.15</x:v>
      </x:c>
      <x:c r="J31" s="40" t="n">
        <x:v>0.145</x:v>
      </x:c>
      <x:c r="K31" s="40" t="n">
        <x:v>0.14</x:v>
      </x:c>
      <x:c r="L31" s="40" t="n">
        <x:v>0.135</x:v>
      </x:c>
      <x:c r="M31" s="40" t="n">
        <x:v>0.13</x:v>
      </x:c>
      <x:c r="N31" s="2"/>
      <x:c r="O31" s="2"/>
    </x:row>
    <x:row r="32" ht="20" customHeight="1">
      <x:c r="A32" s="2"/>
      <x:c r="B32" s="2"/>
      <x:c r="C32" s="24" t="str">
        <x:v>Bear</x:v>
      </x:c>
      <x:c r="D32" s="25"/>
      <x:c r="E32" s="25"/>
      <x:c r="F32" s="25"/>
      <x:c r="G32" s="25"/>
      <x:c r="H32" s="25"/>
      <x:c r="I32" s="40" t="n">
        <x:v>0.13</x:v>
      </x:c>
      <x:c r="J32" s="40" t="n">
        <x:v>0.12</x:v>
      </x:c>
      <x:c r="K32" s="40" t="n">
        <x:v>0.115</x:v>
      </x:c>
      <x:c r="L32" s="40" t="n">
        <x:v>0.11</x:v>
      </x:c>
      <x:c r="M32" s="40" t="n">
        <x:v>0.11</x:v>
      </x:c>
      <x:c r="N32" s="2"/>
      <x:c r="O32" s="2"/>
    </x:row>
    <x:row r="33" ht="34" customHeight="1">
      <x:c r="A33" s="2"/>
      <x:c r="B33" s="2"/>
      <x:c r="C33" s="16" t="str">
        <x:v>Analyst fade from FY26 derived ~15%. Near/mid-term 12–14%, long-term 11–13% EBITDA guidance. S06; peer KEI FY26 EBITDA 11.81% (S10).</x:v>
      </x:c>
      <x:c r="D33" s="38"/>
      <x:c r="E33" s="38"/>
      <x:c r="F33" s="38"/>
      <x:c r="G33" s="38"/>
      <x:c r="H33" s="38"/>
      <x:c r="I33" s="38"/>
      <x:c r="J33" s="38"/>
      <x:c r="K33" s="38"/>
      <x:c r="L33" s="38"/>
      <x:c r="M33" s="38"/>
      <x:c r="N33" s="2"/>
      <x:c r="O33" s="2"/>
    </x:row>
    <x:row r="34" ht="20" customHeight="1">
      <x:c r="A34" s="2"/>
      <x:c r="B34" s="2"/>
      <x:c r="C34" s="31" t="str">
        <x:v>FMEG EBITDA margin</x:v>
      </x:c>
      <x:c r="D34" s="62" t="n">
        <x:f>('01_Historical+Segments'!D348+'01_Historical+Segments'!D351)/'01_Historical+Segments'!D342</x:f>
        <x:v>0.03259929383609312</x:v>
      </x:c>
      <x:c r="E34" s="62" t="n">
        <x:f>('01_Historical+Segments'!E348+'01_Historical+Segments'!E351)/'01_Historical+Segments'!E342</x:f>
        <x:v>0.013073499169169016</x:v>
      </x:c>
      <x:c r="F34" s="62" t="n">
        <x:f>('01_Historical+Segments'!F348+'01_Historical+Segments'!F351)/'01_Historical+Segments'!F342</x:f>
        <x:v>-0.04784378659107954</x:v>
      </x:c>
      <x:c r="G34" s="62" t="n">
        <x:f>('01_Historical+Segments'!G348+'01_Historical+Segments'!G351)/'01_Historical+Segments'!G342</x:f>
        <x:v>-0.0024414257394127278</x:v>
      </x:c>
      <x:c r="H34" s="62" t="n">
        <x:f>('01_Historical+Segments'!H348+'01_Historical+Segments'!H351)/'01_Historical+Segments'!H342</x:f>
        <x:v>0.046843709648736215</x:v>
      </x:c>
      <x:c r="I34" s="41" t="n">
        <x:f>IF(CHOOSE($D$3,ISNUMBER(I35),ISNUMBER(I36),ISNUMBER(I37)),CHOOSE($D$3,I35,I36,I37),"n.a.")</x:f>
        <x:v>0.09</x:v>
      </x:c>
      <x:c r="J34" s="41" t="n">
        <x:f>IF(CHOOSE($D$3,ISNUMBER(J35),ISNUMBER(J36),ISNUMBER(J37)),CHOOSE($D$3,J35,J36,J37),"n.a.")</x:f>
        <x:v>0.0925</x:v>
      </x:c>
      <x:c r="K34" s="41" t="n">
        <x:f>IF(CHOOSE($D$3,ISNUMBER(K35),ISNUMBER(K36),ISNUMBER(K37)),CHOOSE($D$3,K35,K36,K37),"n.a.")</x:f>
        <x:v>0.095</x:v>
      </x:c>
      <x:c r="L34" s="41" t="n">
        <x:f>IF(CHOOSE($D$3,ISNUMBER(L35),ISNUMBER(L36),ISNUMBER(L37)),CHOOSE($D$3,L35,L36,L37),"n.a.")</x:f>
        <x:v>0.095</x:v>
      </x:c>
      <x:c r="M34" s="41" t="n">
        <x:f>IF(CHOOSE($D$3,ISNUMBER(M35),ISNUMBER(M36),ISNUMBER(M37)),CHOOSE($D$3,M35,M36,M37),"n.a.")</x:f>
        <x:v>0.095</x:v>
      </x:c>
      <x:c r="N34" s="2"/>
      <x:c r="O34" s="2"/>
    </x:row>
    <x:row r="35" ht="20" customHeight="1">
      <x:c r="A35" s="2"/>
      <x:c r="B35" s="2"/>
      <x:c r="C35" s="24" t="str">
        <x:v>Base</x:v>
      </x:c>
      <x:c r="D35" s="25"/>
      <x:c r="E35" s="25"/>
      <x:c r="F35" s="25"/>
      <x:c r="G35" s="25"/>
      <x:c r="H35" s="25"/>
      <x:c r="I35" s="40" t="n">
        <x:v>0.09</x:v>
      </x:c>
      <x:c r="J35" s="40" t="n">
        <x:v>0.0925</x:v>
      </x:c>
      <x:c r="K35" s="40" t="n">
        <x:v>0.095</x:v>
      </x:c>
      <x:c r="L35" s="40" t="n">
        <x:v>0.095</x:v>
      </x:c>
      <x:c r="M35" s="40" t="n">
        <x:v>0.095</x:v>
      </x:c>
      <x:c r="N35" s="2"/>
      <x:c r="O35" s="2"/>
    </x:row>
    <x:row r="36" ht="20" customHeight="1">
      <x:c r="A36" s="2"/>
      <x:c r="B36" s="2"/>
      <x:c r="C36" s="24" t="str">
        <x:v>Bull</x:v>
      </x:c>
      <x:c r="D36" s="25"/>
      <x:c r="E36" s="25"/>
      <x:c r="F36" s="25"/>
      <x:c r="G36" s="25"/>
      <x:c r="H36" s="25"/>
      <x:c r="I36" s="40" t="n">
        <x:v>0.1</x:v>
      </x:c>
      <x:c r="J36" s="40" t="n">
        <x:v>0.105</x:v>
      </x:c>
      <x:c r="K36" s="40" t="n">
        <x:v>0.11</x:v>
      </x:c>
      <x:c r="L36" s="40" t="n">
        <x:v>0.11</x:v>
      </x:c>
      <x:c r="M36" s="40" t="n">
        <x:v>0.11</x:v>
      </x:c>
      <x:c r="N36" s="2"/>
      <x:c r="O36" s="2"/>
    </x:row>
    <x:row r="37" ht="20" customHeight="1">
      <x:c r="A37" s="2"/>
      <x:c r="B37" s="2"/>
      <x:c r="C37" s="24" t="str">
        <x:v>Bear</x:v>
      </x:c>
      <x:c r="D37" s="25"/>
      <x:c r="E37" s="25"/>
      <x:c r="F37" s="25"/>
      <x:c r="G37" s="25"/>
      <x:c r="H37" s="25"/>
      <x:c r="I37" s="40" t="n">
        <x:v>0.065</x:v>
      </x:c>
      <x:c r="J37" s="40" t="n">
        <x:v>0.07</x:v>
      </x:c>
      <x:c r="K37" s="40" t="n">
        <x:v>0.075</x:v>
      </x:c>
      <x:c r="L37" s="40" t="n">
        <x:v>0.08</x:v>
      </x:c>
      <x:c r="M37" s="40" t="n">
        <x:v>0.08</x:v>
      </x:c>
      <x:c r="N37" s="2"/>
      <x:c r="O37" s="2"/>
    </x:row>
    <x:row r="38" ht="34" customHeight="1">
      <x:c r="A38" s="2"/>
      <x:c r="B38" s="2"/>
      <x:c r="C38" s="16" t="str">
        <x:v>Analyst FY27 9% moderates Q1 8% EBIT plus D&amp;A. Base within Spring 8–10% by FY30. Bull exceeds target and is explicitly upside. S06/S08.</x:v>
      </x:c>
      <x:c r="D38" s="38"/>
      <x:c r="E38" s="38"/>
      <x:c r="F38" s="38"/>
      <x:c r="G38" s="38"/>
      <x:c r="H38" s="38"/>
      <x:c r="I38" s="38"/>
      <x:c r="J38" s="38"/>
      <x:c r="K38" s="38"/>
      <x:c r="L38" s="38"/>
      <x:c r="M38" s="38"/>
      <x:c r="N38" s="2"/>
      <x:c r="O38" s="2"/>
    </x:row>
    <x:row r="39" ht="20" customHeight="1">
      <x:c r="A39" s="2"/>
      <x:c r="B39" s="2"/>
      <x:c r="C39" s="31" t="str">
        <x:v>EPC income growth</x:v>
      </x:c>
      <x:c r="D39" s="62" t="str">
        <x:f>'01_Historical+Segments'!D326</x:f>
        <x:v>n.a.</x:v>
      </x:c>
      <x:c r="E39" s="62" t="n">
        <x:f>'01_Historical+Segments'!E326</x:f>
        <x:v>0.21800740113973482</x:v>
      </x:c>
      <x:c r="F39" s="62" t="n">
        <x:f>'01_Historical+Segments'!F326</x:f>
        <x:v>1.6901605316459936</x:v>
      </x:c>
      <x:c r="G39" s="62" t="n">
        <x:f>'01_Historical+Segments'!G326</x:f>
        <x:v>0.9904059652889046</x:v>
      </x:c>
      <x:c r="H39" s="62" t="n">
        <x:f>'01_Historical+Segments'!H326</x:f>
        <x:v>-0.1316891747197717</x:v>
      </x:c>
      <x:c r="I39" s="41" t="n">
        <x:f>IF(CHOOSE($D$3,ISNUMBER(I40),ISNUMBER(I41),ISNUMBER(I42)),CHOOSE($D$3,I40,I41,I42),"n.a.")</x:f>
        <x:v>0</x:v>
      </x:c>
      <x:c r="J39" s="41" t="n">
        <x:f>IF(CHOOSE($D$3,ISNUMBER(J40),ISNUMBER(J41),ISNUMBER(J42)),CHOOSE($D$3,J40,J41,J42),"n.a.")</x:f>
        <x:v>0.08</x:v>
      </x:c>
      <x:c r="K39" s="41" t="n">
        <x:f>IF(CHOOSE($D$3,ISNUMBER(K40),ISNUMBER(K41),ISNUMBER(K42)),CHOOSE($D$3,K40,K41,K42),"n.a.")</x:f>
        <x:v>0.08</x:v>
      </x:c>
      <x:c r="L39" s="41" t="n">
        <x:f>IF(CHOOSE($D$3,ISNUMBER(L40),ISNUMBER(L41),ISNUMBER(L42)),CHOOSE($D$3,L40,L41,L42),"n.a.")</x:f>
        <x:v>0.06</x:v>
      </x:c>
      <x:c r="M39" s="41" t="n">
        <x:f>IF(CHOOSE($D$3,ISNUMBER(M40),ISNUMBER(M41),ISNUMBER(M42)),CHOOSE($D$3,M40,M41,M42),"n.a.")</x:f>
        <x:v>0.05</x:v>
      </x:c>
      <x:c r="N39" s="2"/>
      <x:c r="O39" s="2"/>
    </x:row>
    <x:row r="40" ht="20" customHeight="1">
      <x:c r="A40" s="2"/>
      <x:c r="B40" s="2"/>
      <x:c r="C40" s="24" t="str">
        <x:v>Base</x:v>
      </x:c>
      <x:c r="D40" s="25"/>
      <x:c r="E40" s="25"/>
      <x:c r="F40" s="25"/>
      <x:c r="G40" s="25"/>
      <x:c r="H40" s="25"/>
      <x:c r="I40" s="40" t="n">
        <x:v>0</x:v>
      </x:c>
      <x:c r="J40" s="40" t="n">
        <x:v>0.08</x:v>
      </x:c>
      <x:c r="K40" s="40" t="n">
        <x:v>0.08</x:v>
      </x:c>
      <x:c r="L40" s="40" t="n">
        <x:v>0.06</x:v>
      </x:c>
      <x:c r="M40" s="40" t="n">
        <x:v>0.05</x:v>
      </x:c>
      <x:c r="N40" s="2"/>
      <x:c r="O40" s="2"/>
    </x:row>
    <x:row r="41" ht="20" customHeight="1">
      <x:c r="A41" s="2"/>
      <x:c r="B41" s="2"/>
      <x:c r="C41" s="24" t="str">
        <x:v>Bull</x:v>
      </x:c>
      <x:c r="D41" s="25"/>
      <x:c r="E41" s="25"/>
      <x:c r="F41" s="25"/>
      <x:c r="G41" s="25"/>
      <x:c r="H41" s="25"/>
      <x:c r="I41" s="40" t="n">
        <x:v>0.1</x:v>
      </x:c>
      <x:c r="J41" s="40" t="n">
        <x:v>0.12</x:v>
      </x:c>
      <x:c r="K41" s="40" t="n">
        <x:v>0.1</x:v>
      </x:c>
      <x:c r="L41" s="40" t="n">
        <x:v>0.08</x:v>
      </x:c>
      <x:c r="M41" s="40" t="n">
        <x:v>0.07</x:v>
      </x:c>
      <x:c r="N41" s="2"/>
      <x:c r="O41" s="2"/>
    </x:row>
    <x:row r="42" ht="20" customHeight="1">
      <x:c r="A42" s="2"/>
      <x:c r="B42" s="2"/>
      <x:c r="C42" s="24" t="str">
        <x:v>Bear</x:v>
      </x:c>
      <x:c r="D42" s="25"/>
      <x:c r="E42" s="25"/>
      <x:c r="F42" s="25"/>
      <x:c r="G42" s="25"/>
      <x:c r="H42" s="25"/>
      <x:c r="I42" s="40" t="n">
        <x:v>-0.1</x:v>
      </x:c>
      <x:c r="J42" s="40" t="n">
        <x:v>0</x:v>
      </x:c>
      <x:c r="K42" s="40" t="n">
        <x:v>0.03</x:v>
      </x:c>
      <x:c r="L42" s="40" t="n">
        <x:v>0.03</x:v>
      </x:c>
      <x:c r="M42" s="40" t="n">
        <x:v>0.03</x:v>
      </x:c>
      <x:c r="N42" s="2"/>
      <x:c r="O42" s="2"/>
    </x:row>
    <x:row r="43" ht="34" customHeight="1">
      <x:c r="A43" s="2"/>
      <x:c r="B43" s="2"/>
      <x:c r="C43" s="16" t="str">
        <x:v>Analyst flat FY27 after FY26 -13% and Q1 -11%; later modest execution recovery. No unverified order-book conversion rates. S06/S08.</x:v>
      </x:c>
      <x:c r="D43" s="38"/>
      <x:c r="E43" s="38"/>
      <x:c r="F43" s="38"/>
      <x:c r="G43" s="38"/>
      <x:c r="H43" s="38"/>
      <x:c r="I43" s="38"/>
      <x:c r="J43" s="38"/>
      <x:c r="K43" s="38"/>
      <x:c r="L43" s="38"/>
      <x:c r="M43" s="38"/>
      <x:c r="N43" s="2"/>
      <x:c r="O43" s="2"/>
    </x:row>
    <x:row r="44" ht="20" customHeight="1">
      <x:c r="A44" s="2"/>
      <x:c r="B44" s="2"/>
      <x:c r="C44" s="31" t="str">
        <x:v>EPC EBIT margin</x:v>
      </x:c>
      <x:c r="D44" s="62" t="n">
        <x:f>'01_Historical+Segments'!D322</x:f>
        <x:v>0.1487228106660686</x:v>
      </x:c>
      <x:c r="E44" s="62" t="n">
        <x:f>'01_Historical+Segments'!E322</x:f>
        <x:v>0.12059960829608797</x:v>
      </x:c>
      <x:c r="F44" s="62" t="n">
        <x:f>'01_Historical+Segments'!F322</x:f>
        <x:v>0.11459017158502248</x:v>
      </x:c>
      <x:c r="G44" s="62" t="n">
        <x:f>'01_Historical+Segments'!G322</x:f>
        <x:v>0.09412063844054858</x:v>
      </x:c>
      <x:c r="H44" s="62" t="n">
        <x:f>'01_Historical+Segments'!H322</x:f>
        <x:v>0.09934017243365721</x:v>
      </x:c>
      <x:c r="I44" s="41" t="n">
        <x:f>IF(CHOOSE($D$3,ISNUMBER(I45),ISNUMBER(I46),ISNUMBER(I47)),CHOOSE($D$3,I45,I46,I47),"n.a.")</x:f>
        <x:v>0.085</x:v>
      </x:c>
      <x:c r="J44" s="41" t="n">
        <x:f>IF(CHOOSE($D$3,ISNUMBER(J45),ISNUMBER(J46),ISNUMBER(J47)),CHOOSE($D$3,J45,J46,J47),"n.a.")</x:f>
        <x:v>0.085</x:v>
      </x:c>
      <x:c r="K44" s="41" t="n">
        <x:f>IF(CHOOSE($D$3,ISNUMBER(K45),ISNUMBER(K46),ISNUMBER(K47)),CHOOSE($D$3,K45,K46,K47),"n.a.")</x:f>
        <x:v>0.085</x:v>
      </x:c>
      <x:c r="L44" s="41" t="n">
        <x:f>IF(CHOOSE($D$3,ISNUMBER(L45),ISNUMBER(L46),ISNUMBER(L47)),CHOOSE($D$3,L45,L46,L47),"n.a.")</x:f>
        <x:v>0.085</x:v>
      </x:c>
      <x:c r="M44" s="41" t="n">
        <x:f>IF(CHOOSE($D$3,ISNUMBER(M45),ISNUMBER(M46),ISNUMBER(M47)),CHOOSE($D$3,M45,M46,M47),"n.a.")</x:f>
        <x:v>0.085</x:v>
      </x:c>
      <x:c r="N44" s="2"/>
      <x:c r="O44" s="2"/>
    </x:row>
    <x:row r="45" ht="20" customHeight="1">
      <x:c r="A45" s="2"/>
      <x:c r="B45" s="2"/>
      <x:c r="C45" s="24" t="str">
        <x:v>Base</x:v>
      </x:c>
      <x:c r="D45" s="25"/>
      <x:c r="E45" s="25"/>
      <x:c r="F45" s="25"/>
      <x:c r="G45" s="25"/>
      <x:c r="H45" s="25"/>
      <x:c r="I45" s="40" t="n">
        <x:v>0.085</x:v>
      </x:c>
      <x:c r="J45" s="40" t="n">
        <x:v>0.085</x:v>
      </x:c>
      <x:c r="K45" s="40" t="n">
        <x:v>0.085</x:v>
      </x:c>
      <x:c r="L45" s="40" t="n">
        <x:v>0.085</x:v>
      </x:c>
      <x:c r="M45" s="40" t="n">
        <x:v>0.085</x:v>
      </x:c>
      <x:c r="N45" s="2"/>
      <x:c r="O45" s="2"/>
    </x:row>
    <x:row r="46" ht="20" customHeight="1">
      <x:c r="A46" s="2"/>
      <x:c r="B46" s="2"/>
      <x:c r="C46" s="24" t="str">
        <x:v>Bull</x:v>
      </x:c>
      <x:c r="D46" s="25"/>
      <x:c r="E46" s="25"/>
      <x:c r="F46" s="25"/>
      <x:c r="G46" s="25"/>
      <x:c r="H46" s="25"/>
      <x:c r="I46" s="40" t="n">
        <x:v>0.095</x:v>
      </x:c>
      <x:c r="J46" s="40" t="n">
        <x:v>0.095</x:v>
      </x:c>
      <x:c r="K46" s="40" t="n">
        <x:v>0.09</x:v>
      </x:c>
      <x:c r="L46" s="40" t="n">
        <x:v>0.09</x:v>
      </x:c>
      <x:c r="M46" s="40" t="n">
        <x:v>0.09</x:v>
      </x:c>
      <x:c r="N46" s="2"/>
      <x:c r="O46" s="2"/>
    </x:row>
    <x:row r="47" ht="20" customHeight="1">
      <x:c r="A47" s="2"/>
      <x:c r="B47" s="2"/>
      <x:c r="C47" s="24" t="str">
        <x:v>Bear</x:v>
      </x:c>
      <x:c r="D47" s="25"/>
      <x:c r="E47" s="25"/>
      <x:c r="F47" s="25"/>
      <x:c r="G47" s="25"/>
      <x:c r="H47" s="25"/>
      <x:c r="I47" s="40" t="n">
        <x:v>0.075</x:v>
      </x:c>
      <x:c r="J47" s="40" t="n">
        <x:v>0.075</x:v>
      </x:c>
      <x:c r="K47" s="40" t="n">
        <x:v>0.075</x:v>
      </x:c>
      <x:c r="L47" s="40" t="n">
        <x:v>0.075</x:v>
      </x:c>
      <x:c r="M47" s="40" t="n">
        <x:v>0.075</x:v>
      </x:c>
      <x:c r="N47" s="2"/>
      <x:c r="O47" s="2"/>
    </x:row>
    <x:row r="48" ht="34" customHeight="1">
      <x:c r="A48" s="2"/>
      <x:c r="B48" s="2"/>
      <x:c r="C48" s="16" t="str">
        <x:v>Analyst high-single-digit sustainable margin; normalize FY26 9.9% and Q1 11%. S06/S08.</x:v>
      </x:c>
      <x:c r="D48" s="38"/>
      <x:c r="E48" s="38"/>
      <x:c r="F48" s="38"/>
      <x:c r="G48" s="38"/>
      <x:c r="H48" s="38"/>
      <x:c r="I48" s="38"/>
      <x:c r="J48" s="38"/>
      <x:c r="K48" s="38"/>
      <x:c r="L48" s="38"/>
      <x:c r="M48" s="38"/>
      <x:c r="N48" s="2"/>
      <x:c r="O48" s="2"/>
    </x:row>
    <x:row r="49" ht="20" customHeight="1">
      <x:c r="A49" s="2"/>
      <x:c r="B49" s="2"/>
      <x:c r="C49" s="47" t="str">
        <x:v>Net cash capex</x:v>
      </x:c>
      <x:c r="D49" s="63" t="n">
        <x:f>'01_Historical+Segments'!D258</x:f>
        <x:v>5200.03</x:v>
      </x:c>
      <x:c r="E49" s="63" t="n">
        <x:f>'01_Historical+Segments'!E258</x:f>
        <x:v>4584.18</x:v>
      </x:c>
      <x:c r="F49" s="63" t="n">
        <x:f>'01_Historical+Segments'!F258</x:f>
        <x:v>8579.73</x:v>
      </x:c>
      <x:c r="G49" s="63" t="n">
        <x:f>'01_Historical+Segments'!G258</x:f>
        <x:v>9583.35</x:v>
      </x:c>
      <x:c r="H49" s="63" t="n">
        <x:f>'01_Historical+Segments'!H258</x:f>
        <x:v>14799.34</x:v>
      </x:c>
      <x:c r="I49" s="56" t="n">
        <x:f>IF(CHOOSE($D$3,ISNUMBER(I50),ISNUMBER(I51),ISNUMBER(I52)),CHOOSE($D$3,I50,I51,I52),"n.a.")</x:f>
        <x:v>14000</x:v>
      </x:c>
      <x:c r="J49" s="56" t="n">
        <x:f>IF(CHOOSE($D$3,ISNUMBER(J50),ISNUMBER(J51),ISNUMBER(J52)),CHOOSE($D$3,J50,J51,J52),"n.a.")</x:f>
        <x:v>14000</x:v>
      </x:c>
      <x:c r="K49" s="56" t="n">
        <x:f>IF(CHOOSE($D$3,ISNUMBER(K50),ISNUMBER(K51),ISNUMBER(K52)),CHOOSE($D$3,K50,K51,K52),"n.a.")</x:f>
        <x:v>14000</x:v>
      </x:c>
      <x:c r="L49" s="56" t="n">
        <x:f>IF(CHOOSE($D$3,ISNUMBER(L50),ISNUMBER(L51),ISNUMBER(L52)),CHOOSE($D$3,L50,L51,L52),"n.a.")</x:f>
        <x:v>14000</x:v>
      </x:c>
      <x:c r="M49" s="56" t="n">
        <x:f>IF(CHOOSE($D$3,ISNUMBER(M50),ISNUMBER(M51),ISNUMBER(M52)),CHOOSE($D$3,M50,M51,M52),"n.a.")</x:f>
        <x:v>15819.999999999998</x:v>
      </x:c>
      <x:c r="N49" s="2"/>
      <x:c r="O49" s="2"/>
    </x:row>
    <x:row r="50" ht="20" customHeight="1">
      <x:c r="A50" s="2"/>
      <x:c r="B50" s="2"/>
      <x:c r="C50" s="2" t="str">
        <x:v>Base</x:v>
      </x:c>
      <x:c r="D50" s="3"/>
      <x:c r="E50" s="3"/>
      <x:c r="F50" s="3"/>
      <x:c r="G50" s="3"/>
      <x:c r="H50" s="3"/>
      <x:c r="I50" s="55" t="n">
        <x:v>14000</x:v>
      </x:c>
      <x:c r="J50" s="55" t="n">
        <x:v>14000</x:v>
      </x:c>
      <x:c r="K50" s="55" t="n">
        <x:v>14000</x:v>
      </x:c>
      <x:c r="L50" s="55" t="n">
        <x:v>14000</x:v>
      </x:c>
      <x:c r="M50" s="55" t="n">
        <x:v>15819.999999999998</x:v>
      </x:c>
      <x:c r="N50" s="2"/>
      <x:c r="O50" s="2"/>
    </x:row>
    <x:row r="51" ht="20" customHeight="1">
      <x:c r="A51" s="2"/>
      <x:c r="B51" s="2"/>
      <x:c r="C51" s="2" t="str">
        <x:v>Bull</x:v>
      </x:c>
      <x:c r="D51" s="3"/>
      <x:c r="E51" s="3"/>
      <x:c r="F51" s="3"/>
      <x:c r="G51" s="3"/>
      <x:c r="H51" s="3"/>
      <x:c r="I51" s="55" t="n">
        <x:v>16000</x:v>
      </x:c>
      <x:c r="J51" s="55" t="n">
        <x:v>16000</x:v>
      </x:c>
      <x:c r="K51" s="55" t="n">
        <x:v>16000</x:v>
      </x:c>
      <x:c r="L51" s="55" t="n">
        <x:v>16000</x:v>
      </x:c>
      <x:c r="M51" s="61" t="n">
        <x:f>L51*(1+M11*M16)</x:f>
        <x:v>18640</x:v>
      </x:c>
      <x:c r="N51" s="2"/>
      <x:c r="O51" s="2"/>
    </x:row>
    <x:row r="52" ht="20" customHeight="1">
      <x:c r="A52" s="2"/>
      <x:c r="B52" s="2"/>
      <x:c r="C52" s="2" t="str">
        <x:v>Bear</x:v>
      </x:c>
      <x:c r="D52" s="3"/>
      <x:c r="E52" s="3"/>
      <x:c r="F52" s="3"/>
      <x:c r="G52" s="3"/>
      <x:c r="H52" s="3"/>
      <x:c r="I52" s="55" t="n">
        <x:v>12000</x:v>
      </x:c>
      <x:c r="J52" s="55" t="n">
        <x:v>12000</x:v>
      </x:c>
      <x:c r="K52" s="55" t="n">
        <x:v>12000</x:v>
      </x:c>
      <x:c r="L52" s="55" t="n">
        <x:v>12000</x:v>
      </x:c>
      <x:c r="M52" s="61" t="n">
        <x:f>L52*(1+M12*M17)</x:f>
        <x:v>13056.000000000002</x:v>
      </x:c>
      <x:c r="N52" s="2"/>
      <x:c r="O52" s="2"/>
    </x:row>
    <x:row r="53" ht="34" customHeight="1">
      <x:c r="A53" s="2"/>
      <x:c r="B53" s="2"/>
      <x:c r="C53" s="16" t="str">
        <x:v>S06/P26: INR12–16bn annually; base midpoint. FY31 grows FY30 capex with domestic nominal growth to preserve approximate intensity.</x:v>
      </x:c>
      <x:c r="D53" s="38"/>
      <x:c r="E53" s="38"/>
      <x:c r="F53" s="38"/>
      <x:c r="G53" s="38"/>
      <x:c r="H53" s="38"/>
      <x:c r="I53" s="38"/>
      <x:c r="J53" s="38"/>
      <x:c r="K53" s="38"/>
      <x:c r="L53" s="38"/>
      <x:c r="M53" s="38"/>
      <x:c r="N53" s="2"/>
      <x:c r="O53" s="2"/>
    </x:row>
    <x:row r="54" ht="20" customHeight="1">
      <x:c r="A54" s="2"/>
      <x:c r="B54" s="2"/>
      <x:c r="C54" s="47" t="str">
        <x:v>Closing current receivable days</x:v>
      </x:c>
      <x:c r="D54" s="63" t="n">
        <x:f>'01_Historical+Segments'!D413</x:f>
        <x:v>38.773605120585366</x:v>
      </x:c>
      <x:c r="E54" s="63" t="n">
        <x:f>'01_Historical+Segments'!E413</x:f>
        <x:v>32.25224695200052</x:v>
      </x:c>
      <x:c r="F54" s="63" t="n">
        <x:f>'01_Historical+Segments'!F413</x:f>
        <x:v>41.4202181065004</x:v>
      </x:c>
      <x:c r="G54" s="63" t="n">
        <x:f>'01_Historical+Segments'!G413</x:f>
        <x:v>42.28956548402372</x:v>
      </x:c>
      <x:c r="H54" s="63" t="n">
        <x:f>'01_Historical+Segments'!H413</x:f>
        <x:v>47.49563215245423</x:v>
      </x:c>
      <x:c r="I54" s="56" t="n">
        <x:f>IF(CHOOSE($D$3,ISNUMBER(I55),ISNUMBER(I56),ISNUMBER(I57)),CHOOSE($D$3,I55,I56,I57),"n.a.")</x:f>
        <x:v>45</x:v>
      </x:c>
      <x:c r="J54" s="56" t="n">
        <x:f>IF(CHOOSE($D$3,ISNUMBER(J55),ISNUMBER(J56),ISNUMBER(J57)),CHOOSE($D$3,J55,J56,J57),"n.a.")</x:f>
        <x:v>45</x:v>
      </x:c>
      <x:c r="K54" s="56" t="n">
        <x:f>IF(CHOOSE($D$3,ISNUMBER(K55),ISNUMBER(K56),ISNUMBER(K57)),CHOOSE($D$3,K55,K56,K57),"n.a.")</x:f>
        <x:v>45</x:v>
      </x:c>
      <x:c r="L54" s="56" t="n">
        <x:f>IF(CHOOSE($D$3,ISNUMBER(L55),ISNUMBER(L56),ISNUMBER(L57)),CHOOSE($D$3,L55,L56,L57),"n.a.")</x:f>
        <x:v>45</x:v>
      </x:c>
      <x:c r="M54" s="56" t="n">
        <x:f>IF(CHOOSE($D$3,ISNUMBER(M55),ISNUMBER(M56),ISNUMBER(M57)),CHOOSE($D$3,M55,M56,M57),"n.a.")</x:f>
        <x:v>45</x:v>
      </x:c>
      <x:c r="N54" s="2"/>
      <x:c r="O54" s="2"/>
    </x:row>
    <x:row r="55" ht="20" customHeight="1">
      <x:c r="A55" s="2"/>
      <x:c r="B55" s="2"/>
      <x:c r="C55" s="2" t="str">
        <x:v>Base</x:v>
      </x:c>
      <x:c r="D55" s="3"/>
      <x:c r="E55" s="3"/>
      <x:c r="F55" s="3"/>
      <x:c r="G55" s="3"/>
      <x:c r="H55" s="3"/>
      <x:c r="I55" s="55" t="n">
        <x:v>45</x:v>
      </x:c>
      <x:c r="J55" s="55" t="n">
        <x:v>45</x:v>
      </x:c>
      <x:c r="K55" s="55" t="n">
        <x:v>45</x:v>
      </x:c>
      <x:c r="L55" s="55" t="n">
        <x:v>45</x:v>
      </x:c>
      <x:c r="M55" s="55" t="n">
        <x:v>45</x:v>
      </x:c>
      <x:c r="N55" s="2"/>
      <x:c r="O55" s="2"/>
    </x:row>
    <x:row r="56" ht="20" customHeight="1">
      <x:c r="A56" s="2"/>
      <x:c r="B56" s="2"/>
      <x:c r="C56" s="2" t="str">
        <x:v>Bull</x:v>
      </x:c>
      <x:c r="D56" s="3"/>
      <x:c r="E56" s="3"/>
      <x:c r="F56" s="3"/>
      <x:c r="G56" s="3"/>
      <x:c r="H56" s="3"/>
      <x:c r="I56" s="55" t="n">
        <x:v>43</x:v>
      </x:c>
      <x:c r="J56" s="55" t="n">
        <x:v>43</x:v>
      </x:c>
      <x:c r="K56" s="55" t="n">
        <x:v>43</x:v>
      </x:c>
      <x:c r="L56" s="55" t="n">
        <x:v>43</x:v>
      </x:c>
      <x:c r="M56" s="55" t="n">
        <x:v>43</x:v>
      </x:c>
      <x:c r="N56" s="2"/>
      <x:c r="O56" s="2"/>
    </x:row>
    <x:row r="57" ht="20" customHeight="1">
      <x:c r="A57" s="2"/>
      <x:c r="B57" s="2"/>
      <x:c r="C57" s="2" t="str">
        <x:v>Bear</x:v>
      </x:c>
      <x:c r="D57" s="3"/>
      <x:c r="E57" s="3"/>
      <x:c r="F57" s="3"/>
      <x:c r="G57" s="3"/>
      <x:c r="H57" s="3"/>
      <x:c r="I57" s="55" t="n">
        <x:v>50</x:v>
      </x:c>
      <x:c r="J57" s="55" t="n">
        <x:v>50</x:v>
      </x:c>
      <x:c r="K57" s="55" t="n">
        <x:v>50</x:v>
      </x:c>
      <x:c r="L57" s="55" t="n">
        <x:v>50</x:v>
      </x:c>
      <x:c r="M57" s="55" t="n">
        <x:v>50</x:v>
      </x:c>
      <x:c r="N57" s="2"/>
      <x:c r="O57" s="2"/>
    </x:row>
    <x:row r="58" ht="34" customHeight="1">
      <x:c r="A58" s="2"/>
      <x:c r="B58" s="2"/>
      <x:c r="C58" s="16" t="str">
        <x:v>Analyst 45 between FY25 model ~42 and FY26 ~47.5. Model denominator is revenue, 365 days. Receivable risk remains in EPC.</x:v>
      </x:c>
      <x:c r="D58" s="38"/>
      <x:c r="E58" s="38"/>
      <x:c r="F58" s="38"/>
      <x:c r="G58" s="38"/>
      <x:c r="H58" s="38"/>
      <x:c r="I58" s="38"/>
      <x:c r="J58" s="38"/>
      <x:c r="K58" s="38"/>
      <x:c r="L58" s="38"/>
      <x:c r="M58" s="38"/>
      <x:c r="N58" s="2"/>
      <x:c r="O58" s="2"/>
    </x:row>
    <x:row r="59" ht="20" customHeight="1">
      <x:c r="A59" s="2"/>
      <x:c r="B59" s="2"/>
      <x:c r="C59" s="47" t="str">
        <x:v>Closing inventory days</x:v>
      </x:c>
      <x:c r="D59" s="63" t="n">
        <x:f>'01_Historical+Segments'!D414</x:f>
        <x:v>84.81920942571877</x:v>
      </x:c>
      <x:c r="E59" s="63" t="n">
        <x:f>'01_Historical+Segments'!E414</x:f>
        <x:v>102.4893748354089</x:v>
      </x:c>
      <x:c r="F59" s="63" t="n">
        <x:f>'01_Historical+Segments'!F414</x:f>
        <x:v>101.00799748439435</x:v>
      </x:c>
      <x:c r="G59" s="63" t="n">
        <x:f>'01_Historical+Segments'!G414</x:f>
        <x:v>79.4041520893037</x:v>
      </x:c>
      <x:c r="H59" s="63" t="n">
        <x:f>'01_Historical+Segments'!H414</x:f>
        <x:v>94.02702079924853</x:v>
      </x:c>
      <x:c r="I59" s="56" t="n">
        <x:f>IF(CHOOSE($D$3,ISNUMBER(I60),ISNUMBER(I61),ISNUMBER(I62)),CHOOSE($D$3,I60,I61,I62),"n.a.")</x:f>
        <x:v>92</x:v>
      </x:c>
      <x:c r="J59" s="56" t="n">
        <x:f>IF(CHOOSE($D$3,ISNUMBER(J60),ISNUMBER(J61),ISNUMBER(J62)),CHOOSE($D$3,J60,J61,J62),"n.a.")</x:f>
        <x:v>92</x:v>
      </x:c>
      <x:c r="K59" s="56" t="n">
        <x:f>IF(CHOOSE($D$3,ISNUMBER(K60),ISNUMBER(K61),ISNUMBER(K62)),CHOOSE($D$3,K60,K61,K62),"n.a.")</x:f>
        <x:v>92</x:v>
      </x:c>
      <x:c r="L59" s="56" t="n">
        <x:f>IF(CHOOSE($D$3,ISNUMBER(L60),ISNUMBER(L61),ISNUMBER(L62)),CHOOSE($D$3,L60,L61,L62),"n.a.")</x:f>
        <x:v>92</x:v>
      </x:c>
      <x:c r="M59" s="56" t="n">
        <x:f>IF(CHOOSE($D$3,ISNUMBER(M60),ISNUMBER(M61),ISNUMBER(M62)),CHOOSE($D$3,M60,M61,M62),"n.a.")</x:f>
        <x:v>92</x:v>
      </x:c>
      <x:c r="N59" s="2"/>
      <x:c r="O59" s="2"/>
    </x:row>
    <x:row r="60" ht="20" customHeight="1">
      <x:c r="A60" s="2"/>
      <x:c r="B60" s="2"/>
      <x:c r="C60" s="2" t="str">
        <x:v>Base</x:v>
      </x:c>
      <x:c r="D60" s="3"/>
      <x:c r="E60" s="3"/>
      <x:c r="F60" s="3"/>
      <x:c r="G60" s="3"/>
      <x:c r="H60" s="3"/>
      <x:c r="I60" s="55" t="n">
        <x:v>92</x:v>
      </x:c>
      <x:c r="J60" s="55" t="n">
        <x:v>92</x:v>
      </x:c>
      <x:c r="K60" s="55" t="n">
        <x:v>92</x:v>
      </x:c>
      <x:c r="L60" s="55" t="n">
        <x:v>92</x:v>
      </x:c>
      <x:c r="M60" s="55" t="n">
        <x:v>92</x:v>
      </x:c>
      <x:c r="N60" s="2"/>
      <x:c r="O60" s="2"/>
    </x:row>
    <x:row r="61" ht="20" customHeight="1">
      <x:c r="A61" s="2"/>
      <x:c r="B61" s="2"/>
      <x:c r="C61" s="2" t="str">
        <x:v>Bull</x:v>
      </x:c>
      <x:c r="D61" s="3"/>
      <x:c r="E61" s="3"/>
      <x:c r="F61" s="3"/>
      <x:c r="G61" s="3"/>
      <x:c r="H61" s="3"/>
      <x:c r="I61" s="55" t="n">
        <x:v>88</x:v>
      </x:c>
      <x:c r="J61" s="55" t="n">
        <x:v>88</x:v>
      </x:c>
      <x:c r="K61" s="55" t="n">
        <x:v>88</x:v>
      </x:c>
      <x:c r="L61" s="55" t="n">
        <x:v>88</x:v>
      </x:c>
      <x:c r="M61" s="55" t="n">
        <x:v>88</x:v>
      </x:c>
      <x:c r="N61" s="2"/>
      <x:c r="O61" s="2"/>
    </x:row>
    <x:row r="62" ht="20" customHeight="1">
      <x:c r="A62" s="2"/>
      <x:c r="B62" s="2"/>
      <x:c r="C62" s="2" t="str">
        <x:v>Bear</x:v>
      </x:c>
      <x:c r="D62" s="3"/>
      <x:c r="E62" s="3"/>
      <x:c r="F62" s="3"/>
      <x:c r="G62" s="3"/>
      <x:c r="H62" s="3"/>
      <x:c r="I62" s="55" t="n">
        <x:v>98</x:v>
      </x:c>
      <x:c r="J62" s="55" t="n">
        <x:v>98</x:v>
      </x:c>
      <x:c r="K62" s="55" t="n">
        <x:v>98</x:v>
      </x:c>
      <x:c r="L62" s="55" t="n">
        <x:v>98</x:v>
      </x:c>
      <x:c r="M62" s="55" t="n">
        <x:v>98</x:v>
      </x:c>
      <x:c r="N62" s="2"/>
      <x:c r="O62" s="2"/>
    </x:row>
    <x:row r="63" ht="34" customHeight="1">
      <x:c r="A63" s="2"/>
      <x:c r="B63" s="2"/>
      <x:c r="C63" s="16" t="str">
        <x:v>Analyst rounded FY24–FY26 model average (~93). Uses broad COGS, not company reported denominator.</x:v>
      </x:c>
      <x:c r="D63" s="38"/>
      <x:c r="E63" s="38"/>
      <x:c r="F63" s="38"/>
      <x:c r="G63" s="38"/>
      <x:c r="H63" s="38"/>
      <x:c r="I63" s="38"/>
      <x:c r="J63" s="38"/>
      <x:c r="K63" s="38"/>
      <x:c r="L63" s="38"/>
      <x:c r="M63" s="38"/>
      <x:c r="N63" s="2"/>
      <x:c r="O63" s="2"/>
    </x:row>
    <x:row r="64" ht="20" customHeight="1">
      <x:c r="A64" s="2"/>
      <x:c r="B64" s="2"/>
      <x:c r="C64" s="47" t="str">
        <x:v>Closing payable days, excl acceptances</x:v>
      </x:c>
      <x:c r="D64" s="63" t="n">
        <x:f>'01_Historical+Segments'!D415</x:f>
        <x:v>22.40646890935206</x:v>
      </x:c>
      <x:c r="E64" s="63" t="n">
        <x:f>'01_Historical+Segments'!E415</x:f>
        <x:v>28.019887172320995</x:v>
      </x:c>
      <x:c r="F64" s="63" t="n">
        <x:f>'01_Historical+Segments'!F415</x:f>
        <x:v>27.521667995326307</x:v>
      </x:c>
      <x:c r="G64" s="63" t="n">
        <x:f>'01_Historical+Segments'!G415</x:f>
        <x:v>31.002579436415843</x:v>
      </x:c>
      <x:c r="H64" s="63" t="n">
        <x:f>'01_Historical+Segments'!H415</x:f>
        <x:v>30.42254518977441</x:v>
      </x:c>
      <x:c r="I64" s="56" t="n">
        <x:f>IF(CHOOSE($D$3,ISNUMBER(I65),ISNUMBER(I66),ISNUMBER(I67)),CHOOSE($D$3,I65,I66,I67),"n.a.")</x:f>
        <x:v>30</x:v>
      </x:c>
      <x:c r="J64" s="56" t="n">
        <x:f>IF(CHOOSE($D$3,ISNUMBER(J65),ISNUMBER(J66),ISNUMBER(J67)),CHOOSE($D$3,J65,J66,J67),"n.a.")</x:f>
        <x:v>30</x:v>
      </x:c>
      <x:c r="K64" s="56" t="n">
        <x:f>IF(CHOOSE($D$3,ISNUMBER(K65),ISNUMBER(K66),ISNUMBER(K67)),CHOOSE($D$3,K65,K66,K67),"n.a.")</x:f>
        <x:v>30</x:v>
      </x:c>
      <x:c r="L64" s="56" t="n">
        <x:f>IF(CHOOSE($D$3,ISNUMBER(L65),ISNUMBER(L66),ISNUMBER(L67)),CHOOSE($D$3,L65,L66,L67),"n.a.")</x:f>
        <x:v>30</x:v>
      </x:c>
      <x:c r="M64" s="56" t="n">
        <x:f>IF(CHOOSE($D$3,ISNUMBER(M65),ISNUMBER(M66),ISNUMBER(M67)),CHOOSE($D$3,M65,M66,M67),"n.a.")</x:f>
        <x:v>30</x:v>
      </x:c>
      <x:c r="N64" s="2"/>
      <x:c r="O64" s="2"/>
    </x:row>
    <x:row r="65" ht="20" customHeight="1">
      <x:c r="A65" s="2"/>
      <x:c r="B65" s="2"/>
      <x:c r="C65" s="2" t="str">
        <x:v>Base</x:v>
      </x:c>
      <x:c r="D65" s="3"/>
      <x:c r="E65" s="3"/>
      <x:c r="F65" s="3"/>
      <x:c r="G65" s="3"/>
      <x:c r="H65" s="3"/>
      <x:c r="I65" s="55" t="n">
        <x:v>30</x:v>
      </x:c>
      <x:c r="J65" s="55" t="n">
        <x:v>30</x:v>
      </x:c>
      <x:c r="K65" s="55" t="n">
        <x:v>30</x:v>
      </x:c>
      <x:c r="L65" s="55" t="n">
        <x:v>30</x:v>
      </x:c>
      <x:c r="M65" s="55" t="n">
        <x:v>30</x:v>
      </x:c>
      <x:c r="N65" s="2"/>
      <x:c r="O65" s="2"/>
    </x:row>
    <x:row r="66" ht="20" customHeight="1">
      <x:c r="A66" s="2"/>
      <x:c r="B66" s="2"/>
      <x:c r="C66" s="2" t="str">
        <x:v>Bull</x:v>
      </x:c>
      <x:c r="D66" s="3"/>
      <x:c r="E66" s="3"/>
      <x:c r="F66" s="3"/>
      <x:c r="G66" s="3"/>
      <x:c r="H66" s="3"/>
      <x:c r="I66" s="55" t="n">
        <x:v>32</x:v>
      </x:c>
      <x:c r="J66" s="55" t="n">
        <x:v>32</x:v>
      </x:c>
      <x:c r="K66" s="55" t="n">
        <x:v>32</x:v>
      </x:c>
      <x:c r="L66" s="55" t="n">
        <x:v>32</x:v>
      </x:c>
      <x:c r="M66" s="55" t="n">
        <x:v>32</x:v>
      </x:c>
      <x:c r="N66" s="2"/>
      <x:c r="O66" s="2"/>
    </x:row>
    <x:row r="67" ht="20" customHeight="1">
      <x:c r="A67" s="2"/>
      <x:c r="B67" s="2"/>
      <x:c r="C67" s="2" t="str">
        <x:v>Bear</x:v>
      </x:c>
      <x:c r="D67" s="3"/>
      <x:c r="E67" s="3"/>
      <x:c r="F67" s="3"/>
      <x:c r="G67" s="3"/>
      <x:c r="H67" s="3"/>
      <x:c r="I67" s="55" t="n">
        <x:v>28</x:v>
      </x:c>
      <x:c r="J67" s="55" t="n">
        <x:v>28</x:v>
      </x:c>
      <x:c r="K67" s="55" t="n">
        <x:v>28</x:v>
      </x:c>
      <x:c r="L67" s="55" t="n">
        <x:v>28</x:v>
      </x:c>
      <x:c r="M67" s="55" t="n">
        <x:v>28</x:v>
      </x:c>
      <x:c r="N67" s="2"/>
      <x:c r="O67" s="2"/>
    </x:row>
    <x:row r="68" ht="34" customHeight="1">
      <x:c r="A68" s="2"/>
      <x:c r="B68" s="2"/>
      <x:c r="C68" s="16" t="str">
        <x:v>Analyst calibrated to FY25–FY26 ordinary payable days (~31). Acceptances are separate financing, preventing double counting.</x:v>
      </x:c>
      <x:c r="D68" s="38"/>
      <x:c r="E68" s="38"/>
      <x:c r="F68" s="38"/>
      <x:c r="G68" s="38"/>
      <x:c r="H68" s="38"/>
      <x:c r="I68" s="38"/>
      <x:c r="J68" s="38"/>
      <x:c r="K68" s="38"/>
      <x:c r="L68" s="38"/>
      <x:c r="M68" s="38"/>
      <x:c r="N68" s="2"/>
      <x:c r="O68" s="2"/>
    </x:row>
    <x:row r="69" ht="20" customHeight="1">
      <x:c r="A69" s="2"/>
      <x:c r="B69" s="2"/>
      <x:c r="C69" s="47" t="str">
        <x:v>Funded closing cycle, model basis</x:v>
      </x:c>
      <x:c r="D69" s="63" t="n">
        <x:f>'01_Historical+Segments'!D417</x:f>
        <x:v>76.64440325481266</x:v>
      </x:c>
      <x:c r="E69" s="63" t="n">
        <x:f>'01_Historical+Segments'!E417</x:f>
        <x:v>64.15629204958307</x:v>
      </x:c>
      <x:c r="F69" s="63" t="n">
        <x:f>'01_Historical+Segments'!F417</x:f>
        <x:v>63.731684164385676</x:v>
      </x:c>
      <x:c r="G69" s="63" t="n">
        <x:f>'01_Historical+Segments'!G417</x:f>
        <x:v>62.362227254799805</x:v>
      </x:c>
      <x:c r="H69" s="63" t="n">
        <x:f>'01_Historical+Segments'!H417</x:f>
        <x:v>38.95758119172133</x:v>
      </x:c>
      <x:c r="I69" s="56" t="n">
        <x:f>IF(CHOOSE($D$3,ISNUMBER(I70),ISNUMBER(I71),ISNUMBER(I72)),CHOOSE($D$3,I70,I71,I72),"n.a.")</x:f>
        <x:v>63.731684164385676</x:v>
      </x:c>
      <x:c r="J69" s="56" t="n">
        <x:f>IF(CHOOSE($D$3,ISNUMBER(J70),ISNUMBER(J71),ISNUMBER(J72)),CHOOSE($D$3,J70,J71,J72),"n.a.")</x:f>
        <x:v>63.731684164385676</x:v>
      </x:c>
      <x:c r="K69" s="56" t="n">
        <x:f>IF(CHOOSE($D$3,ISNUMBER(K70),ISNUMBER(K71),ISNUMBER(K72)),CHOOSE($D$3,K70,K71,K72),"n.a.")</x:f>
        <x:v>63.731684164385676</x:v>
      </x:c>
      <x:c r="L69" s="56" t="n">
        <x:f>IF(CHOOSE($D$3,ISNUMBER(L70),ISNUMBER(L71),ISNUMBER(L72)),CHOOSE($D$3,L70,L71,L72),"n.a.")</x:f>
        <x:v>63.731684164385676</x:v>
      </x:c>
      <x:c r="M69" s="56" t="n">
        <x:f>IF(CHOOSE($D$3,ISNUMBER(M70),ISNUMBER(M71),ISNUMBER(M72)),CHOOSE($D$3,M70,M71,M72),"n.a.")</x:f>
        <x:v>63.731684164385676</x:v>
      </x:c>
      <x:c r="N69" s="2"/>
      <x:c r="O69" s="2"/>
    </x:row>
    <x:row r="70" ht="20" customHeight="1">
      <x:c r="A70" s="2"/>
      <x:c r="B70" s="2"/>
      <x:c r="C70" s="2" t="str">
        <x:v>Base</x:v>
      </x:c>
      <x:c r="D70" s="3"/>
      <x:c r="E70" s="3"/>
      <x:c r="F70" s="3"/>
      <x:c r="G70" s="3"/>
      <x:c r="H70" s="3"/>
      <x:c r="I70" s="55" t="n">
        <x:v>63.731684164385676</x:v>
      </x:c>
      <x:c r="J70" s="60" t="n">
        <x:f>MEDIAN('01_Historical+Segments'!E417,'01_Historical+Segments'!F417,'01_Historical+Segments'!G417)</x:f>
        <x:v>63.731684164385676</x:v>
      </x:c>
      <x:c r="K70" s="60" t="n">
        <x:f>MEDIAN('01_Historical+Segments'!E417,'01_Historical+Segments'!F417,'01_Historical+Segments'!G417)</x:f>
        <x:v>63.731684164385676</x:v>
      </x:c>
      <x:c r="L70" s="60" t="n">
        <x:f>MEDIAN('01_Historical+Segments'!E417,'01_Historical+Segments'!F417,'01_Historical+Segments'!G417)</x:f>
        <x:v>63.731684164385676</x:v>
      </x:c>
      <x:c r="M70" s="60" t="n">
        <x:f>MEDIAN('01_Historical+Segments'!E417,'01_Historical+Segments'!F417,'01_Historical+Segments'!G417)</x:f>
        <x:v>63.731684164385676</x:v>
      </x:c>
      <x:c r="N70" s="2"/>
      <x:c r="O70" s="2"/>
    </x:row>
    <x:row r="71" ht="20" customHeight="1">
      <x:c r="A71" s="2"/>
      <x:c r="B71" s="2"/>
      <x:c r="C71" s="2" t="str">
        <x:v>Bull</x:v>
      </x:c>
      <x:c r="D71" s="3"/>
      <x:c r="E71" s="3"/>
      <x:c r="F71" s="3"/>
      <x:c r="G71" s="3"/>
      <x:c r="H71" s="3"/>
      <x:c r="I71" s="55" t="n">
        <x:v>60</x:v>
      </x:c>
      <x:c r="J71" s="55" t="n">
        <x:v>60</x:v>
      </x:c>
      <x:c r="K71" s="55" t="n">
        <x:v>60</x:v>
      </x:c>
      <x:c r="L71" s="55" t="n">
        <x:v>60</x:v>
      </x:c>
      <x:c r="M71" s="55" t="n">
        <x:v>60</x:v>
      </x:c>
      <x:c r="N71" s="2"/>
      <x:c r="O71" s="2"/>
    </x:row>
    <x:row r="72" ht="20" customHeight="1">
      <x:c r="A72" s="2"/>
      <x:c r="B72" s="2"/>
      <x:c r="C72" s="2" t="str">
        <x:v>Bear</x:v>
      </x:c>
      <x:c r="D72" s="3"/>
      <x:c r="E72" s="3"/>
      <x:c r="F72" s="3"/>
      <x:c r="G72" s="3"/>
      <x:c r="H72" s="3"/>
      <x:c r="I72" s="55" t="n">
        <x:v>70</x:v>
      </x:c>
      <x:c r="J72" s="55" t="n">
        <x:v>70</x:v>
      </x:c>
      <x:c r="K72" s="55" t="n">
        <x:v>70</x:v>
      </x:c>
      <x:c r="L72" s="55" t="n">
        <x:v>70</x:v>
      </x:c>
      <x:c r="M72" s="55" t="n">
        <x:v>70</x:v>
      </x:c>
      <x:c r="N72" s="2"/>
      <x:c r="O72" s="2"/>
    </x:row>
    <x:row r="73" ht="34" customHeight="1">
      <x:c r="A73" s="2"/>
      <x:c r="B73" s="2"/>
      <x:c r="C73" s="16" t="str">
        <x:v>Base = FY23–FY25 median on consistent model basis. Company 45–50 day guidance is directional, not copied across denominators. Bull 60 / Bear 70 stress historical range.</x:v>
      </x:c>
      <x:c r="D73" s="38"/>
      <x:c r="E73" s="38"/>
      <x:c r="F73" s="38"/>
      <x:c r="G73" s="38"/>
      <x:c r="H73" s="38"/>
      <x:c r="I73" s="38"/>
      <x:c r="J73" s="38"/>
      <x:c r="K73" s="38"/>
      <x:c r="L73" s="38"/>
      <x:c r="M73" s="38"/>
      <x:c r="N73" s="2"/>
      <x:c r="O73" s="2"/>
    </x:row>
    <x:row r="74" ht="20" customHeight="1">
      <x:c r="A74" s="2"/>
      <x:c r="B74" s="2"/>
      <x:c r="C74" s="31" t="str">
        <x:v>Broad COGS / revenue</x:v>
      </x:c>
      <x:c r="D74" s="32"/>
      <x:c r="E74" s="32"/>
      <x:c r="F74" s="32"/>
      <x:c r="G74" s="32"/>
      <x:c r="H74" s="32"/>
      <x:c r="I74" s="41" t="n">
        <x:f>IF(CHOOSE($D$3,ISNUMBER(I75),ISNUMBER(I76),ISNUMBER(I77)),CHOOSE($D$3,I75,I76,I77),"n.a.")</x:f>
        <x:v>0.7448101389078223</x:v>
      </x:c>
      <x:c r="J74" s="41" t="n">
        <x:f>IF(CHOOSE($D$3,ISNUMBER(J75),ISNUMBER(J76),ISNUMBER(J77)),CHOOSE($D$3,J75,J76,J77),"n.a.")</x:f>
        <x:v>0.7448101389078223</x:v>
      </x:c>
      <x:c r="K74" s="41" t="n">
        <x:f>IF(CHOOSE($D$3,ISNUMBER(K75),ISNUMBER(K76),ISNUMBER(K77)),CHOOSE($D$3,K75,K76,K77),"n.a.")</x:f>
        <x:v>0.7448101389078223</x:v>
      </x:c>
      <x:c r="L74" s="41" t="n">
        <x:f>IF(CHOOSE($D$3,ISNUMBER(L75),ISNUMBER(L76),ISNUMBER(L77)),CHOOSE($D$3,L75,L76,L77),"n.a.")</x:f>
        <x:v>0.7448101389078223</x:v>
      </x:c>
      <x:c r="M74" s="41" t="n">
        <x:f>IF(CHOOSE($D$3,ISNUMBER(M75),ISNUMBER(M76),ISNUMBER(M77)),CHOOSE($D$3,M75,M76,M77),"n.a.")</x:f>
        <x:v>0.7448101389078223</x:v>
      </x:c>
      <x:c r="N74" s="2"/>
      <x:c r="O74" s="2"/>
    </x:row>
    <x:row r="75" ht="20" customHeight="1">
      <x:c r="A75" s="2"/>
      <x:c r="B75" s="2"/>
      <x:c r="C75" s="24" t="str">
        <x:v>Base</x:v>
      </x:c>
      <x:c r="D75" s="25"/>
      <x:c r="E75" s="25"/>
      <x:c r="F75" s="25"/>
      <x:c r="G75" s="25"/>
      <x:c r="H75" s="25"/>
      <x:c r="I75" s="59" t="n">
        <x:f>AVERAGE('01_Historical+Segments'!F111/'01_Historical+Segments'!F143,'01_Historical+Segments'!G111/'01_Historical+Segments'!G143,'01_Historical+Segments'!H111/'01_Historical+Segments'!H143)</x:f>
        <x:v>0.7448101389078223</x:v>
      </x:c>
      <x:c r="J75" s="59" t="n">
        <x:f>AVERAGE('01_Historical+Segments'!F111/'01_Historical+Segments'!F143,'01_Historical+Segments'!G111/'01_Historical+Segments'!G143,'01_Historical+Segments'!H111/'01_Historical+Segments'!H143)</x:f>
        <x:v>0.7448101389078223</x:v>
      </x:c>
      <x:c r="K75" s="59" t="n">
        <x:f>AVERAGE('01_Historical+Segments'!F111/'01_Historical+Segments'!F143,'01_Historical+Segments'!G111/'01_Historical+Segments'!G143,'01_Historical+Segments'!H111/'01_Historical+Segments'!H143)</x:f>
        <x:v>0.7448101389078223</x:v>
      </x:c>
      <x:c r="L75" s="59" t="n">
        <x:f>AVERAGE('01_Historical+Segments'!F111/'01_Historical+Segments'!F143,'01_Historical+Segments'!G111/'01_Historical+Segments'!G143,'01_Historical+Segments'!H111/'01_Historical+Segments'!H143)</x:f>
        <x:v>0.7448101389078223</x:v>
      </x:c>
      <x:c r="M75" s="59" t="n">
        <x:f>AVERAGE('01_Historical+Segments'!F111/'01_Historical+Segments'!F143,'01_Historical+Segments'!G111/'01_Historical+Segments'!G143,'01_Historical+Segments'!H111/'01_Historical+Segments'!H143)</x:f>
        <x:v>0.7448101389078223</x:v>
      </x:c>
      <x:c r="N75" s="2"/>
      <x:c r="O75" s="2"/>
    </x:row>
    <x:row r="76" ht="20" customHeight="1">
      <x:c r="A76" s="2"/>
      <x:c r="B76" s="2"/>
      <x:c r="C76" s="24" t="str">
        <x:v>Bull</x:v>
      </x:c>
      <x:c r="D76" s="25"/>
      <x:c r="E76" s="25"/>
      <x:c r="F76" s="25"/>
      <x:c r="G76" s="25"/>
      <x:c r="H76" s="25"/>
      <x:c r="I76" s="59" t="n">
        <x:f>AVERAGE('01_Historical+Segments'!F111/'01_Historical+Segments'!F143,'01_Historical+Segments'!G111/'01_Historical+Segments'!G143,'01_Historical+Segments'!H111/'01_Historical+Segments'!H143)</x:f>
        <x:v>0.7448101389078223</x:v>
      </x:c>
      <x:c r="J76" s="59" t="n">
        <x:f>AVERAGE('01_Historical+Segments'!F111/'01_Historical+Segments'!F143,'01_Historical+Segments'!G111/'01_Historical+Segments'!G143,'01_Historical+Segments'!H111/'01_Historical+Segments'!H143)</x:f>
        <x:v>0.7448101389078223</x:v>
      </x:c>
      <x:c r="K76" s="59" t="n">
        <x:f>AVERAGE('01_Historical+Segments'!F111/'01_Historical+Segments'!F143,'01_Historical+Segments'!G111/'01_Historical+Segments'!G143,'01_Historical+Segments'!H111/'01_Historical+Segments'!H143)</x:f>
        <x:v>0.7448101389078223</x:v>
      </x:c>
      <x:c r="L76" s="59" t="n">
        <x:f>AVERAGE('01_Historical+Segments'!F111/'01_Historical+Segments'!F143,'01_Historical+Segments'!G111/'01_Historical+Segments'!G143,'01_Historical+Segments'!H111/'01_Historical+Segments'!H143)</x:f>
        <x:v>0.7448101389078223</x:v>
      </x:c>
      <x:c r="M76" s="59" t="n">
        <x:f>AVERAGE('01_Historical+Segments'!F111/'01_Historical+Segments'!F143,'01_Historical+Segments'!G111/'01_Historical+Segments'!G143,'01_Historical+Segments'!H111/'01_Historical+Segments'!H143)</x:f>
        <x:v>0.7448101389078223</x:v>
      </x:c>
      <x:c r="N76" s="2"/>
      <x:c r="O76" s="2"/>
    </x:row>
    <x:row r="77" ht="20" customHeight="1">
      <x:c r="A77" s="2"/>
      <x:c r="B77" s="2"/>
      <x:c r="C77" s="24" t="str">
        <x:v>Bear</x:v>
      </x:c>
      <x:c r="D77" s="25"/>
      <x:c r="E77" s="25"/>
      <x:c r="F77" s="25"/>
      <x:c r="G77" s="25"/>
      <x:c r="H77" s="25"/>
      <x:c r="I77" s="59" t="n">
        <x:f>AVERAGE('01_Historical+Segments'!F111/'01_Historical+Segments'!F143,'01_Historical+Segments'!G111/'01_Historical+Segments'!G143,'01_Historical+Segments'!H111/'01_Historical+Segments'!H143)</x:f>
        <x:v>0.7448101389078223</x:v>
      </x:c>
      <x:c r="J77" s="59" t="n">
        <x:f>AVERAGE('01_Historical+Segments'!F111/'01_Historical+Segments'!F143,'01_Historical+Segments'!G111/'01_Historical+Segments'!G143,'01_Historical+Segments'!H111/'01_Historical+Segments'!H143)</x:f>
        <x:v>0.7448101389078223</x:v>
      </x:c>
      <x:c r="K77" s="59" t="n">
        <x:f>AVERAGE('01_Historical+Segments'!F111/'01_Historical+Segments'!F143,'01_Historical+Segments'!G111/'01_Historical+Segments'!G143,'01_Historical+Segments'!H111/'01_Historical+Segments'!H143)</x:f>
        <x:v>0.7448101389078223</x:v>
      </x:c>
      <x:c r="L77" s="59" t="n">
        <x:f>AVERAGE('01_Historical+Segments'!F111/'01_Historical+Segments'!F143,'01_Historical+Segments'!G111/'01_Historical+Segments'!G143,'01_Historical+Segments'!H111/'01_Historical+Segments'!H143)</x:f>
        <x:v>0.7448101389078223</x:v>
      </x:c>
      <x:c r="M77" s="59" t="n">
        <x:f>AVERAGE('01_Historical+Segments'!F111/'01_Historical+Segments'!F143,'01_Historical+Segments'!G111/'01_Historical+Segments'!G143,'01_Historical+Segments'!H111/'01_Historical+Segments'!H143)</x:f>
        <x:v>0.7448101389078223</x:v>
      </x:c>
      <x:c r="N77" s="2"/>
      <x:c r="O77" s="2"/>
    </x:row>
    <x:row r="78" ht="34" customHeight="1">
      <x:c r="A78" s="2"/>
      <x:c r="B78" s="2"/>
      <x:c r="C78" s="16" t="str">
        <x:v>Historical calibration: FY24–FY26 average. Drives inventory/payables; segment EBITDA separately determines operating costs.</x:v>
      </x:c>
      <x:c r="D78" s="38"/>
      <x:c r="E78" s="38"/>
      <x:c r="F78" s="38"/>
      <x:c r="G78" s="38"/>
      <x:c r="H78" s="38"/>
      <x:c r="I78" s="38"/>
      <x:c r="J78" s="38"/>
      <x:c r="K78" s="38"/>
      <x:c r="L78" s="38"/>
      <x:c r="M78" s="38"/>
      <x:c r="N78" s="2"/>
      <x:c r="O78" s="2"/>
    </x:row>
    <x:row r="79" ht="20" customHeight="1">
      <x:c r="A79" s="2"/>
      <x:c r="B79" s="2"/>
      <x:c r="C79" s="31" t="str">
        <x:v>Non-finance other income / segment income</x:v>
      </x:c>
      <x:c r="D79" s="32"/>
      <x:c r="E79" s="32"/>
      <x:c r="F79" s="32"/>
      <x:c r="G79" s="32"/>
      <x:c r="H79" s="32"/>
      <x:c r="I79" s="41" t="n">
        <x:f>IF(CHOOSE($D$3,ISNUMBER(I80),ISNUMBER(I81),ISNUMBER(I82)),CHOOSE($D$3,I80,I81,I82),"n.a.")</x:f>
        <x:v>0.0010691099909198455</x:v>
      </x:c>
      <x:c r="J79" s="41" t="n">
        <x:f>IF(CHOOSE($D$3,ISNUMBER(J80),ISNUMBER(J81),ISNUMBER(J82)),CHOOSE($D$3,J80,J81,J82),"n.a.")</x:f>
        <x:v>0.0010691099909198455</x:v>
      </x:c>
      <x:c r="K79" s="41" t="n">
        <x:f>IF(CHOOSE($D$3,ISNUMBER(K80),ISNUMBER(K81),ISNUMBER(K82)),CHOOSE($D$3,K80,K81,K82),"n.a.")</x:f>
        <x:v>0.0010691099909198455</x:v>
      </x:c>
      <x:c r="L79" s="41" t="n">
        <x:f>IF(CHOOSE($D$3,ISNUMBER(L80),ISNUMBER(L81),ISNUMBER(L82)),CHOOSE($D$3,L80,L81,L82),"n.a.")</x:f>
        <x:v>0.0010691099909198455</x:v>
      </x:c>
      <x:c r="M79" s="41" t="n">
        <x:f>IF(CHOOSE($D$3,ISNUMBER(M80),ISNUMBER(M81),ISNUMBER(M82)),CHOOSE($D$3,M80,M81,M82),"n.a.")</x:f>
        <x:v>0.0010691099909198455</x:v>
      </x:c>
      <x:c r="N79" s="2"/>
      <x:c r="O79" s="2"/>
    </x:row>
    <x:row r="80" ht="20" customHeight="1">
      <x:c r="A80" s="2"/>
      <x:c r="B80" s="2"/>
      <x:c r="C80" s="24" t="str">
        <x:v>Base</x:v>
      </x:c>
      <x:c r="D80" s="25"/>
      <x:c r="E80" s="25"/>
      <x:c r="F80" s="25"/>
      <x:c r="G80" s="25"/>
      <x:c r="H80" s="25"/>
      <x:c r="I80" s="59" t="n">
        <x:f>'01_Historical+Segments'!H309/'01_Historical+Segments'!H308</x:f>
        <x:v>0.0010691099909198455</x:v>
      </x:c>
      <x:c r="J80" s="59" t="n">
        <x:f>'01_Historical+Segments'!H309/'01_Historical+Segments'!H308</x:f>
        <x:v>0.0010691099909198455</x:v>
      </x:c>
      <x:c r="K80" s="59" t="n">
        <x:f>'01_Historical+Segments'!H309/'01_Historical+Segments'!H308</x:f>
        <x:v>0.0010691099909198455</x:v>
      </x:c>
      <x:c r="L80" s="59" t="n">
        <x:f>'01_Historical+Segments'!H309/'01_Historical+Segments'!H308</x:f>
        <x:v>0.0010691099909198455</x:v>
      </x:c>
      <x:c r="M80" s="59" t="n">
        <x:f>'01_Historical+Segments'!H309/'01_Historical+Segments'!H308</x:f>
        <x:v>0.0010691099909198455</x:v>
      </x:c>
      <x:c r="N80" s="2"/>
      <x:c r="O80" s="2"/>
    </x:row>
    <x:row r="81" ht="20" customHeight="1">
      <x:c r="A81" s="2"/>
      <x:c r="B81" s="2"/>
      <x:c r="C81" s="24" t="str">
        <x:v>Bull</x:v>
      </x:c>
      <x:c r="D81" s="25"/>
      <x:c r="E81" s="25"/>
      <x:c r="F81" s="25"/>
      <x:c r="G81" s="25"/>
      <x:c r="H81" s="25"/>
      <x:c r="I81" s="59" t="n">
        <x:f>'01_Historical+Segments'!H309/'01_Historical+Segments'!H308</x:f>
        <x:v>0.0010691099909198455</x:v>
      </x:c>
      <x:c r="J81" s="59" t="n">
        <x:f>'01_Historical+Segments'!H309/'01_Historical+Segments'!H308</x:f>
        <x:v>0.0010691099909198455</x:v>
      </x:c>
      <x:c r="K81" s="59" t="n">
        <x:f>'01_Historical+Segments'!H309/'01_Historical+Segments'!H308</x:f>
        <x:v>0.0010691099909198455</x:v>
      </x:c>
      <x:c r="L81" s="59" t="n">
        <x:f>'01_Historical+Segments'!H309/'01_Historical+Segments'!H308</x:f>
        <x:v>0.0010691099909198455</x:v>
      </x:c>
      <x:c r="M81" s="59" t="n">
        <x:f>'01_Historical+Segments'!H309/'01_Historical+Segments'!H308</x:f>
        <x:v>0.0010691099909198455</x:v>
      </x:c>
      <x:c r="N81" s="2"/>
      <x:c r="O81" s="2"/>
    </x:row>
    <x:row r="82" ht="20" customHeight="1">
      <x:c r="A82" s="2"/>
      <x:c r="B82" s="2"/>
      <x:c r="C82" s="24" t="str">
        <x:v>Bear</x:v>
      </x:c>
      <x:c r="D82" s="25"/>
      <x:c r="E82" s="25"/>
      <x:c r="F82" s="25"/>
      <x:c r="G82" s="25"/>
      <x:c r="H82" s="25"/>
      <x:c r="I82" s="59" t="n">
        <x:f>'01_Historical+Segments'!H309/'01_Historical+Segments'!H308</x:f>
        <x:v>0.0010691099909198455</x:v>
      </x:c>
      <x:c r="J82" s="59" t="n">
        <x:f>'01_Historical+Segments'!H309/'01_Historical+Segments'!H308</x:f>
        <x:v>0.0010691099909198455</x:v>
      </x:c>
      <x:c r="K82" s="59" t="n">
        <x:f>'01_Historical+Segments'!H309/'01_Historical+Segments'!H308</x:f>
        <x:v>0.0010691099909198455</x:v>
      </x:c>
      <x:c r="L82" s="59" t="n">
        <x:f>'01_Historical+Segments'!H309/'01_Historical+Segments'!H308</x:f>
        <x:v>0.0010691099909198455</x:v>
      </x:c>
      <x:c r="M82" s="59" t="n">
        <x:f>'01_Historical+Segments'!H309/'01_Historical+Segments'!H308</x:f>
        <x:v>0.0010691099909198455</x:v>
      </x:c>
      <x:c r="N82" s="2"/>
      <x:c r="O82" s="2"/>
    </x:row>
    <x:row r="83" ht="34" customHeight="1">
      <x:c r="A83" s="2"/>
      <x:c r="B83" s="2"/>
      <x:c r="C83" s="16" t="str">
        <x:v>FY26 audited segment-to-revenue bridge carried forward. Removes allocated non-finance income from both segment income and operating EBIT.</x:v>
      </x:c>
      <x:c r="D83" s="38"/>
      <x:c r="E83" s="38"/>
      <x:c r="F83" s="38"/>
      <x:c r="G83" s="38"/>
      <x:c r="H83" s="38"/>
      <x:c r="I83" s="38"/>
      <x:c r="J83" s="38"/>
      <x:c r="K83" s="38"/>
      <x:c r="L83" s="38"/>
      <x:c r="M83" s="38"/>
      <x:c r="N83" s="2"/>
      <x:c r="O83" s="2"/>
    </x:row>
    <x:row r="84" ht="20" customHeight="1">
      <x:c r="A84" s="2"/>
      <x:c r="B84" s="2"/>
      <x:c r="C84" s="31" t="str">
        <x:v>W&amp;C D&amp;A / segment income</x:v>
      </x:c>
      <x:c r="D84" s="32"/>
      <x:c r="E84" s="32"/>
      <x:c r="F84" s="32"/>
      <x:c r="G84" s="32"/>
      <x:c r="H84" s="32"/>
      <x:c r="I84" s="41" t="n">
        <x:f>IF(CHOOSE($D$3,ISNUMBER(I85),ISNUMBER(I86),ISNUMBER(I87)),CHOOSE($D$3,I85,I86,I87),"n.a.")</x:f>
        <x:v>0.013432050455300217</x:v>
      </x:c>
      <x:c r="J84" s="41" t="n">
        <x:f>IF(CHOOSE($D$3,ISNUMBER(J85),ISNUMBER(J86),ISNUMBER(J87)),CHOOSE($D$3,J85,J86,J87),"n.a.")</x:f>
        <x:v>0.013432050455300217</x:v>
      </x:c>
      <x:c r="K84" s="41" t="n">
        <x:f>IF(CHOOSE($D$3,ISNUMBER(K85),ISNUMBER(K86),ISNUMBER(K87)),CHOOSE($D$3,K85,K86,K87),"n.a.")</x:f>
        <x:v>0.013432050455300217</x:v>
      </x:c>
      <x:c r="L84" s="41" t="n">
        <x:f>IF(CHOOSE($D$3,ISNUMBER(L85),ISNUMBER(L86),ISNUMBER(L87)),CHOOSE($D$3,L85,L86,L87),"n.a.")</x:f>
        <x:v>0.013432050455300217</x:v>
      </x:c>
      <x:c r="M84" s="41" t="n">
        <x:f>IF(CHOOSE($D$3,ISNUMBER(M85),ISNUMBER(M86),ISNUMBER(M87)),CHOOSE($D$3,M85,M86,M87),"n.a.")</x:f>
        <x:v>0.013432050455300217</x:v>
      </x:c>
      <x:c r="N84" s="2"/>
      <x:c r="O84" s="2"/>
    </x:row>
    <x:row r="85" ht="20" customHeight="1">
      <x:c r="A85" s="2"/>
      <x:c r="B85" s="2"/>
      <x:c r="C85" s="24" t="str">
        <x:v>Base</x:v>
      </x:c>
      <x:c r="D85" s="25"/>
      <x:c r="E85" s="25"/>
      <x:c r="F85" s="25"/>
      <x:c r="G85" s="25"/>
      <x:c r="H85" s="25"/>
      <x:c r="I85" s="59" t="n">
        <x:f>'01_Historical+Segments'!H350/'01_Historical+Segments'!H341</x:f>
        <x:v>0.013432050455300217</x:v>
      </x:c>
      <x:c r="J85" s="59" t="n">
        <x:f>'01_Historical+Segments'!H350/'01_Historical+Segments'!H341</x:f>
        <x:v>0.013432050455300217</x:v>
      </x:c>
      <x:c r="K85" s="59" t="n">
        <x:f>'01_Historical+Segments'!H350/'01_Historical+Segments'!H341</x:f>
        <x:v>0.013432050455300217</x:v>
      </x:c>
      <x:c r="L85" s="59" t="n">
        <x:f>'01_Historical+Segments'!H350/'01_Historical+Segments'!H341</x:f>
        <x:v>0.013432050455300217</x:v>
      </x:c>
      <x:c r="M85" s="59" t="n">
        <x:f>'01_Historical+Segments'!H350/'01_Historical+Segments'!H341</x:f>
        <x:v>0.013432050455300217</x:v>
      </x:c>
      <x:c r="N85" s="2"/>
      <x:c r="O85" s="2"/>
    </x:row>
    <x:row r="86" ht="20" customHeight="1">
      <x:c r="A86" s="2"/>
      <x:c r="B86" s="2"/>
      <x:c r="C86" s="24" t="str">
        <x:v>Bull</x:v>
      </x:c>
      <x:c r="D86" s="25"/>
      <x:c r="E86" s="25"/>
      <x:c r="F86" s="25"/>
      <x:c r="G86" s="25"/>
      <x:c r="H86" s="25"/>
      <x:c r="I86" s="59" t="n">
        <x:f>'01_Historical+Segments'!H350/'01_Historical+Segments'!H341</x:f>
        <x:v>0.013432050455300217</x:v>
      </x:c>
      <x:c r="J86" s="59" t="n">
        <x:f>'01_Historical+Segments'!H350/'01_Historical+Segments'!H341</x:f>
        <x:v>0.013432050455300217</x:v>
      </x:c>
      <x:c r="K86" s="59" t="n">
        <x:f>'01_Historical+Segments'!H350/'01_Historical+Segments'!H341</x:f>
        <x:v>0.013432050455300217</x:v>
      </x:c>
      <x:c r="L86" s="59" t="n">
        <x:f>'01_Historical+Segments'!H350/'01_Historical+Segments'!H341</x:f>
        <x:v>0.013432050455300217</x:v>
      </x:c>
      <x:c r="M86" s="59" t="n">
        <x:f>'01_Historical+Segments'!H350/'01_Historical+Segments'!H341</x:f>
        <x:v>0.013432050455300217</x:v>
      </x:c>
      <x:c r="N86" s="2"/>
      <x:c r="O86" s="2"/>
    </x:row>
    <x:row r="87" ht="20" customHeight="1">
      <x:c r="A87" s="2"/>
      <x:c r="B87" s="2"/>
      <x:c r="C87" s="24" t="str">
        <x:v>Bear</x:v>
      </x:c>
      <x:c r="D87" s="25"/>
      <x:c r="E87" s="25"/>
      <x:c r="F87" s="25"/>
      <x:c r="G87" s="25"/>
      <x:c r="H87" s="25"/>
      <x:c r="I87" s="59" t="n">
        <x:f>'01_Historical+Segments'!H350/'01_Historical+Segments'!H341</x:f>
        <x:v>0.013432050455300217</x:v>
      </x:c>
      <x:c r="J87" s="59" t="n">
        <x:f>'01_Historical+Segments'!H350/'01_Historical+Segments'!H341</x:f>
        <x:v>0.013432050455300217</x:v>
      </x:c>
      <x:c r="K87" s="59" t="n">
        <x:f>'01_Historical+Segments'!H350/'01_Historical+Segments'!H341</x:f>
        <x:v>0.013432050455300217</x:v>
      </x:c>
      <x:c r="L87" s="59" t="n">
        <x:f>'01_Historical+Segments'!H350/'01_Historical+Segments'!H341</x:f>
        <x:v>0.013432050455300217</x:v>
      </x:c>
      <x:c r="M87" s="59" t="n">
        <x:f>'01_Historical+Segments'!H350/'01_Historical+Segments'!H341</x:f>
        <x:v>0.013432050455300217</x:v>
      </x:c>
      <x:c r="N87" s="2"/>
      <x:c r="O87" s="2"/>
    </x:row>
    <x:row r="88" ht="32" customHeight="1">
      <x:c r="A88" s="2"/>
      <x:c r="B88" s="2"/>
      <x:c r="C88" s="16" t="str">
        <x:v>Reference only: FY26 segment D&amp;A intensity retained for comparison. Forecast D&amp;A comes from the fixed-asset schedule, allocated using FY26 segment D&amp;A shares.</x:v>
      </x:c>
      <x:c r="D88" s="38"/>
      <x:c r="E88" s="38"/>
      <x:c r="F88" s="38"/>
      <x:c r="G88" s="38"/>
      <x:c r="H88" s="38"/>
      <x:c r="I88" s="38"/>
      <x:c r="J88" s="38"/>
      <x:c r="K88" s="38"/>
      <x:c r="L88" s="38"/>
      <x:c r="M88" s="38"/>
      <x:c r="N88" s="2"/>
      <x:c r="O88" s="2"/>
    </x:row>
    <x:row r="89" ht="20" customHeight="1">
      <x:c r="A89" s="2"/>
      <x:c r="B89" s="2"/>
      <x:c r="C89" s="31" t="str">
        <x:v>FMEG D&amp;A / segment income</x:v>
      </x:c>
      <x:c r="D89" s="32"/>
      <x:c r="E89" s="32"/>
      <x:c r="F89" s="32"/>
      <x:c r="G89" s="32"/>
      <x:c r="H89" s="32"/>
      <x:c r="I89" s="41" t="n">
        <x:f>IF(CHOOSE($D$3,ISNUMBER(I90),ISNUMBER(I91),ISNUMBER(I92)),CHOOSE($D$3,I90,I91,I92),"n.a.")</x:f>
        <x:v>0.020343319183812332</x:v>
      </x:c>
      <x:c r="J89" s="41" t="n">
        <x:f>IF(CHOOSE($D$3,ISNUMBER(J90),ISNUMBER(J91),ISNUMBER(J92)),CHOOSE($D$3,J90,J91,J92),"n.a.")</x:f>
        <x:v>0.020343319183812332</x:v>
      </x:c>
      <x:c r="K89" s="41" t="n">
        <x:f>IF(CHOOSE($D$3,ISNUMBER(K90),ISNUMBER(K91),ISNUMBER(K92)),CHOOSE($D$3,K90,K91,K92),"n.a.")</x:f>
        <x:v>0.020343319183812332</x:v>
      </x:c>
      <x:c r="L89" s="41" t="n">
        <x:f>IF(CHOOSE($D$3,ISNUMBER(L90),ISNUMBER(L91),ISNUMBER(L92)),CHOOSE($D$3,L90,L91,L92),"n.a.")</x:f>
        <x:v>0.020343319183812332</x:v>
      </x:c>
      <x:c r="M89" s="41" t="n">
        <x:f>IF(CHOOSE($D$3,ISNUMBER(M90),ISNUMBER(M91),ISNUMBER(M92)),CHOOSE($D$3,M90,M91,M92),"n.a.")</x:f>
        <x:v>0.020343319183812332</x:v>
      </x:c>
      <x:c r="N89" s="2"/>
      <x:c r="O89" s="2"/>
    </x:row>
    <x:row r="90" ht="20" customHeight="1">
      <x:c r="A90" s="2"/>
      <x:c r="B90" s="2"/>
      <x:c r="C90" s="24" t="str">
        <x:v>Base</x:v>
      </x:c>
      <x:c r="D90" s="25"/>
      <x:c r="E90" s="25"/>
      <x:c r="F90" s="25"/>
      <x:c r="G90" s="25"/>
      <x:c r="H90" s="25"/>
      <x:c r="I90" s="59" t="n">
        <x:f>'01_Historical+Segments'!H351/'01_Historical+Segments'!H342</x:f>
        <x:v>0.020343319183812332</x:v>
      </x:c>
      <x:c r="J90" s="59" t="n">
        <x:f>'01_Historical+Segments'!H351/'01_Historical+Segments'!H342</x:f>
        <x:v>0.020343319183812332</x:v>
      </x:c>
      <x:c r="K90" s="59" t="n">
        <x:f>'01_Historical+Segments'!H351/'01_Historical+Segments'!H342</x:f>
        <x:v>0.020343319183812332</x:v>
      </x:c>
      <x:c r="L90" s="59" t="n">
        <x:f>'01_Historical+Segments'!H351/'01_Historical+Segments'!H342</x:f>
        <x:v>0.020343319183812332</x:v>
      </x:c>
      <x:c r="M90" s="59" t="n">
        <x:f>'01_Historical+Segments'!H351/'01_Historical+Segments'!H342</x:f>
        <x:v>0.020343319183812332</x:v>
      </x:c>
      <x:c r="N90" s="2"/>
      <x:c r="O90" s="2"/>
    </x:row>
    <x:row r="91" ht="20" customHeight="1">
      <x:c r="A91" s="2"/>
      <x:c r="B91" s="2"/>
      <x:c r="C91" s="24" t="str">
        <x:v>Bull</x:v>
      </x:c>
      <x:c r="D91" s="25"/>
      <x:c r="E91" s="25"/>
      <x:c r="F91" s="25"/>
      <x:c r="G91" s="25"/>
      <x:c r="H91" s="25"/>
      <x:c r="I91" s="59" t="n">
        <x:f>'01_Historical+Segments'!H351/'01_Historical+Segments'!H342</x:f>
        <x:v>0.020343319183812332</x:v>
      </x:c>
      <x:c r="J91" s="59" t="n">
        <x:f>'01_Historical+Segments'!H351/'01_Historical+Segments'!H342</x:f>
        <x:v>0.020343319183812332</x:v>
      </x:c>
      <x:c r="K91" s="59" t="n">
        <x:f>'01_Historical+Segments'!H351/'01_Historical+Segments'!H342</x:f>
        <x:v>0.020343319183812332</x:v>
      </x:c>
      <x:c r="L91" s="59" t="n">
        <x:f>'01_Historical+Segments'!H351/'01_Historical+Segments'!H342</x:f>
        <x:v>0.020343319183812332</x:v>
      </x:c>
      <x:c r="M91" s="59" t="n">
        <x:f>'01_Historical+Segments'!H351/'01_Historical+Segments'!H342</x:f>
        <x:v>0.020343319183812332</x:v>
      </x:c>
      <x:c r="N91" s="2"/>
      <x:c r="O91" s="2"/>
    </x:row>
    <x:row r="92" ht="20" customHeight="1">
      <x:c r="A92" s="2"/>
      <x:c r="B92" s="2"/>
      <x:c r="C92" s="24" t="str">
        <x:v>Bear</x:v>
      </x:c>
      <x:c r="D92" s="25"/>
      <x:c r="E92" s="25"/>
      <x:c r="F92" s="25"/>
      <x:c r="G92" s="25"/>
      <x:c r="H92" s="25"/>
      <x:c r="I92" s="59" t="n">
        <x:f>'01_Historical+Segments'!H351/'01_Historical+Segments'!H342</x:f>
        <x:v>0.020343319183812332</x:v>
      </x:c>
      <x:c r="J92" s="59" t="n">
        <x:f>'01_Historical+Segments'!H351/'01_Historical+Segments'!H342</x:f>
        <x:v>0.020343319183812332</x:v>
      </x:c>
      <x:c r="K92" s="59" t="n">
        <x:f>'01_Historical+Segments'!H351/'01_Historical+Segments'!H342</x:f>
        <x:v>0.020343319183812332</x:v>
      </x:c>
      <x:c r="L92" s="59" t="n">
        <x:f>'01_Historical+Segments'!H351/'01_Historical+Segments'!H342</x:f>
        <x:v>0.020343319183812332</x:v>
      </x:c>
      <x:c r="M92" s="59" t="n">
        <x:f>'01_Historical+Segments'!H351/'01_Historical+Segments'!H342</x:f>
        <x:v>0.020343319183812332</x:v>
      </x:c>
      <x:c r="N92" s="2"/>
      <x:c r="O92" s="2"/>
    </x:row>
    <x:row r="93" ht="32" customHeight="1">
      <x:c r="A93" s="2"/>
      <x:c r="B93" s="2"/>
      <x:c r="C93" s="16" t="str">
        <x:v>Reference only: FY26 segment D&amp;A intensity retained for comparison. Forecast D&amp;A comes from the fixed-asset schedule, allocated using FY26 segment D&amp;A shares.</x:v>
      </x:c>
      <x:c r="D93" s="38"/>
      <x:c r="E93" s="38"/>
      <x:c r="F93" s="38"/>
      <x:c r="G93" s="38"/>
      <x:c r="H93" s="38"/>
      <x:c r="I93" s="38"/>
      <x:c r="J93" s="38"/>
      <x:c r="K93" s="38"/>
      <x:c r="L93" s="38"/>
      <x:c r="M93" s="38"/>
      <x:c r="N93" s="2"/>
      <x:c r="O93" s="2"/>
    </x:row>
    <x:row r="94" ht="20" customHeight="1">
      <x:c r="A94" s="2"/>
      <x:c r="B94" s="2"/>
      <x:c r="C94" s="31" t="str">
        <x:v>EPC D&amp;A / segment income</x:v>
      </x:c>
      <x:c r="D94" s="32"/>
      <x:c r="E94" s="32"/>
      <x:c r="F94" s="32"/>
      <x:c r="G94" s="32"/>
      <x:c r="H94" s="32"/>
      <x:c r="I94" s="41" t="n">
        <x:f>IF(CHOOSE($D$3,ISNUMBER(I95),ISNUMBER(I96),ISNUMBER(I97)),CHOOSE($D$3,I95,I96,I97),"n.a.")</x:f>
        <x:v>0.0033411421329544145</x:v>
      </x:c>
      <x:c r="J94" s="41" t="n">
        <x:f>IF(CHOOSE($D$3,ISNUMBER(J95),ISNUMBER(J96),ISNUMBER(J97)),CHOOSE($D$3,J95,J96,J97),"n.a.")</x:f>
        <x:v>0.0033411421329544145</x:v>
      </x:c>
      <x:c r="K94" s="41" t="n">
        <x:f>IF(CHOOSE($D$3,ISNUMBER(K95),ISNUMBER(K96),ISNUMBER(K97)),CHOOSE($D$3,K95,K96,K97),"n.a.")</x:f>
        <x:v>0.0033411421329544145</x:v>
      </x:c>
      <x:c r="L94" s="41" t="n">
        <x:f>IF(CHOOSE($D$3,ISNUMBER(L95),ISNUMBER(L96),ISNUMBER(L97)),CHOOSE($D$3,L95,L96,L97),"n.a.")</x:f>
        <x:v>0.0033411421329544145</x:v>
      </x:c>
      <x:c r="M94" s="41" t="n">
        <x:f>IF(CHOOSE($D$3,ISNUMBER(M95),ISNUMBER(M96),ISNUMBER(M97)),CHOOSE($D$3,M95,M96,M97),"n.a.")</x:f>
        <x:v>0.0033411421329544145</x:v>
      </x:c>
      <x:c r="N94" s="2"/>
      <x:c r="O94" s="2"/>
    </x:row>
    <x:row r="95" ht="20" customHeight="1">
      <x:c r="A95" s="2"/>
      <x:c r="B95" s="2"/>
      <x:c r="C95" s="24" t="str">
        <x:v>Base</x:v>
      </x:c>
      <x:c r="D95" s="25"/>
      <x:c r="E95" s="25"/>
      <x:c r="F95" s="25"/>
      <x:c r="G95" s="25"/>
      <x:c r="H95" s="25"/>
      <x:c r="I95" s="59" t="n">
        <x:f>'01_Historical+Segments'!H352/'01_Historical+Segments'!H343</x:f>
        <x:v>0.0033411421329544145</x:v>
      </x:c>
      <x:c r="J95" s="59" t="n">
        <x:f>'01_Historical+Segments'!H352/'01_Historical+Segments'!H343</x:f>
        <x:v>0.0033411421329544145</x:v>
      </x:c>
      <x:c r="K95" s="59" t="n">
        <x:f>'01_Historical+Segments'!H352/'01_Historical+Segments'!H343</x:f>
        <x:v>0.0033411421329544145</x:v>
      </x:c>
      <x:c r="L95" s="59" t="n">
        <x:f>'01_Historical+Segments'!H352/'01_Historical+Segments'!H343</x:f>
        <x:v>0.0033411421329544145</x:v>
      </x:c>
      <x:c r="M95" s="59" t="n">
        <x:f>'01_Historical+Segments'!H352/'01_Historical+Segments'!H343</x:f>
        <x:v>0.0033411421329544145</x:v>
      </x:c>
      <x:c r="N95" s="2"/>
      <x:c r="O95" s="2"/>
    </x:row>
    <x:row r="96" ht="20" customHeight="1">
      <x:c r="A96" s="2"/>
      <x:c r="B96" s="2"/>
      <x:c r="C96" s="24" t="str">
        <x:v>Bull</x:v>
      </x:c>
      <x:c r="D96" s="25"/>
      <x:c r="E96" s="25"/>
      <x:c r="F96" s="25"/>
      <x:c r="G96" s="25"/>
      <x:c r="H96" s="25"/>
      <x:c r="I96" s="59" t="n">
        <x:f>'01_Historical+Segments'!H352/'01_Historical+Segments'!H343</x:f>
        <x:v>0.0033411421329544145</x:v>
      </x:c>
      <x:c r="J96" s="59" t="n">
        <x:f>'01_Historical+Segments'!H352/'01_Historical+Segments'!H343</x:f>
        <x:v>0.0033411421329544145</x:v>
      </x:c>
      <x:c r="K96" s="59" t="n">
        <x:f>'01_Historical+Segments'!H352/'01_Historical+Segments'!H343</x:f>
        <x:v>0.0033411421329544145</x:v>
      </x:c>
      <x:c r="L96" s="59" t="n">
        <x:f>'01_Historical+Segments'!H352/'01_Historical+Segments'!H343</x:f>
        <x:v>0.0033411421329544145</x:v>
      </x:c>
      <x:c r="M96" s="59" t="n">
        <x:f>'01_Historical+Segments'!H352/'01_Historical+Segments'!H343</x:f>
        <x:v>0.0033411421329544145</x:v>
      </x:c>
      <x:c r="N96" s="2"/>
      <x:c r="O96" s="2"/>
    </x:row>
    <x:row r="97" ht="20" customHeight="1">
      <x:c r="A97" s="2"/>
      <x:c r="B97" s="2"/>
      <x:c r="C97" s="24" t="str">
        <x:v>Bear</x:v>
      </x:c>
      <x:c r="D97" s="25"/>
      <x:c r="E97" s="25"/>
      <x:c r="F97" s="25"/>
      <x:c r="G97" s="25"/>
      <x:c r="H97" s="25"/>
      <x:c r="I97" s="59" t="n">
        <x:f>'01_Historical+Segments'!H352/'01_Historical+Segments'!H343</x:f>
        <x:v>0.0033411421329544145</x:v>
      </x:c>
      <x:c r="J97" s="59" t="n">
        <x:f>'01_Historical+Segments'!H352/'01_Historical+Segments'!H343</x:f>
        <x:v>0.0033411421329544145</x:v>
      </x:c>
      <x:c r="K97" s="59" t="n">
        <x:f>'01_Historical+Segments'!H352/'01_Historical+Segments'!H343</x:f>
        <x:v>0.0033411421329544145</x:v>
      </x:c>
      <x:c r="L97" s="59" t="n">
        <x:f>'01_Historical+Segments'!H352/'01_Historical+Segments'!H343</x:f>
        <x:v>0.0033411421329544145</x:v>
      </x:c>
      <x:c r="M97" s="59" t="n">
        <x:f>'01_Historical+Segments'!H352/'01_Historical+Segments'!H343</x:f>
        <x:v>0.0033411421329544145</x:v>
      </x:c>
      <x:c r="N97" s="2"/>
      <x:c r="O97" s="2"/>
    </x:row>
    <x:row r="98" ht="32" customHeight="1">
      <x:c r="A98" s="2"/>
      <x:c r="B98" s="2"/>
      <x:c r="C98" s="16" t="str">
        <x:v>Reference only: FY26 segment D&amp;A intensity retained for comparison. Forecast D&amp;A comes from the fixed-asset schedule, allocated using FY26 segment D&amp;A shares.</x:v>
      </x:c>
      <x:c r="D98" s="38"/>
      <x:c r="E98" s="38"/>
      <x:c r="F98" s="38"/>
      <x:c r="G98" s="38"/>
      <x:c r="H98" s="38"/>
      <x:c r="I98" s="38"/>
      <x:c r="J98" s="38"/>
      <x:c r="K98" s="38"/>
      <x:c r="L98" s="38"/>
      <x:c r="M98" s="38"/>
      <x:c r="N98" s="2"/>
      <x:c r="O98" s="2"/>
    </x:row>
    <x:row r="99" ht="20" customHeight="1">
      <x:c r="A99" s="2"/>
      <x:c r="B99" s="2"/>
      <x:c r="C99" s="31" t="str">
        <x:v>Other operating assets / revenue</x:v>
      </x:c>
      <x:c r="D99" s="32"/>
      <x:c r="E99" s="32"/>
      <x:c r="F99" s="32"/>
      <x:c r="G99" s="32"/>
      <x:c r="H99" s="32"/>
      <x:c r="I99" s="41" t="n">
        <x:f>IF(CHOOSE($D$3,ISNUMBER(I100),ISNUMBER(I101),ISNUMBER(I102)),CHOOSE($D$3,I100,I101,I102),"n.a.")</x:f>
        <x:v>0.043926210530108964</x:v>
      </x:c>
      <x:c r="J99" s="41" t="n">
        <x:f>IF(CHOOSE($D$3,ISNUMBER(J100),ISNUMBER(J101),ISNUMBER(J102)),CHOOSE($D$3,J100,J101,J102),"n.a.")</x:f>
        <x:v>0.043926210530108964</x:v>
      </x:c>
      <x:c r="K99" s="41" t="n">
        <x:f>IF(CHOOSE($D$3,ISNUMBER(K100),ISNUMBER(K101),ISNUMBER(K102)),CHOOSE($D$3,K100,K101,K102),"n.a.")</x:f>
        <x:v>0.043926210530108964</x:v>
      </x:c>
      <x:c r="L99" s="41" t="n">
        <x:f>IF(CHOOSE($D$3,ISNUMBER(L100),ISNUMBER(L101),ISNUMBER(L102)),CHOOSE($D$3,L100,L101,L102),"n.a.")</x:f>
        <x:v>0.043926210530108964</x:v>
      </x:c>
      <x:c r="M99" s="41" t="n">
        <x:f>IF(CHOOSE($D$3,ISNUMBER(M100),ISNUMBER(M101),ISNUMBER(M102)),CHOOSE($D$3,M100,M101,M102),"n.a.")</x:f>
        <x:v>0.043926210530108964</x:v>
      </x:c>
      <x:c r="N99" s="2"/>
      <x:c r="O99" s="2"/>
    </x:row>
    <x:row r="100" ht="20" customHeight="1">
      <x:c r="A100" s="2"/>
      <x:c r="B100" s="2"/>
      <x:c r="C100" s="24" t="str">
        <x:v>Base</x:v>
      </x:c>
      <x:c r="D100" s="25"/>
      <x:c r="E100" s="25"/>
      <x:c r="F100" s="25"/>
      <x:c r="G100" s="25"/>
      <x:c r="H100" s="25"/>
      <x:c r="I100" s="59" t="n">
        <x:f>AVERAGE('03_3Statement+Schedules'!G36/'03_3Statement+Schedules'!G9,'03_3Statement+Schedules'!H36/'03_3Statement+Schedules'!H9)</x:f>
        <x:v>0.043926210530108964</x:v>
      </x:c>
      <x:c r="J100" s="59" t="n">
        <x:f>AVERAGE('03_3Statement+Schedules'!G36/'03_3Statement+Schedules'!G9,'03_3Statement+Schedules'!H36/'03_3Statement+Schedules'!H9)</x:f>
        <x:v>0.043926210530108964</x:v>
      </x:c>
      <x:c r="K100" s="59" t="n">
        <x:f>AVERAGE('03_3Statement+Schedules'!G36/'03_3Statement+Schedules'!G9,'03_3Statement+Schedules'!H36/'03_3Statement+Schedules'!H9)</x:f>
        <x:v>0.043926210530108964</x:v>
      </x:c>
      <x:c r="L100" s="59" t="n">
        <x:f>AVERAGE('03_3Statement+Schedules'!G36/'03_3Statement+Schedules'!G9,'03_3Statement+Schedules'!H36/'03_3Statement+Schedules'!H9)</x:f>
        <x:v>0.043926210530108964</x:v>
      </x:c>
      <x:c r="M100" s="59" t="n">
        <x:f>AVERAGE('03_3Statement+Schedules'!G36/'03_3Statement+Schedules'!G9,'03_3Statement+Schedules'!H36/'03_3Statement+Schedules'!H9)</x:f>
        <x:v>0.043926210530108964</x:v>
      </x:c>
      <x:c r="N100" s="2"/>
      <x:c r="O100" s="2"/>
    </x:row>
    <x:row r="101" ht="20" customHeight="1">
      <x:c r="A101" s="2"/>
      <x:c r="B101" s="2"/>
      <x:c r="C101" s="24" t="str">
        <x:v>Bull</x:v>
      </x:c>
      <x:c r="D101" s="25"/>
      <x:c r="E101" s="25"/>
      <x:c r="F101" s="25"/>
      <x:c r="G101" s="25"/>
      <x:c r="H101" s="25"/>
      <x:c r="I101" s="59" t="n">
        <x:f>AVERAGE('03_3Statement+Schedules'!G36/'03_3Statement+Schedules'!G9,'03_3Statement+Schedules'!H36/'03_3Statement+Schedules'!H9)</x:f>
        <x:v>0.043926210530108964</x:v>
      </x:c>
      <x:c r="J101" s="59" t="n">
        <x:f>AVERAGE('03_3Statement+Schedules'!G36/'03_3Statement+Schedules'!G9,'03_3Statement+Schedules'!H36/'03_3Statement+Schedules'!H9)</x:f>
        <x:v>0.043926210530108964</x:v>
      </x:c>
      <x:c r="K101" s="59" t="n">
        <x:f>AVERAGE('03_3Statement+Schedules'!G36/'03_3Statement+Schedules'!G9,'03_3Statement+Schedules'!H36/'03_3Statement+Schedules'!H9)</x:f>
        <x:v>0.043926210530108964</x:v>
      </x:c>
      <x:c r="L101" s="59" t="n">
        <x:f>AVERAGE('03_3Statement+Schedules'!G36/'03_3Statement+Schedules'!G9,'03_3Statement+Schedules'!H36/'03_3Statement+Schedules'!H9)</x:f>
        <x:v>0.043926210530108964</x:v>
      </x:c>
      <x:c r="M101" s="59" t="n">
        <x:f>AVERAGE('03_3Statement+Schedules'!G36/'03_3Statement+Schedules'!G9,'03_3Statement+Schedules'!H36/'03_3Statement+Schedules'!H9)</x:f>
        <x:v>0.043926210530108964</x:v>
      </x:c>
      <x:c r="N101" s="2"/>
      <x:c r="O101" s="2"/>
    </x:row>
    <x:row r="102" ht="20" customHeight="1">
      <x:c r="A102" s="2"/>
      <x:c r="B102" s="2"/>
      <x:c r="C102" s="24" t="str">
        <x:v>Bear</x:v>
      </x:c>
      <x:c r="D102" s="25"/>
      <x:c r="E102" s="25"/>
      <x:c r="F102" s="25"/>
      <x:c r="G102" s="25"/>
      <x:c r="H102" s="25"/>
      <x:c r="I102" s="59" t="n">
        <x:f>AVERAGE('03_3Statement+Schedules'!G36/'03_3Statement+Schedules'!G9,'03_3Statement+Schedules'!H36/'03_3Statement+Schedules'!H9)</x:f>
        <x:v>0.043926210530108964</x:v>
      </x:c>
      <x:c r="J102" s="59" t="n">
        <x:f>AVERAGE('03_3Statement+Schedules'!G36/'03_3Statement+Schedules'!G9,'03_3Statement+Schedules'!H36/'03_3Statement+Schedules'!H9)</x:f>
        <x:v>0.043926210530108964</x:v>
      </x:c>
      <x:c r="K102" s="59" t="n">
        <x:f>AVERAGE('03_3Statement+Schedules'!G36/'03_3Statement+Schedules'!G9,'03_3Statement+Schedules'!H36/'03_3Statement+Schedules'!H9)</x:f>
        <x:v>0.043926210530108964</x:v>
      </x:c>
      <x:c r="L102" s="59" t="n">
        <x:f>AVERAGE('03_3Statement+Schedules'!G36/'03_3Statement+Schedules'!G9,'03_3Statement+Schedules'!H36/'03_3Statement+Schedules'!H9)</x:f>
        <x:v>0.043926210530108964</x:v>
      </x:c>
      <x:c r="M102" s="59" t="n">
        <x:f>AVERAGE('03_3Statement+Schedules'!G36/'03_3Statement+Schedules'!G9,'03_3Statement+Schedules'!H36/'03_3Statement+Schedules'!H9)</x:f>
        <x:v>0.043926210530108964</x:v>
      </x:c>
      <x:c r="N102" s="2"/>
      <x:c r="O102" s="2"/>
    </x:row>
    <x:row r="103" ht="34" customHeight="1">
      <x:c r="A103" s="2"/>
      <x:c r="B103" s="2"/>
      <x:c r="C103" s="16" t="str">
        <x:v>FY25–FY26 average of disclosed operating balances. Tax assets, deposits, investments and held-for-sale items excluded.</x:v>
      </x:c>
      <x:c r="D103" s="38"/>
      <x:c r="E103" s="38"/>
      <x:c r="F103" s="38"/>
      <x:c r="G103" s="38"/>
      <x:c r="H103" s="38"/>
      <x:c r="I103" s="38"/>
      <x:c r="J103" s="38"/>
      <x:c r="K103" s="38"/>
      <x:c r="L103" s="38"/>
      <x:c r="M103" s="38"/>
      <x:c r="N103" s="2"/>
      <x:c r="O103" s="2"/>
    </x:row>
    <x:row r="104" ht="20" customHeight="1">
      <x:c r="A104" s="2"/>
      <x:c r="B104" s="2"/>
      <x:c r="C104" s="31" t="str">
        <x:v>Other operating liabilities / revenue</x:v>
      </x:c>
      <x:c r="D104" s="32"/>
      <x:c r="E104" s="32"/>
      <x:c r="F104" s="32"/>
      <x:c r="G104" s="32"/>
      <x:c r="H104" s="32"/>
      <x:c r="I104" s="41" t="n">
        <x:f>IF(CHOOSE($D$3,ISNUMBER(I105),ISNUMBER(I106),ISNUMBER(I107)),CHOOSE($D$3,I105,I106,I107),"n.a.")</x:f>
        <x:v>0.03869396441846788</x:v>
      </x:c>
      <x:c r="J104" s="41" t="n">
        <x:f>IF(CHOOSE($D$3,ISNUMBER(J105),ISNUMBER(J106),ISNUMBER(J107)),CHOOSE($D$3,J105,J106,J107),"n.a.")</x:f>
        <x:v>0.03869396441846788</x:v>
      </x:c>
      <x:c r="K104" s="41" t="n">
        <x:f>IF(CHOOSE($D$3,ISNUMBER(K105),ISNUMBER(K106),ISNUMBER(K107)),CHOOSE($D$3,K105,K106,K107),"n.a.")</x:f>
        <x:v>0.03869396441846788</x:v>
      </x:c>
      <x:c r="L104" s="41" t="n">
        <x:f>IF(CHOOSE($D$3,ISNUMBER(L105),ISNUMBER(L106),ISNUMBER(L107)),CHOOSE($D$3,L105,L106,L107),"n.a.")</x:f>
        <x:v>0.03869396441846788</x:v>
      </x:c>
      <x:c r="M104" s="41" t="n">
        <x:f>IF(CHOOSE($D$3,ISNUMBER(M105),ISNUMBER(M106),ISNUMBER(M107)),CHOOSE($D$3,M105,M106,M107),"n.a.")</x:f>
        <x:v>0.03869396441846788</x:v>
      </x:c>
      <x:c r="N104" s="2"/>
      <x:c r="O104" s="2"/>
    </x:row>
    <x:row r="105" ht="20" customHeight="1">
      <x:c r="A105" s="2"/>
      <x:c r="B105" s="2"/>
      <x:c r="C105" s="24" t="str">
        <x:v>Base</x:v>
      </x:c>
      <x:c r="D105" s="25"/>
      <x:c r="E105" s="25"/>
      <x:c r="F105" s="25"/>
      <x:c r="G105" s="25"/>
      <x:c r="H105" s="25"/>
      <x:c r="I105" s="59" t="n">
        <x:f>AVERAGE('03_3Statement+Schedules'!F49/'03_3Statement+Schedules'!F9,'03_3Statement+Schedules'!G49/'03_3Statement+Schedules'!G9)</x:f>
        <x:v>0.03869396441846788</x:v>
      </x:c>
      <x:c r="J105" s="59" t="n">
        <x:f>AVERAGE('03_3Statement+Schedules'!F49/'03_3Statement+Schedules'!F9,'03_3Statement+Schedules'!G49/'03_3Statement+Schedules'!G9)</x:f>
        <x:v>0.03869396441846788</x:v>
      </x:c>
      <x:c r="K105" s="59" t="n">
        <x:f>AVERAGE('03_3Statement+Schedules'!F49/'03_3Statement+Schedules'!F9,'03_3Statement+Schedules'!G49/'03_3Statement+Schedules'!G9)</x:f>
        <x:v>0.03869396441846788</x:v>
      </x:c>
      <x:c r="L105" s="59" t="n">
        <x:f>AVERAGE('03_3Statement+Schedules'!F49/'03_3Statement+Schedules'!F9,'03_3Statement+Schedules'!G49/'03_3Statement+Schedules'!G9)</x:f>
        <x:v>0.03869396441846788</x:v>
      </x:c>
      <x:c r="M105" s="59" t="n">
        <x:f>AVERAGE('03_3Statement+Schedules'!F49/'03_3Statement+Schedules'!F9,'03_3Statement+Schedules'!G49/'03_3Statement+Schedules'!G9)</x:f>
        <x:v>0.03869396441846788</x:v>
      </x:c>
      <x:c r="N105" s="2"/>
      <x:c r="O105" s="2"/>
    </x:row>
    <x:row r="106" ht="20" customHeight="1">
      <x:c r="A106" s="2"/>
      <x:c r="B106" s="2"/>
      <x:c r="C106" s="24" t="str">
        <x:v>Bull</x:v>
      </x:c>
      <x:c r="D106" s="25"/>
      <x:c r="E106" s="25"/>
      <x:c r="F106" s="25"/>
      <x:c r="G106" s="25"/>
      <x:c r="H106" s="25"/>
      <x:c r="I106" s="59" t="n">
        <x:f>AVERAGE('03_3Statement+Schedules'!F49/'03_3Statement+Schedules'!F9,'03_3Statement+Schedules'!G49/'03_3Statement+Schedules'!G9)</x:f>
        <x:v>0.03869396441846788</x:v>
      </x:c>
      <x:c r="J106" s="59" t="n">
        <x:f>AVERAGE('03_3Statement+Schedules'!F49/'03_3Statement+Schedules'!F9,'03_3Statement+Schedules'!G49/'03_3Statement+Schedules'!G9)</x:f>
        <x:v>0.03869396441846788</x:v>
      </x:c>
      <x:c r="K106" s="59" t="n">
        <x:f>AVERAGE('03_3Statement+Schedules'!F49/'03_3Statement+Schedules'!F9,'03_3Statement+Schedules'!G49/'03_3Statement+Schedules'!G9)</x:f>
        <x:v>0.03869396441846788</x:v>
      </x:c>
      <x:c r="L106" s="59" t="n">
        <x:f>AVERAGE('03_3Statement+Schedules'!F49/'03_3Statement+Schedules'!F9,'03_3Statement+Schedules'!G49/'03_3Statement+Schedules'!G9)</x:f>
        <x:v>0.03869396441846788</x:v>
      </x:c>
      <x:c r="M106" s="59" t="n">
        <x:f>AVERAGE('03_3Statement+Schedules'!F49/'03_3Statement+Schedules'!F9,'03_3Statement+Schedules'!G49/'03_3Statement+Schedules'!G9)</x:f>
        <x:v>0.03869396441846788</x:v>
      </x:c>
      <x:c r="N106" s="2"/>
      <x:c r="O106" s="2"/>
    </x:row>
    <x:row r="107" ht="20" customHeight="1">
      <x:c r="A107" s="2"/>
      <x:c r="B107" s="2"/>
      <x:c r="C107" s="24" t="str">
        <x:v>Bear</x:v>
      </x:c>
      <x:c r="D107" s="25"/>
      <x:c r="E107" s="25"/>
      <x:c r="F107" s="25"/>
      <x:c r="G107" s="25"/>
      <x:c r="H107" s="25"/>
      <x:c r="I107" s="59" t="n">
        <x:f>AVERAGE('03_3Statement+Schedules'!F49/'03_3Statement+Schedules'!F9,'03_3Statement+Schedules'!G49/'03_3Statement+Schedules'!G9)</x:f>
        <x:v>0.03869396441846788</x:v>
      </x:c>
      <x:c r="J107" s="59" t="n">
        <x:f>AVERAGE('03_3Statement+Schedules'!F49/'03_3Statement+Schedules'!F9,'03_3Statement+Schedules'!G49/'03_3Statement+Schedules'!G9)</x:f>
        <x:v>0.03869396441846788</x:v>
      </x:c>
      <x:c r="K107" s="59" t="n">
        <x:f>AVERAGE('03_3Statement+Schedules'!F49/'03_3Statement+Schedules'!F9,'03_3Statement+Schedules'!G49/'03_3Statement+Schedules'!G9)</x:f>
        <x:v>0.03869396441846788</x:v>
      </x:c>
      <x:c r="L107" s="59" t="n">
        <x:f>AVERAGE('03_3Statement+Schedules'!F49/'03_3Statement+Schedules'!F9,'03_3Statement+Schedules'!G49/'03_3Statement+Schedules'!G9)</x:f>
        <x:v>0.03869396441846788</x:v>
      </x:c>
      <x:c r="M107" s="59" t="n">
        <x:f>AVERAGE('03_3Statement+Schedules'!F49/'03_3Statement+Schedules'!F9,'03_3Statement+Schedules'!G49/'03_3Statement+Schedules'!G9)</x:f>
        <x:v>0.03869396441846788</x:v>
      </x:c>
      <x:c r="N107" s="2"/>
      <x:c r="O107" s="2"/>
    </x:row>
    <x:row r="108" ht="34" customHeight="1">
      <x:c r="A108" s="2"/>
      <x:c r="B108" s="2"/>
      <x:c r="C108" s="16" t="str">
        <x:v>FY24–FY25 average, reversing FY26 unusually high contract/current liabilities. Taxes, acceptances, debt and leases excluded.</x:v>
      </x:c>
      <x:c r="D108" s="38"/>
      <x:c r="E108" s="38"/>
      <x:c r="F108" s="38"/>
      <x:c r="G108" s="38"/>
      <x:c r="H108" s="38"/>
      <x:c r="I108" s="38"/>
      <x:c r="J108" s="38"/>
      <x:c r="K108" s="38"/>
      <x:c r="L108" s="38"/>
      <x:c r="M108" s="38"/>
      <x:c r="N108" s="2"/>
      <x:c r="O108" s="2"/>
    </x:row>
    <x:row r="109" ht="20" customHeight="1">
      <x:c r="A109" s="2"/>
      <x:c r="B109" s="2"/>
      <x:c r="C109" s="31" t="str">
        <x:v>Non-current receivables / EPC income</x:v>
      </x:c>
      <x:c r="D109" s="32"/>
      <x:c r="E109" s="32"/>
      <x:c r="F109" s="32"/>
      <x:c r="G109" s="32"/>
      <x:c r="H109" s="32"/>
      <x:c r="I109" s="41" t="n">
        <x:f>IF(CHOOSE($D$3,ISNUMBER(I110),ISNUMBER(I111),ISNUMBER(I112)),CHOOSE($D$3,I110,I111,I112),"n.a.")</x:f>
        <x:v>0.26869791466646187</x:v>
      </x:c>
      <x:c r="J109" s="41" t="n">
        <x:f>IF(CHOOSE($D$3,ISNUMBER(J110),ISNUMBER(J111),ISNUMBER(J112)),CHOOSE($D$3,J110,J111,J112),"n.a.")</x:f>
        <x:v>0.26869791466646187</x:v>
      </x:c>
      <x:c r="K109" s="41" t="n">
        <x:f>IF(CHOOSE($D$3,ISNUMBER(K110),ISNUMBER(K111),ISNUMBER(K112)),CHOOSE($D$3,K110,K111,K112),"n.a.")</x:f>
        <x:v>0.26869791466646187</x:v>
      </x:c>
      <x:c r="L109" s="41" t="n">
        <x:f>IF(CHOOSE($D$3,ISNUMBER(L110),ISNUMBER(L111),ISNUMBER(L112)),CHOOSE($D$3,L110,L111,L112),"n.a.")</x:f>
        <x:v>0.26869791466646187</x:v>
      </x:c>
      <x:c r="M109" s="41" t="n">
        <x:f>IF(CHOOSE($D$3,ISNUMBER(M110),ISNUMBER(M111),ISNUMBER(M112)),CHOOSE($D$3,M110,M111,M112),"n.a.")</x:f>
        <x:v>0.26869791466646187</x:v>
      </x:c>
      <x:c r="N109" s="2"/>
      <x:c r="O109" s="2"/>
    </x:row>
    <x:row r="110" ht="20" customHeight="1">
      <x:c r="A110" s="2"/>
      <x:c r="B110" s="2"/>
      <x:c r="C110" s="24" t="str">
        <x:v>Base</x:v>
      </x:c>
      <x:c r="D110" s="25"/>
      <x:c r="E110" s="25"/>
      <x:c r="F110" s="25"/>
      <x:c r="G110" s="25"/>
      <x:c r="H110" s="25"/>
      <x:c r="I110" s="59" t="n">
        <x:f>'01_Historical+Segments'!H175/'01_Historical+Segments'!H343</x:f>
        <x:v>0.26869791466646187</x:v>
      </x:c>
      <x:c r="J110" s="59" t="n">
        <x:f>'01_Historical+Segments'!H175/'01_Historical+Segments'!H343</x:f>
        <x:v>0.26869791466646187</x:v>
      </x:c>
      <x:c r="K110" s="59" t="n">
        <x:f>'01_Historical+Segments'!H175/'01_Historical+Segments'!H343</x:f>
        <x:v>0.26869791466646187</x:v>
      </x:c>
      <x:c r="L110" s="59" t="n">
        <x:f>'01_Historical+Segments'!H175/'01_Historical+Segments'!H343</x:f>
        <x:v>0.26869791466646187</x:v>
      </x:c>
      <x:c r="M110" s="59" t="n">
        <x:f>'01_Historical+Segments'!H175/'01_Historical+Segments'!H343</x:f>
        <x:v>0.26869791466646187</x:v>
      </x:c>
      <x:c r="N110" s="2"/>
      <x:c r="O110" s="2"/>
    </x:row>
    <x:row r="111" ht="20" customHeight="1">
      <x:c r="A111" s="2"/>
      <x:c r="B111" s="2"/>
      <x:c r="C111" s="24" t="str">
        <x:v>Bull</x:v>
      </x:c>
      <x:c r="D111" s="25"/>
      <x:c r="E111" s="25"/>
      <x:c r="F111" s="25"/>
      <x:c r="G111" s="25"/>
      <x:c r="H111" s="25"/>
      <x:c r="I111" s="59" t="n">
        <x:f>'01_Historical+Segments'!H175/'01_Historical+Segments'!H343</x:f>
        <x:v>0.26869791466646187</x:v>
      </x:c>
      <x:c r="J111" s="59" t="n">
        <x:f>'01_Historical+Segments'!H175/'01_Historical+Segments'!H343</x:f>
        <x:v>0.26869791466646187</x:v>
      </x:c>
      <x:c r="K111" s="59" t="n">
        <x:f>'01_Historical+Segments'!H175/'01_Historical+Segments'!H343</x:f>
        <x:v>0.26869791466646187</x:v>
      </x:c>
      <x:c r="L111" s="59" t="n">
        <x:f>'01_Historical+Segments'!H175/'01_Historical+Segments'!H343</x:f>
        <x:v>0.26869791466646187</x:v>
      </x:c>
      <x:c r="M111" s="59" t="n">
        <x:f>'01_Historical+Segments'!H175/'01_Historical+Segments'!H343</x:f>
        <x:v>0.26869791466646187</x:v>
      </x:c>
      <x:c r="N111" s="2"/>
      <x:c r="O111" s="2"/>
    </x:row>
    <x:row r="112" ht="20" customHeight="1">
      <x:c r="A112" s="2"/>
      <x:c r="B112" s="2"/>
      <x:c r="C112" s="24" t="str">
        <x:v>Bear</x:v>
      </x:c>
      <x:c r="D112" s="25"/>
      <x:c r="E112" s="25"/>
      <x:c r="F112" s="25"/>
      <x:c r="G112" s="25"/>
      <x:c r="H112" s="25"/>
      <x:c r="I112" s="59" t="n">
        <x:f>'01_Historical+Segments'!H175/'01_Historical+Segments'!H343</x:f>
        <x:v>0.26869791466646187</x:v>
      </x:c>
      <x:c r="J112" s="59" t="n">
        <x:f>'01_Historical+Segments'!H175/'01_Historical+Segments'!H343</x:f>
        <x:v>0.26869791466646187</x:v>
      </x:c>
      <x:c r="K112" s="59" t="n">
        <x:f>'01_Historical+Segments'!H175/'01_Historical+Segments'!H343</x:f>
        <x:v>0.26869791466646187</x:v>
      </x:c>
      <x:c r="L112" s="59" t="n">
        <x:f>'01_Historical+Segments'!H175/'01_Historical+Segments'!H343</x:f>
        <x:v>0.26869791466646187</x:v>
      </x:c>
      <x:c r="M112" s="59" t="n">
        <x:f>'01_Historical+Segments'!H175/'01_Historical+Segments'!H343</x:f>
        <x:v>0.26869791466646187</x:v>
      </x:c>
      <x:c r="N112" s="2"/>
      <x:c r="O112" s="2"/>
    </x:row>
    <x:row r="113" ht="34" customHeight="1">
      <x:c r="A113" s="2"/>
      <x:c r="B113" s="2"/>
      <x:c r="C113" s="16" t="str">
        <x:v>FY26 retention intensity held relative to EPC rather than group revenue. Separate from current DSO.</x:v>
      </x:c>
      <x:c r="D113" s="38"/>
      <x:c r="E113" s="38"/>
      <x:c r="F113" s="38"/>
      <x:c r="G113" s="38"/>
      <x:c r="H113" s="38"/>
      <x:c r="I113" s="38"/>
      <x:c r="J113" s="38"/>
      <x:c r="K113" s="38"/>
      <x:c r="L113" s="38"/>
      <x:c r="M113" s="38"/>
      <x:c r="N113" s="2"/>
      <x:c r="O113" s="2"/>
    </x:row>
    <x:row r="114" ht="20" customHeight="1">
      <x:c r="A114" s="2"/>
      <x:c r="B114" s="2"/>
      <x:c r="C114" s="31" t="str">
        <x:v>Accrual and cash effective tax rate</x:v>
      </x:c>
      <x:c r="D114" s="62" t="n">
        <x:f>'01_Historical+Segments'!D122</x:f>
        <x:v>0.24252817114722483</x:v>
      </x:c>
      <x:c r="E114" s="62" t="n">
        <x:f>'01_Historical+Segments'!E122</x:f>
        <x:v>0.2484513160299334</x:v>
      </x:c>
      <x:c r="F114" s="62" t="n">
        <x:f>'01_Historical+Segments'!F122</x:f>
        <x:v>0.23582545670325944</x:v>
      </x:c>
      <x:c r="G114" s="62" t="n">
        <x:f>'01_Historical+Segments'!G122</x:f>
        <x:v>0.24263073223380088</x:v>
      </x:c>
      <x:c r="H114" s="62" t="n">
        <x:f>'01_Historical+Segments'!H122</x:f>
        <x:v>0.2503817385468057</x:v>
      </x:c>
      <x:c r="I114" s="41" t="n">
        <x:f>IF(CHOOSE($D$3,ISNUMBER(I115),ISNUMBER(I116),ISNUMBER(I117)),CHOOSE($D$3,I115,I116,I117),"n.a.")</x:f>
        <x:v>0.2503817385468057</x:v>
      </x:c>
      <x:c r="J114" s="41" t="n">
        <x:f>IF(CHOOSE($D$3,ISNUMBER(J115),ISNUMBER(J116),ISNUMBER(J117)),CHOOSE($D$3,J115,J116,J117),"n.a.")</x:f>
        <x:v>0.2503817385468057</x:v>
      </x:c>
      <x:c r="K114" s="41" t="n">
        <x:f>IF(CHOOSE($D$3,ISNUMBER(K115),ISNUMBER(K116),ISNUMBER(K117)),CHOOSE($D$3,K115,K116,K117),"n.a.")</x:f>
        <x:v>0.2503817385468057</x:v>
      </x:c>
      <x:c r="L114" s="41" t="n">
        <x:f>IF(CHOOSE($D$3,ISNUMBER(L115),ISNUMBER(L116),ISNUMBER(L117)),CHOOSE($D$3,L115,L116,L117),"n.a.")</x:f>
        <x:v>0.2503817385468057</x:v>
      </x:c>
      <x:c r="M114" s="41" t="n">
        <x:f>IF(CHOOSE($D$3,ISNUMBER(M115),ISNUMBER(M116),ISNUMBER(M117)),CHOOSE($D$3,M115,M116,M117),"n.a.")</x:f>
        <x:v>0.2503817385468057</x:v>
      </x:c>
      <x:c r="N114" s="2"/>
      <x:c r="O114" s="2"/>
    </x:row>
    <x:row r="115" ht="20" customHeight="1">
      <x:c r="A115" s="2"/>
      <x:c r="B115" s="2"/>
      <x:c r="C115" s="24" t="str">
        <x:v>Base</x:v>
      </x:c>
      <x:c r="D115" s="25"/>
      <x:c r="E115" s="25"/>
      <x:c r="F115" s="25"/>
      <x:c r="G115" s="25"/>
      <x:c r="H115" s="25"/>
      <x:c r="I115" s="59" t="n">
        <x:f>'01_Historical+Segments'!H122</x:f>
        <x:v>0.2503817385468057</x:v>
      </x:c>
      <x:c r="J115" s="59" t="n">
        <x:f>'01_Historical+Segments'!H122</x:f>
        <x:v>0.2503817385468057</x:v>
      </x:c>
      <x:c r="K115" s="59" t="n">
        <x:f>'01_Historical+Segments'!H122</x:f>
        <x:v>0.2503817385468057</x:v>
      </x:c>
      <x:c r="L115" s="59" t="n">
        <x:f>'01_Historical+Segments'!H122</x:f>
        <x:v>0.2503817385468057</x:v>
      </x:c>
      <x:c r="M115" s="59" t="n">
        <x:f>'01_Historical+Segments'!H122</x:f>
        <x:v>0.2503817385468057</x:v>
      </x:c>
      <x:c r="N115" s="2"/>
      <x:c r="O115" s="2"/>
    </x:row>
    <x:row r="116" ht="20" customHeight="1">
      <x:c r="A116" s="2"/>
      <x:c r="B116" s="2"/>
      <x:c r="C116" s="24" t="str">
        <x:v>Bull</x:v>
      </x:c>
      <x:c r="D116" s="25"/>
      <x:c r="E116" s="25"/>
      <x:c r="F116" s="25"/>
      <x:c r="G116" s="25"/>
      <x:c r="H116" s="25"/>
      <x:c r="I116" s="59" t="n">
        <x:f>'01_Historical+Segments'!H122</x:f>
        <x:v>0.2503817385468057</x:v>
      </x:c>
      <x:c r="J116" s="59" t="n">
        <x:f>'01_Historical+Segments'!H122</x:f>
        <x:v>0.2503817385468057</x:v>
      </x:c>
      <x:c r="K116" s="59" t="n">
        <x:f>'01_Historical+Segments'!H122</x:f>
        <x:v>0.2503817385468057</x:v>
      </x:c>
      <x:c r="L116" s="59" t="n">
        <x:f>'01_Historical+Segments'!H122</x:f>
        <x:v>0.2503817385468057</x:v>
      </x:c>
      <x:c r="M116" s="59" t="n">
        <x:f>'01_Historical+Segments'!H122</x:f>
        <x:v>0.2503817385468057</x:v>
      </x:c>
      <x:c r="N116" s="2"/>
      <x:c r="O116" s="2"/>
    </x:row>
    <x:row r="117" ht="20" customHeight="1">
      <x:c r="A117" s="2"/>
      <x:c r="B117" s="2"/>
      <x:c r="C117" s="24" t="str">
        <x:v>Bear</x:v>
      </x:c>
      <x:c r="D117" s="25"/>
      <x:c r="E117" s="25"/>
      <x:c r="F117" s="25"/>
      <x:c r="G117" s="25"/>
      <x:c r="H117" s="25"/>
      <x:c r="I117" s="59" t="n">
        <x:f>'01_Historical+Segments'!H122</x:f>
        <x:v>0.2503817385468057</x:v>
      </x:c>
      <x:c r="J117" s="59" t="n">
        <x:f>'01_Historical+Segments'!H122</x:f>
        <x:v>0.2503817385468057</x:v>
      </x:c>
      <x:c r="K117" s="59" t="n">
        <x:f>'01_Historical+Segments'!H122</x:f>
        <x:v>0.2503817385468057</x:v>
      </x:c>
      <x:c r="L117" s="59" t="n">
        <x:f>'01_Historical+Segments'!H122</x:f>
        <x:v>0.2503817385468057</x:v>
      </x:c>
      <x:c r="M117" s="59" t="n">
        <x:f>'01_Historical+Segments'!H122</x:f>
        <x:v>0.2503817385468057</x:v>
      </x:c>
      <x:c r="N117" s="2"/>
      <x:c r="O117" s="2"/>
    </x:row>
    <x:row r="118" ht="34" customHeight="1">
      <x:c r="A118" s="2"/>
      <x:c r="B118" s="2"/>
      <x:c r="C118" s="16" t="str">
        <x:v>FY26 actual ETR (~25.0%) is the normalized tax anchor. Forecast tax balances held flat, so cash tax equals accrual tax.</x:v>
      </x:c>
      <x:c r="D118" s="38"/>
      <x:c r="E118" s="38"/>
      <x:c r="F118" s="38"/>
      <x:c r="G118" s="38"/>
      <x:c r="H118" s="38"/>
      <x:c r="I118" s="38"/>
      <x:c r="J118" s="38"/>
      <x:c r="K118" s="38"/>
      <x:c r="L118" s="38"/>
      <x:c r="M118" s="38"/>
      <x:c r="N118" s="2"/>
      <x:c r="O118" s="2"/>
    </x:row>
    <x:row r="119" ht="20" customHeight="1">
      <x:c r="A119" s="2"/>
      <x:c r="B119" s="2"/>
      <x:c r="C119" s="31" t="str">
        <x:v>Finance income / opening liquid assets</x:v>
      </x:c>
      <x:c r="D119" s="32"/>
      <x:c r="E119" s="32"/>
      <x:c r="F119" s="32"/>
      <x:c r="G119" s="32"/>
      <x:c r="H119" s="32"/>
      <x:c r="I119" s="41" t="n">
        <x:f>IF(CHOOSE($D$3,ISNUMBER(I120),ISNUMBER(I121),ISNUMBER(I122)),CHOOSE($D$3,I120,I121,I122),"n.a.")</x:f>
        <x:v>0.08149414329926284</x:v>
      </x:c>
      <x:c r="J119" s="41" t="n">
        <x:f>IF(CHOOSE($D$3,ISNUMBER(J120),ISNUMBER(J121),ISNUMBER(J122)),CHOOSE($D$3,J120,J121,J122),"n.a.")</x:f>
        <x:v>0.08149414329926284</x:v>
      </x:c>
      <x:c r="K119" s="41" t="n">
        <x:f>IF(CHOOSE($D$3,ISNUMBER(K120),ISNUMBER(K121),ISNUMBER(K122)),CHOOSE($D$3,K120,K121,K122),"n.a.")</x:f>
        <x:v>0.08149414329926284</x:v>
      </x:c>
      <x:c r="L119" s="41" t="n">
        <x:f>IF(CHOOSE($D$3,ISNUMBER(L120),ISNUMBER(L121),ISNUMBER(L122)),CHOOSE($D$3,L120,L121,L122),"n.a.")</x:f>
        <x:v>0.08149414329926284</x:v>
      </x:c>
      <x:c r="M119" s="41" t="n">
        <x:f>IF(CHOOSE($D$3,ISNUMBER(M120),ISNUMBER(M121),ISNUMBER(M122)),CHOOSE($D$3,M120,M121,M122),"n.a.")</x:f>
        <x:v>0.08149414329926284</x:v>
      </x:c>
      <x:c r="N119" s="2"/>
      <x:c r="O119" s="2"/>
    </x:row>
    <x:row r="120" ht="20" customHeight="1">
      <x:c r="A120" s="2"/>
      <x:c r="B120" s="2"/>
      <x:c r="C120" s="24" t="str">
        <x:v>Base</x:v>
      </x:c>
      <x:c r="D120" s="25"/>
      <x:c r="E120" s="25"/>
      <x:c r="F120" s="25"/>
      <x:c r="G120" s="25"/>
      <x:c r="H120" s="25"/>
      <x:c r="I120" s="59" t="n">
        <x:f>'01_Historical+Segments'!H259/('01_Historical+Segments'!G184+'01_Historical+Segments'!G185+'01_Historical+Segments'!G182)</x:f>
        <x:v>0.08149414329926284</x:v>
      </x:c>
      <x:c r="J120" s="59" t="n">
        <x:f>'01_Historical+Segments'!H259/('01_Historical+Segments'!G184+'01_Historical+Segments'!G185+'01_Historical+Segments'!G182)</x:f>
        <x:v>0.08149414329926284</x:v>
      </x:c>
      <x:c r="K120" s="59" t="n">
        <x:f>'01_Historical+Segments'!H259/('01_Historical+Segments'!G184+'01_Historical+Segments'!G185+'01_Historical+Segments'!G182)</x:f>
        <x:v>0.08149414329926284</x:v>
      </x:c>
      <x:c r="L120" s="59" t="n">
        <x:f>'01_Historical+Segments'!H259/('01_Historical+Segments'!G184+'01_Historical+Segments'!G185+'01_Historical+Segments'!G182)</x:f>
        <x:v>0.08149414329926284</x:v>
      </x:c>
      <x:c r="M120" s="59" t="n">
        <x:f>'01_Historical+Segments'!H259/('01_Historical+Segments'!G184+'01_Historical+Segments'!G185+'01_Historical+Segments'!G182)</x:f>
        <x:v>0.08149414329926284</x:v>
      </x:c>
      <x:c r="N120" s="2"/>
      <x:c r="O120" s="2"/>
    </x:row>
    <x:row r="121" ht="20" customHeight="1">
      <x:c r="A121" s="2"/>
      <x:c r="B121" s="2"/>
      <x:c r="C121" s="24" t="str">
        <x:v>Bull</x:v>
      </x:c>
      <x:c r="D121" s="25"/>
      <x:c r="E121" s="25"/>
      <x:c r="F121" s="25"/>
      <x:c r="G121" s="25"/>
      <x:c r="H121" s="25"/>
      <x:c r="I121" s="59" t="n">
        <x:f>'01_Historical+Segments'!H259/('01_Historical+Segments'!G184+'01_Historical+Segments'!G185+'01_Historical+Segments'!G182)</x:f>
        <x:v>0.08149414329926284</x:v>
      </x:c>
      <x:c r="J121" s="59" t="n">
        <x:f>'01_Historical+Segments'!H259/('01_Historical+Segments'!G184+'01_Historical+Segments'!G185+'01_Historical+Segments'!G182)</x:f>
        <x:v>0.08149414329926284</x:v>
      </x:c>
      <x:c r="K121" s="59" t="n">
        <x:f>'01_Historical+Segments'!H259/('01_Historical+Segments'!G184+'01_Historical+Segments'!G185+'01_Historical+Segments'!G182)</x:f>
        <x:v>0.08149414329926284</x:v>
      </x:c>
      <x:c r="L121" s="59" t="n">
        <x:f>'01_Historical+Segments'!H259/('01_Historical+Segments'!G184+'01_Historical+Segments'!G185+'01_Historical+Segments'!G182)</x:f>
        <x:v>0.08149414329926284</x:v>
      </x:c>
      <x:c r="M121" s="59" t="n">
        <x:f>'01_Historical+Segments'!H259/('01_Historical+Segments'!G184+'01_Historical+Segments'!G185+'01_Historical+Segments'!G182)</x:f>
        <x:v>0.08149414329926284</x:v>
      </x:c>
      <x:c r="N121" s="2"/>
      <x:c r="O121" s="2"/>
    </x:row>
    <x:row r="122" ht="20" customHeight="1">
      <x:c r="A122" s="2"/>
      <x:c r="B122" s="2"/>
      <x:c r="C122" s="24" t="str">
        <x:v>Bear</x:v>
      </x:c>
      <x:c r="D122" s="25"/>
      <x:c r="E122" s="25"/>
      <x:c r="F122" s="25"/>
      <x:c r="G122" s="25"/>
      <x:c r="H122" s="25"/>
      <x:c r="I122" s="59" t="n">
        <x:f>'01_Historical+Segments'!H259/('01_Historical+Segments'!G184+'01_Historical+Segments'!G185+'01_Historical+Segments'!G182)</x:f>
        <x:v>0.08149414329926284</x:v>
      </x:c>
      <x:c r="J122" s="59" t="n">
        <x:f>'01_Historical+Segments'!H259/('01_Historical+Segments'!G184+'01_Historical+Segments'!G185+'01_Historical+Segments'!G182)</x:f>
        <x:v>0.08149414329926284</x:v>
      </x:c>
      <x:c r="K122" s="59" t="n">
        <x:f>'01_Historical+Segments'!H259/('01_Historical+Segments'!G184+'01_Historical+Segments'!G185+'01_Historical+Segments'!G182)</x:f>
        <x:v>0.08149414329926284</x:v>
      </x:c>
      <x:c r="L122" s="59" t="n">
        <x:f>'01_Historical+Segments'!H259/('01_Historical+Segments'!G184+'01_Historical+Segments'!G185+'01_Historical+Segments'!G182)</x:f>
        <x:v>0.08149414329926284</x:v>
      </x:c>
      <x:c r="M122" s="59" t="n">
        <x:f>'01_Historical+Segments'!H259/('01_Historical+Segments'!G184+'01_Historical+Segments'!G185+'01_Historical+Segments'!G182)</x:f>
        <x:v>0.08149414329926284</x:v>
      </x:c>
      <x:c r="N122" s="2"/>
      <x:c r="O122" s="2"/>
    </x:row>
    <x:row r="123" ht="34" customHeight="1">
      <x:c r="A123" s="2"/>
      <x:c r="B123" s="2"/>
      <x:c r="C123" s="16" t="str">
        <x:v>FY26 unallocated finance income / FY25 cash, bank and investments. Applied to opening treasury assets, avoiding circular interest.</x:v>
      </x:c>
      <x:c r="D123" s="38"/>
      <x:c r="E123" s="38"/>
      <x:c r="F123" s="38"/>
      <x:c r="G123" s="38"/>
      <x:c r="H123" s="38"/>
      <x:c r="I123" s="38"/>
      <x:c r="J123" s="38"/>
      <x:c r="K123" s="38"/>
      <x:c r="L123" s="38"/>
      <x:c r="M123" s="38"/>
      <x:c r="N123" s="2"/>
      <x:c r="O123" s="2"/>
    </x:row>
    <x:row r="124" ht="20" customHeight="1">
      <x:c r="A124" s="2"/>
      <x:c r="B124" s="2"/>
      <x:c r="C124" s="31" t="str">
        <x:v>Finance cost / average funded obligations</x:v>
      </x:c>
      <x:c r="D124" s="32"/>
      <x:c r="E124" s="32"/>
      <x:c r="F124" s="32"/>
      <x:c r="G124" s="32"/>
      <x:c r="H124" s="32"/>
      <x:c r="I124" s="41" t="n">
        <x:f>IF(CHOOSE($D$3,ISNUMBER(I125),ISNUMBER(I126),ISNUMBER(I127)),CHOOSE($D$3,I125,I126,I127),"n.a.")</x:f>
        <x:v>0.08087976158980067</x:v>
      </x:c>
      <x:c r="J124" s="41" t="n">
        <x:f>IF(CHOOSE($D$3,ISNUMBER(J125),ISNUMBER(J126),ISNUMBER(J127)),CHOOSE($D$3,J125,J126,J127),"n.a.")</x:f>
        <x:v>0.08087976158980067</x:v>
      </x:c>
      <x:c r="K124" s="41" t="n">
        <x:f>IF(CHOOSE($D$3,ISNUMBER(K125),ISNUMBER(K126),ISNUMBER(K127)),CHOOSE($D$3,K125,K126,K127),"n.a.")</x:f>
        <x:v>0.08087976158980067</x:v>
      </x:c>
      <x:c r="L124" s="41" t="n">
        <x:f>IF(CHOOSE($D$3,ISNUMBER(L125),ISNUMBER(L126),ISNUMBER(L127)),CHOOSE($D$3,L125,L126,L127),"n.a.")</x:f>
        <x:v>0.08087976158980067</x:v>
      </x:c>
      <x:c r="M124" s="41" t="n">
        <x:f>IF(CHOOSE($D$3,ISNUMBER(M125),ISNUMBER(M126),ISNUMBER(M127)),CHOOSE($D$3,M125,M126,M127),"n.a.")</x:f>
        <x:v>0.08087976158980067</x:v>
      </x:c>
      <x:c r="N124" s="2"/>
      <x:c r="O124" s="2"/>
    </x:row>
    <x:row r="125" ht="20" customHeight="1">
      <x:c r="A125" s="2"/>
      <x:c r="B125" s="2"/>
      <x:c r="C125" s="24" t="str">
        <x:v>Base</x:v>
      </x:c>
      <x:c r="D125" s="25"/>
      <x:c r="E125" s="25"/>
      <x:c r="F125" s="25"/>
      <x:c r="G125" s="25"/>
      <x:c r="H125" s="25"/>
      <x:c r="I125" s="59" t="n">
        <x:f>'01_Historical+Segments'!H152/AVERAGE('03_3Statement+Schedules'!G45+ '03_3Statement+Schedules'!G46+ '03_3Statement+Schedules'!G47,'03_3Statement+Schedules'!H45+'03_3Statement+Schedules'!H46+'03_3Statement+Schedules'!H47)</x:f>
        <x:v>0.08087976158980067</x:v>
      </x:c>
      <x:c r="J125" s="59" t="n">
        <x:f>'01_Historical+Segments'!H152/AVERAGE('03_3Statement+Schedules'!G45+ '03_3Statement+Schedules'!G46+ '03_3Statement+Schedules'!G47,'03_3Statement+Schedules'!H45+'03_3Statement+Schedules'!H46+'03_3Statement+Schedules'!H47)</x:f>
        <x:v>0.08087976158980067</x:v>
      </x:c>
      <x:c r="K125" s="59" t="n">
        <x:f>'01_Historical+Segments'!H152/AVERAGE('03_3Statement+Schedules'!G45+ '03_3Statement+Schedules'!G46+ '03_3Statement+Schedules'!G47,'03_3Statement+Schedules'!H45+'03_3Statement+Schedules'!H46+'03_3Statement+Schedules'!H47)</x:f>
        <x:v>0.08087976158980067</x:v>
      </x:c>
      <x:c r="L125" s="59" t="n">
        <x:f>'01_Historical+Segments'!H152/AVERAGE('03_3Statement+Schedules'!G45+ '03_3Statement+Schedules'!G46+ '03_3Statement+Schedules'!G47,'03_3Statement+Schedules'!H45+'03_3Statement+Schedules'!H46+'03_3Statement+Schedules'!H47)</x:f>
        <x:v>0.08087976158980067</x:v>
      </x:c>
      <x:c r="M125" s="59" t="n">
        <x:f>'01_Historical+Segments'!H152/AVERAGE('03_3Statement+Schedules'!G45+ '03_3Statement+Schedules'!G46+ '03_3Statement+Schedules'!G47,'03_3Statement+Schedules'!H45+'03_3Statement+Schedules'!H46+'03_3Statement+Schedules'!H47)</x:f>
        <x:v>0.08087976158980067</x:v>
      </x:c>
      <x:c r="N125" s="2"/>
      <x:c r="O125" s="2"/>
    </x:row>
    <x:row r="126" ht="20" customHeight="1">
      <x:c r="A126" s="2"/>
      <x:c r="B126" s="2"/>
      <x:c r="C126" s="24" t="str">
        <x:v>Bull</x:v>
      </x:c>
      <x:c r="D126" s="25"/>
      <x:c r="E126" s="25"/>
      <x:c r="F126" s="25"/>
      <x:c r="G126" s="25"/>
      <x:c r="H126" s="25"/>
      <x:c r="I126" s="59" t="n">
        <x:f>'01_Historical+Segments'!H152/AVERAGE('03_3Statement+Schedules'!G45+ '03_3Statement+Schedules'!G46+ '03_3Statement+Schedules'!G47,'03_3Statement+Schedules'!H45+'03_3Statement+Schedules'!H46+'03_3Statement+Schedules'!H47)</x:f>
        <x:v>0.08087976158980067</x:v>
      </x:c>
      <x:c r="J126" s="59" t="n">
        <x:f>'01_Historical+Segments'!H152/AVERAGE('03_3Statement+Schedules'!G45+ '03_3Statement+Schedules'!G46+ '03_3Statement+Schedules'!G47,'03_3Statement+Schedules'!H45+'03_3Statement+Schedules'!H46+'03_3Statement+Schedules'!H47)</x:f>
        <x:v>0.08087976158980067</x:v>
      </x:c>
      <x:c r="K126" s="59" t="n">
        <x:f>'01_Historical+Segments'!H152/AVERAGE('03_3Statement+Schedules'!G45+ '03_3Statement+Schedules'!G46+ '03_3Statement+Schedules'!G47,'03_3Statement+Schedules'!H45+'03_3Statement+Schedules'!H46+'03_3Statement+Schedules'!H47)</x:f>
        <x:v>0.08087976158980067</x:v>
      </x:c>
      <x:c r="L126" s="59" t="n">
        <x:f>'01_Historical+Segments'!H152/AVERAGE('03_3Statement+Schedules'!G45+ '03_3Statement+Schedules'!G46+ '03_3Statement+Schedules'!G47,'03_3Statement+Schedules'!H45+'03_3Statement+Schedules'!H46+'03_3Statement+Schedules'!H47)</x:f>
        <x:v>0.08087976158980067</x:v>
      </x:c>
      <x:c r="M126" s="59" t="n">
        <x:f>'01_Historical+Segments'!H152/AVERAGE('03_3Statement+Schedules'!G45+ '03_3Statement+Schedules'!G46+ '03_3Statement+Schedules'!G47,'03_3Statement+Schedules'!H45+'03_3Statement+Schedules'!H46+'03_3Statement+Schedules'!H47)</x:f>
        <x:v>0.08087976158980067</x:v>
      </x:c>
      <x:c r="N126" s="2"/>
      <x:c r="O126" s="2"/>
    </x:row>
    <x:row r="127" ht="20" customHeight="1">
      <x:c r="A127" s="2"/>
      <x:c r="B127" s="2"/>
      <x:c r="C127" s="24" t="str">
        <x:v>Bear</x:v>
      </x:c>
      <x:c r="D127" s="25"/>
      <x:c r="E127" s="25"/>
      <x:c r="F127" s="25"/>
      <x:c r="G127" s="25"/>
      <x:c r="H127" s="25"/>
      <x:c r="I127" s="59" t="n">
        <x:f>'01_Historical+Segments'!H152/AVERAGE('03_3Statement+Schedules'!G45+ '03_3Statement+Schedules'!G46+ '03_3Statement+Schedules'!G47,'03_3Statement+Schedules'!H45+'03_3Statement+Schedules'!H46+'03_3Statement+Schedules'!H47)</x:f>
        <x:v>0.08087976158980067</x:v>
      </x:c>
      <x:c r="J127" s="59" t="n">
        <x:f>'01_Historical+Segments'!H152/AVERAGE('03_3Statement+Schedules'!G45+ '03_3Statement+Schedules'!G46+ '03_3Statement+Schedules'!G47,'03_3Statement+Schedules'!H45+'03_3Statement+Schedules'!H46+'03_3Statement+Schedules'!H47)</x:f>
        <x:v>0.08087976158980067</x:v>
      </x:c>
      <x:c r="K127" s="59" t="n">
        <x:f>'01_Historical+Segments'!H152/AVERAGE('03_3Statement+Schedules'!G45+ '03_3Statement+Schedules'!G46+ '03_3Statement+Schedules'!G47,'03_3Statement+Schedules'!H45+'03_3Statement+Schedules'!H46+'03_3Statement+Schedules'!H47)</x:f>
        <x:v>0.08087976158980067</x:v>
      </x:c>
      <x:c r="L127" s="59" t="n">
        <x:f>'01_Historical+Segments'!H152/AVERAGE('03_3Statement+Schedules'!G45+ '03_3Statement+Schedules'!G46+ '03_3Statement+Schedules'!G47,'03_3Statement+Schedules'!H45+'03_3Statement+Schedules'!H46+'03_3Statement+Schedules'!H47)</x:f>
        <x:v>0.08087976158980067</x:v>
      </x:c>
      <x:c r="M127" s="59" t="n">
        <x:f>'01_Historical+Segments'!H152/AVERAGE('03_3Statement+Schedules'!G45+ '03_3Statement+Schedules'!G46+ '03_3Statement+Schedules'!G47,'03_3Statement+Schedules'!H45+'03_3Statement+Schedules'!H46+'03_3Statement+Schedules'!H47)</x:f>
        <x:v>0.08087976158980067</x:v>
      </x:c>
      <x:c r="N127" s="2"/>
      <x:c r="O127" s="2"/>
    </x:row>
    <x:row r="128" ht="34" customHeight="1">
      <x:c r="A128" s="2"/>
      <x:c r="B128" s="2"/>
      <x:c r="C128" s="16" t="str">
        <x:v>FY26 costs / average borrowings, acceptances and lease liabilities. LC charges included; calibrated all-in proxy, not a bank coupon.</x:v>
      </x:c>
      <x:c r="D128" s="38"/>
      <x:c r="E128" s="38"/>
      <x:c r="F128" s="38"/>
      <x:c r="G128" s="38"/>
      <x:c r="H128" s="38"/>
      <x:c r="I128" s="38"/>
      <x:c r="J128" s="38"/>
      <x:c r="K128" s="38"/>
      <x:c r="L128" s="38"/>
      <x:c r="M128" s="38"/>
      <x:c r="N128" s="2"/>
      <x:c r="O128" s="2"/>
    </x:row>
    <x:row r="129" ht="20" customHeight="1">
      <x:c r="A129" s="2"/>
      <x:c r="B129" s="2"/>
      <x:c r="C129" s="31" t="str">
        <x:v>NCI share of total PAT</x:v>
      </x:c>
      <x:c r="D129" s="32"/>
      <x:c r="E129" s="32"/>
      <x:c r="F129" s="32"/>
      <x:c r="G129" s="32"/>
      <x:c r="H129" s="32"/>
      <x:c r="I129" s="41" t="n">
        <x:f>IF(CHOOSE($D$3,ISNUMBER(I130),ISNUMBER(I131),ISNUMBER(I132)),CHOOSE($D$3,I130,I131,I132),"n.a.")</x:f>
        <x:v>0.013437319890844391</x:v>
      </x:c>
      <x:c r="J129" s="41" t="n">
        <x:f>IF(CHOOSE($D$3,ISNUMBER(J130),ISNUMBER(J131),ISNUMBER(J132)),CHOOSE($D$3,J130,J131,J132),"n.a.")</x:f>
        <x:v>0.013437319890844391</x:v>
      </x:c>
      <x:c r="K129" s="41" t="n">
        <x:f>IF(CHOOSE($D$3,ISNUMBER(K130),ISNUMBER(K131),ISNUMBER(K132)),CHOOSE($D$3,K130,K131,K132),"n.a.")</x:f>
        <x:v>0.013437319890844391</x:v>
      </x:c>
      <x:c r="L129" s="41" t="n">
        <x:f>IF(CHOOSE($D$3,ISNUMBER(L130),ISNUMBER(L131),ISNUMBER(L132)),CHOOSE($D$3,L130,L131,L132),"n.a.")</x:f>
        <x:v>0.013437319890844391</x:v>
      </x:c>
      <x:c r="M129" s="41" t="n">
        <x:f>IF(CHOOSE($D$3,ISNUMBER(M130),ISNUMBER(M131),ISNUMBER(M132)),CHOOSE($D$3,M130,M131,M132),"n.a.")</x:f>
        <x:v>0.013437319890844391</x:v>
      </x:c>
      <x:c r="N129" s="2"/>
      <x:c r="O129" s="2"/>
    </x:row>
    <x:row r="130" ht="20" customHeight="1">
      <x:c r="A130" s="2"/>
      <x:c r="B130" s="2"/>
      <x:c r="C130" s="24" t="str">
        <x:v>Base</x:v>
      </x:c>
      <x:c r="D130" s="25"/>
      <x:c r="E130" s="25"/>
      <x:c r="F130" s="25"/>
      <x:c r="G130" s="25"/>
      <x:c r="H130" s="25"/>
      <x:c r="I130" s="59" t="n">
        <x:f>'01_Historical+Segments'!H161/'01_Historical+Segments'!H159</x:f>
        <x:v>0.013437319890844391</x:v>
      </x:c>
      <x:c r="J130" s="59" t="n">
        <x:f>'01_Historical+Segments'!H161/'01_Historical+Segments'!H159</x:f>
        <x:v>0.013437319890844391</x:v>
      </x:c>
      <x:c r="K130" s="59" t="n">
        <x:f>'01_Historical+Segments'!H161/'01_Historical+Segments'!H159</x:f>
        <x:v>0.013437319890844391</x:v>
      </x:c>
      <x:c r="L130" s="59" t="n">
        <x:f>'01_Historical+Segments'!H161/'01_Historical+Segments'!H159</x:f>
        <x:v>0.013437319890844391</x:v>
      </x:c>
      <x:c r="M130" s="59" t="n">
        <x:f>'01_Historical+Segments'!H161/'01_Historical+Segments'!H159</x:f>
        <x:v>0.013437319890844391</x:v>
      </x:c>
      <x:c r="N130" s="2"/>
      <x:c r="O130" s="2"/>
    </x:row>
    <x:row r="131" ht="20" customHeight="1">
      <x:c r="A131" s="2"/>
      <x:c r="B131" s="2"/>
      <x:c r="C131" s="24" t="str">
        <x:v>Bull</x:v>
      </x:c>
      <x:c r="D131" s="25"/>
      <x:c r="E131" s="25"/>
      <x:c r="F131" s="25"/>
      <x:c r="G131" s="25"/>
      <x:c r="H131" s="25"/>
      <x:c r="I131" s="59" t="n">
        <x:f>'01_Historical+Segments'!H161/'01_Historical+Segments'!H159</x:f>
        <x:v>0.013437319890844391</x:v>
      </x:c>
      <x:c r="J131" s="59" t="n">
        <x:f>'01_Historical+Segments'!H161/'01_Historical+Segments'!H159</x:f>
        <x:v>0.013437319890844391</x:v>
      </x:c>
      <x:c r="K131" s="59" t="n">
        <x:f>'01_Historical+Segments'!H161/'01_Historical+Segments'!H159</x:f>
        <x:v>0.013437319890844391</x:v>
      </x:c>
      <x:c r="L131" s="59" t="n">
        <x:f>'01_Historical+Segments'!H161/'01_Historical+Segments'!H159</x:f>
        <x:v>0.013437319890844391</x:v>
      </x:c>
      <x:c r="M131" s="59" t="n">
        <x:f>'01_Historical+Segments'!H161/'01_Historical+Segments'!H159</x:f>
        <x:v>0.013437319890844391</x:v>
      </x:c>
      <x:c r="N131" s="2"/>
      <x:c r="O131" s="2"/>
    </x:row>
    <x:row r="132" ht="20" customHeight="1">
      <x:c r="A132" s="2"/>
      <x:c r="B132" s="2"/>
      <x:c r="C132" s="24" t="str">
        <x:v>Bear</x:v>
      </x:c>
      <x:c r="D132" s="25"/>
      <x:c r="E132" s="25"/>
      <x:c r="F132" s="25"/>
      <x:c r="G132" s="25"/>
      <x:c r="H132" s="25"/>
      <x:c r="I132" s="59" t="n">
        <x:f>'01_Historical+Segments'!H161/'01_Historical+Segments'!H159</x:f>
        <x:v>0.013437319890844391</x:v>
      </x:c>
      <x:c r="J132" s="59" t="n">
        <x:f>'01_Historical+Segments'!H161/'01_Historical+Segments'!H159</x:f>
        <x:v>0.013437319890844391</x:v>
      </x:c>
      <x:c r="K132" s="59" t="n">
        <x:f>'01_Historical+Segments'!H161/'01_Historical+Segments'!H159</x:f>
        <x:v>0.013437319890844391</x:v>
      </x:c>
      <x:c r="L132" s="59" t="n">
        <x:f>'01_Historical+Segments'!H161/'01_Historical+Segments'!H159</x:f>
        <x:v>0.013437319890844391</x:v>
      </x:c>
      <x:c r="M132" s="59" t="n">
        <x:f>'01_Historical+Segments'!H161/'01_Historical+Segments'!H159</x:f>
        <x:v>0.013437319890844391</x:v>
      </x:c>
      <x:c r="N132" s="2"/>
      <x:c r="O132" s="2"/>
    </x:row>
    <x:row r="133" ht="34" customHeight="1">
      <x:c r="A133" s="2"/>
      <x:c r="B133" s="2"/>
      <x:c r="C133" s="16" t="str">
        <x:v>FY26 audited PAT attribution ratio held flat. NCI distributions assumed absent, consistent with latest reported flows.</x:v>
      </x:c>
      <x:c r="D133" s="38"/>
      <x:c r="E133" s="38"/>
      <x:c r="F133" s="38"/>
      <x:c r="G133" s="38"/>
      <x:c r="H133" s="38"/>
      <x:c r="I133" s="38"/>
      <x:c r="J133" s="38"/>
      <x:c r="K133" s="38"/>
      <x:c r="L133" s="38"/>
      <x:c r="M133" s="38"/>
      <x:c r="N133" s="2"/>
      <x:c r="O133" s="2"/>
    </x:row>
    <x:row r="134" ht="20" customHeight="1">
      <x:c r="A134" s="2"/>
      <x:c r="B134" s="2"/>
      <x:c r="C134" s="31" t="str">
        <x:v>Dividend payout of parent PAT</x:v>
      </x:c>
      <x:c r="D134" s="32"/>
      <x:c r="E134" s="32"/>
      <x:c r="F134" s="32"/>
      <x:c r="G134" s="32"/>
      <x:c r="H134" s="32"/>
      <x:c r="I134" s="41" t="n">
        <x:f>IF(CHOOSE($D$3,ISNUMBER(I135),ISNUMBER(I136),ISNUMBER(I137)),CHOOSE($D$3,I135,I136,I137),"n.a.")</x:f>
        <x:v>0.3</x:v>
      </x:c>
      <x:c r="J134" s="41" t="n">
        <x:f>IF(CHOOSE($D$3,ISNUMBER(J135),ISNUMBER(J136),ISNUMBER(J137)),CHOOSE($D$3,J135,J136,J137),"n.a.")</x:f>
        <x:v>0.3</x:v>
      </x:c>
      <x:c r="K134" s="41" t="n">
        <x:f>IF(CHOOSE($D$3,ISNUMBER(K135),ISNUMBER(K136),ISNUMBER(K137)),CHOOSE($D$3,K135,K136,K137),"n.a.")</x:f>
        <x:v>0.3</x:v>
      </x:c>
      <x:c r="L134" s="41" t="n">
        <x:f>IF(CHOOSE($D$3,ISNUMBER(L135),ISNUMBER(L136),ISNUMBER(L137)),CHOOSE($D$3,L135,L136,L137),"n.a.")</x:f>
        <x:v>0.31</x:v>
      </x:c>
      <x:c r="M134" s="41" t="n">
        <x:f>IF(CHOOSE($D$3,ISNUMBER(M135),ISNUMBER(M136),ISNUMBER(M137)),CHOOSE($D$3,M135,M136,M137),"n.a.")</x:f>
        <x:v>0.31</x:v>
      </x:c>
      <x:c r="N134" s="2"/>
      <x:c r="O134" s="2"/>
    </x:row>
    <x:row r="135" ht="20" customHeight="1">
      <x:c r="A135" s="2"/>
      <x:c r="B135" s="2"/>
      <x:c r="C135" s="24" t="str">
        <x:v>Base</x:v>
      </x:c>
      <x:c r="D135" s="25"/>
      <x:c r="E135" s="25"/>
      <x:c r="F135" s="25"/>
      <x:c r="G135" s="25"/>
      <x:c r="H135" s="25"/>
      <x:c r="I135" s="40" t="n">
        <x:v>0.3</x:v>
      </x:c>
      <x:c r="J135" s="40" t="n">
        <x:v>0.3</x:v>
      </x:c>
      <x:c r="K135" s="40" t="n">
        <x:v>0.3</x:v>
      </x:c>
      <x:c r="L135" s="40" t="n">
        <x:v>0.31</x:v>
      </x:c>
      <x:c r="M135" s="40" t="n">
        <x:v>0.31</x:v>
      </x:c>
      <x:c r="N135" s="2"/>
      <x:c r="O135" s="2"/>
    </x:row>
    <x:row r="136" ht="20" customHeight="1">
      <x:c r="A136" s="2"/>
      <x:c r="B136" s="2"/>
      <x:c r="C136" s="24" t="str">
        <x:v>Bull</x:v>
      </x:c>
      <x:c r="D136" s="25"/>
      <x:c r="E136" s="25"/>
      <x:c r="F136" s="25"/>
      <x:c r="G136" s="25"/>
      <x:c r="H136" s="25"/>
      <x:c r="I136" s="40" t="n">
        <x:v>0.3</x:v>
      </x:c>
      <x:c r="J136" s="40" t="n">
        <x:v>0.3</x:v>
      </x:c>
      <x:c r="K136" s="40" t="n">
        <x:v>0.31</x:v>
      </x:c>
      <x:c r="L136" s="40" t="n">
        <x:v>0.32</x:v>
      </x:c>
      <x:c r="M136" s="40" t="n">
        <x:v>0.32</x:v>
      </x:c>
      <x:c r="N136" s="2"/>
      <x:c r="O136" s="2"/>
    </x:row>
    <x:row r="137" ht="20" customHeight="1">
      <x:c r="A137" s="2"/>
      <x:c r="B137" s="2"/>
      <x:c r="C137" s="24" t="str">
        <x:v>Bear</x:v>
      </x:c>
      <x:c r="D137" s="25"/>
      <x:c r="E137" s="25"/>
      <x:c r="F137" s="25"/>
      <x:c r="G137" s="25"/>
      <x:c r="H137" s="25"/>
      <x:c r="I137" s="40" t="n">
        <x:v>0.272</x:v>
      </x:c>
      <x:c r="J137" s="40" t="n">
        <x:v>0.28</x:v>
      </x:c>
      <x:c r="K137" s="40" t="n">
        <x:v>0.29</x:v>
      </x:c>
      <x:c r="L137" s="40" t="n">
        <x:v>0.3</x:v>
      </x:c>
      <x:c r="M137" s="40" t="n">
        <x:v>0.3</x:v>
      </x:c>
      <x:c r="N137" s="2"/>
      <x:c r="O137" s="2"/>
    </x:row>
    <x:row r="138" ht="34" customHeight="1">
      <x:c r="A138" s="2"/>
      <x:c r="B138" s="2"/>
      <x:c r="C138" s="16" t="str">
        <x:v>Analyst 30% near-term / 31% by FY30, versus FY26 declared ~27.2% and Spring &gt;30%. Same-year cash-payment convention. S06.</x:v>
      </x:c>
      <x:c r="D138" s="38"/>
      <x:c r="E138" s="38"/>
      <x:c r="F138" s="38"/>
      <x:c r="G138" s="38"/>
      <x:c r="H138" s="38"/>
      <x:c r="I138" s="38"/>
      <x:c r="J138" s="38"/>
      <x:c r="K138" s="38"/>
      <x:c r="L138" s="38"/>
      <x:c r="M138" s="38"/>
      <x:c r="N138" s="2"/>
      <x:c r="O138" s="2"/>
    </x:row>
    <x:row r="139" ht="20" customHeight="1">
      <x:c r="A139" s="2"/>
      <x:c r="B139" s="2"/>
      <x:c r="C139" s="47" t="str">
        <x:v>New ROU assets and lease debt</x:v>
      </x:c>
      <x:c r="D139" s="54"/>
      <x:c r="E139" s="54"/>
      <x:c r="F139" s="54"/>
      <x:c r="G139" s="54"/>
      <x:c r="H139" s="54"/>
      <x:c r="I139" s="56" t="n">
        <x:f>IF(CHOOSE($D$3,ISNUMBER(I140),ISNUMBER(I141),ISNUMBER(I142)),CHOOSE($D$3,I140,I141,I142),"n.a.")</x:f>
        <x:v>248.42</x:v>
      </x:c>
      <x:c r="J139" s="56" t="n">
        <x:f>IF(CHOOSE($D$3,ISNUMBER(J140),ISNUMBER(J141),ISNUMBER(J142)),CHOOSE($D$3,J140,J141,J142),"n.a.")</x:f>
        <x:v>248.42</x:v>
      </x:c>
      <x:c r="K139" s="56" t="n">
        <x:f>IF(CHOOSE($D$3,ISNUMBER(K140),ISNUMBER(K141),ISNUMBER(K142)),CHOOSE($D$3,K140,K141,K142),"n.a.")</x:f>
        <x:v>248.42</x:v>
      </x:c>
      <x:c r="L139" s="56" t="n">
        <x:f>IF(CHOOSE($D$3,ISNUMBER(L140),ISNUMBER(L141),ISNUMBER(L142)),CHOOSE($D$3,L140,L141,L142),"n.a.")</x:f>
        <x:v>248.42</x:v>
      </x:c>
      <x:c r="M139" s="56" t="n">
        <x:f>IF(CHOOSE($D$3,ISNUMBER(M140),ISNUMBER(M141),ISNUMBER(M142)),CHOOSE($D$3,M140,M141,M142),"n.a.")</x:f>
        <x:v>248.42</x:v>
      </x:c>
      <x:c r="N139" s="2"/>
      <x:c r="O139" s="2"/>
    </x:row>
    <x:row r="140" ht="20" customHeight="1">
      <x:c r="A140" s="2"/>
      <x:c r="B140" s="2"/>
      <x:c r="C140" s="2" t="str">
        <x:v>Base</x:v>
      </x:c>
      <x:c r="D140" s="3"/>
      <x:c r="E140" s="3"/>
      <x:c r="F140" s="3"/>
      <x:c r="G140" s="3"/>
      <x:c r="H140" s="3"/>
      <x:c r="I140" s="60" t="n">
        <x:f>-'01_Historical+Segments'!H242</x:f>
        <x:v>248.42</x:v>
      </x:c>
      <x:c r="J140" s="60" t="n">
        <x:f>-'01_Historical+Segments'!H242</x:f>
        <x:v>248.42</x:v>
      </x:c>
      <x:c r="K140" s="60" t="n">
        <x:f>-'01_Historical+Segments'!H242</x:f>
        <x:v>248.42</x:v>
      </x:c>
      <x:c r="L140" s="60" t="n">
        <x:f>-'01_Historical+Segments'!H242</x:f>
        <x:v>248.42</x:v>
      </x:c>
      <x:c r="M140" s="60" t="n">
        <x:f>-'01_Historical+Segments'!H242</x:f>
        <x:v>248.42</x:v>
      </x:c>
      <x:c r="N140" s="2"/>
      <x:c r="O140" s="2"/>
    </x:row>
    <x:row r="141" ht="20" customHeight="1">
      <x:c r="A141" s="2"/>
      <x:c r="B141" s="2"/>
      <x:c r="C141" s="2" t="str">
        <x:v>Bull</x:v>
      </x:c>
      <x:c r="D141" s="3"/>
      <x:c r="E141" s="3"/>
      <x:c r="F141" s="3"/>
      <x:c r="G141" s="3"/>
      <x:c r="H141" s="3"/>
      <x:c r="I141" s="60" t="n">
        <x:f>-'01_Historical+Segments'!H242</x:f>
        <x:v>248.42</x:v>
      </x:c>
      <x:c r="J141" s="60" t="n">
        <x:f>-'01_Historical+Segments'!H242</x:f>
        <x:v>248.42</x:v>
      </x:c>
      <x:c r="K141" s="60" t="n">
        <x:f>-'01_Historical+Segments'!H242</x:f>
        <x:v>248.42</x:v>
      </x:c>
      <x:c r="L141" s="60" t="n">
        <x:f>-'01_Historical+Segments'!H242</x:f>
        <x:v>248.42</x:v>
      </x:c>
      <x:c r="M141" s="60" t="n">
        <x:f>-'01_Historical+Segments'!H242</x:f>
        <x:v>248.42</x:v>
      </x:c>
      <x:c r="N141" s="2"/>
      <x:c r="O141" s="2"/>
    </x:row>
    <x:row r="142" ht="20" customHeight="1">
      <x:c r="A142" s="2"/>
      <x:c r="B142" s="2"/>
      <x:c r="C142" s="2" t="str">
        <x:v>Bear</x:v>
      </x:c>
      <x:c r="D142" s="3"/>
      <x:c r="E142" s="3"/>
      <x:c r="F142" s="3"/>
      <x:c r="G142" s="3"/>
      <x:c r="H142" s="3"/>
      <x:c r="I142" s="60" t="n">
        <x:f>-'01_Historical+Segments'!H242</x:f>
        <x:v>248.42</x:v>
      </x:c>
      <x:c r="J142" s="60" t="n">
        <x:f>-'01_Historical+Segments'!H242</x:f>
        <x:v>248.42</x:v>
      </x:c>
      <x:c r="K142" s="60" t="n">
        <x:f>-'01_Historical+Segments'!H242</x:f>
        <x:v>248.42</x:v>
      </x:c>
      <x:c r="L142" s="60" t="n">
        <x:f>-'01_Historical+Segments'!H242</x:f>
        <x:v>248.42</x:v>
      </x:c>
      <x:c r="M142" s="60" t="n">
        <x:f>-'01_Historical+Segments'!H242</x:f>
        <x:v>248.42</x:v>
      </x:c>
      <x:c r="N142" s="2"/>
      <x:c r="O142" s="2"/>
    </x:row>
    <x:row r="143" ht="34" customHeight="1">
      <x:c r="A143" s="2"/>
      <x:c r="B143" s="2"/>
      <x:c r="C143" s="16" t="str">
        <x:v>Renewal-only convention: additions equal trailing FY26 cash lease principal. Maintains lease balance; no speculative new leases/grants.</x:v>
      </x:c>
      <x:c r="D143" s="38"/>
      <x:c r="E143" s="38"/>
      <x:c r="F143" s="38"/>
      <x:c r="G143" s="38"/>
      <x:c r="H143" s="38"/>
      <x:c r="I143" s="38"/>
      <x:c r="J143" s="38"/>
      <x:c r="K143" s="38"/>
      <x:c r="L143" s="38"/>
      <x:c r="M143" s="38"/>
      <x:c r="N143" s="2"/>
      <x:c r="O143" s="2"/>
    </x:row>
    <x:row r="144" ht="20" customHeight="1">
      <x:c r="A144" s="2"/>
      <x:c r="B144" s="2"/>
      <x:c r="C144" s="47" t="str">
        <x:v>Diluted shares (million)</x:v>
      </x:c>
      <x:c r="D144" s="63" t="n">
        <x:f>'01_Historical+Segments'!D166</x:f>
        <x:v>149.923144</x:v>
      </x:c>
      <x:c r="E144" s="63" t="n">
        <x:f>'01_Historical+Segments'!E166</x:f>
        <x:v>150.099705</x:v>
      </x:c>
      <x:c r="F144" s="63" t="n">
        <x:f>'01_Historical+Segments'!F166</x:f>
        <x:v>150.566475</x:v>
      </x:c>
      <x:c r="G144" s="63" t="n">
        <x:f>'01_Historical+Segments'!G166</x:f>
        <x:v>150.974137</x:v>
      </x:c>
      <x:c r="H144" s="63" t="n">
        <x:f>'01_Historical+Segments'!H166</x:f>
        <x:v>151.001427</x:v>
      </x:c>
      <x:c r="I144" s="56" t="n">
        <x:f>IF(CHOOSE($D$3,ISNUMBER(I145),ISNUMBER(I146),ISNUMBER(I147)),CHOOSE($D$3,I145,I146,I147),"n.a.")</x:f>
        <x:v>151.001427</x:v>
      </x:c>
      <x:c r="J144" s="56" t="n">
        <x:f>IF(CHOOSE($D$3,ISNUMBER(J145),ISNUMBER(J146),ISNUMBER(J147)),CHOOSE($D$3,J145,J146,J147),"n.a.")</x:f>
        <x:v>151.001427</x:v>
      </x:c>
      <x:c r="K144" s="56" t="n">
        <x:f>IF(CHOOSE($D$3,ISNUMBER(K145),ISNUMBER(K146),ISNUMBER(K147)),CHOOSE($D$3,K145,K146,K147),"n.a.")</x:f>
        <x:v>151.001427</x:v>
      </x:c>
      <x:c r="L144" s="56" t="n">
        <x:f>IF(CHOOSE($D$3,ISNUMBER(L145),ISNUMBER(L146),ISNUMBER(L147)),CHOOSE($D$3,L145,L146,L147),"n.a.")</x:f>
        <x:v>151.001427</x:v>
      </x:c>
      <x:c r="M144" s="56" t="n">
        <x:f>IF(CHOOSE($D$3,ISNUMBER(M145),ISNUMBER(M146),ISNUMBER(M147)),CHOOSE($D$3,M145,M146,M147),"n.a.")</x:f>
        <x:v>151.001427</x:v>
      </x:c>
      <x:c r="N144" s="2"/>
      <x:c r="O144" s="2"/>
    </x:row>
    <x:row r="145" ht="20" customHeight="1">
      <x:c r="A145" s="2"/>
      <x:c r="B145" s="2"/>
      <x:c r="C145" s="2" t="str">
        <x:v>Base</x:v>
      </x:c>
      <x:c r="D145" s="3"/>
      <x:c r="E145" s="3"/>
      <x:c r="F145" s="3"/>
      <x:c r="G145" s="3"/>
      <x:c r="H145" s="3"/>
      <x:c r="I145" s="60" t="n">
        <x:f>'01_Historical+Segments'!H166</x:f>
        <x:v>151.001427</x:v>
      </x:c>
      <x:c r="J145" s="60" t="n">
        <x:f>'01_Historical+Segments'!H166</x:f>
        <x:v>151.001427</x:v>
      </x:c>
      <x:c r="K145" s="60" t="n">
        <x:f>'01_Historical+Segments'!H166</x:f>
        <x:v>151.001427</x:v>
      </x:c>
      <x:c r="L145" s="60" t="n">
        <x:f>'01_Historical+Segments'!H166</x:f>
        <x:v>151.001427</x:v>
      </x:c>
      <x:c r="M145" s="60" t="n">
        <x:f>'01_Historical+Segments'!H166</x:f>
        <x:v>151.001427</x:v>
      </x:c>
      <x:c r="N145" s="2"/>
      <x:c r="O145" s="2"/>
    </x:row>
    <x:row r="146" ht="20" customHeight="1">
      <x:c r="A146" s="2"/>
      <x:c r="B146" s="2"/>
      <x:c r="C146" s="2" t="str">
        <x:v>Bull</x:v>
      </x:c>
      <x:c r="D146" s="3"/>
      <x:c r="E146" s="3"/>
      <x:c r="F146" s="3"/>
      <x:c r="G146" s="3"/>
      <x:c r="H146" s="3"/>
      <x:c r="I146" s="60" t="n">
        <x:f>'01_Historical+Segments'!H166</x:f>
        <x:v>151.001427</x:v>
      </x:c>
      <x:c r="J146" s="60" t="n">
        <x:f>'01_Historical+Segments'!H166</x:f>
        <x:v>151.001427</x:v>
      </x:c>
      <x:c r="K146" s="60" t="n">
        <x:f>'01_Historical+Segments'!H166</x:f>
        <x:v>151.001427</x:v>
      </x:c>
      <x:c r="L146" s="60" t="n">
        <x:f>'01_Historical+Segments'!H166</x:f>
        <x:v>151.001427</x:v>
      </x:c>
      <x:c r="M146" s="60" t="n">
        <x:f>'01_Historical+Segments'!H166</x:f>
        <x:v>151.001427</x:v>
      </x:c>
      <x:c r="N146" s="2"/>
      <x:c r="O146" s="2"/>
    </x:row>
    <x:row r="147" ht="20" customHeight="1">
      <x:c r="A147" s="2"/>
      <x:c r="B147" s="2"/>
      <x:c r="C147" s="2" t="str">
        <x:v>Bear</x:v>
      </x:c>
      <x:c r="D147" s="3"/>
      <x:c r="E147" s="3"/>
      <x:c r="F147" s="3"/>
      <x:c r="G147" s="3"/>
      <x:c r="H147" s="3"/>
      <x:c r="I147" s="60" t="n">
        <x:f>'01_Historical+Segments'!H166</x:f>
        <x:v>151.001427</x:v>
      </x:c>
      <x:c r="J147" s="60" t="n">
        <x:f>'01_Historical+Segments'!H166</x:f>
        <x:v>151.001427</x:v>
      </x:c>
      <x:c r="K147" s="60" t="n">
        <x:f>'01_Historical+Segments'!H166</x:f>
        <x:v>151.001427</x:v>
      </x:c>
      <x:c r="L147" s="60" t="n">
        <x:f>'01_Historical+Segments'!H166</x:f>
        <x:v>151.001427</x:v>
      </x:c>
      <x:c r="M147" s="60" t="n">
        <x:f>'01_Historical+Segments'!H166</x:f>
        <x:v>151.001427</x:v>
      </x:c>
      <x:c r="N147" s="2"/>
      <x:c r="O147" s="2"/>
    </x:row>
    <x:row r="148" ht="34" customHeight="1">
      <x:c r="A148" s="2"/>
      <x:c r="B148" s="2"/>
      <x:c r="C148" s="16" t="str">
        <x:v>FY26 weighted-average diluted share base held flat. No unannounced issue or buyback assumed; per-share valuation remains provisional.</x:v>
      </x:c>
      <x:c r="D148" s="38"/>
      <x:c r="E148" s="38"/>
      <x:c r="F148" s="38"/>
      <x:c r="G148" s="38"/>
      <x:c r="H148" s="38"/>
      <x:c r="I148" s="38"/>
      <x:c r="J148" s="38"/>
      <x:c r="K148" s="38"/>
      <x:c r="L148" s="38"/>
      <x:c r="M148" s="38"/>
      <x:c r="N148" s="2"/>
      <x:c r="O148" s="2"/>
    </x:row>
    <x:row r="149" ht="20" customHeight="1">
      <x:c r="A149" s="2"/>
      <x:c r="B149" s="2"/>
      <x:c r="C149" s="47" t="str">
        <x:v>Net new conventional borrowings</x:v>
      </x:c>
      <x:c r="D149" s="54"/>
      <x:c r="E149" s="54"/>
      <x:c r="F149" s="54"/>
      <x:c r="G149" s="54"/>
      <x:c r="H149" s="54"/>
      <x:c r="I149" s="56" t="n">
        <x:f>IF(CHOOSE($D$3,ISNUMBER(I150),ISNUMBER(I151),ISNUMBER(I152)),CHOOSE($D$3,I150,I151,I152),"n.a.")</x:f>
        <x:v>0</x:v>
      </x:c>
      <x:c r="J149" s="56" t="n">
        <x:f>IF(CHOOSE($D$3,ISNUMBER(J150),ISNUMBER(J151),ISNUMBER(J152)),CHOOSE($D$3,J150,J151,J152),"n.a.")</x:f>
        <x:v>0</x:v>
      </x:c>
      <x:c r="K149" s="56" t="n">
        <x:f>IF(CHOOSE($D$3,ISNUMBER(K150),ISNUMBER(K151),ISNUMBER(K152)),CHOOSE($D$3,K150,K151,K152),"n.a.")</x:f>
        <x:v>0</x:v>
      </x:c>
      <x:c r="L149" s="56" t="n">
        <x:f>IF(CHOOSE($D$3,ISNUMBER(L150),ISNUMBER(L151),ISNUMBER(L152)),CHOOSE($D$3,L150,L151,L152),"n.a.")</x:f>
        <x:v>0</x:v>
      </x:c>
      <x:c r="M149" s="56" t="n">
        <x:f>IF(CHOOSE($D$3,ISNUMBER(M150),ISNUMBER(M151),ISNUMBER(M152)),CHOOSE($D$3,M150,M151,M152),"n.a.")</x:f>
        <x:v>0</x:v>
      </x:c>
      <x:c r="N149" s="2"/>
      <x:c r="O149" s="2"/>
    </x:row>
    <x:row r="150" ht="20" customHeight="1">
      <x:c r="A150" s="2"/>
      <x:c r="B150" s="2"/>
      <x:c r="C150" s="2" t="str">
        <x:v>Base</x:v>
      </x:c>
      <x:c r="D150" s="3"/>
      <x:c r="E150" s="3"/>
      <x:c r="F150" s="3"/>
      <x:c r="G150" s="3"/>
      <x:c r="H150" s="3"/>
      <x:c r="I150" s="55" t="n">
        <x:v>0</x:v>
      </x:c>
      <x:c r="J150" s="55" t="n">
        <x:v>0</x:v>
      </x:c>
      <x:c r="K150" s="55" t="n">
        <x:v>0</x:v>
      </x:c>
      <x:c r="L150" s="55" t="n">
        <x:v>0</x:v>
      </x:c>
      <x:c r="M150" s="55" t="n">
        <x:v>0</x:v>
      </x:c>
      <x:c r="N150" s="2"/>
      <x:c r="O150" s="2"/>
    </x:row>
    <x:row r="151" ht="20" customHeight="1">
      <x:c r="A151" s="2"/>
      <x:c r="B151" s="2"/>
      <x:c r="C151" s="2" t="str">
        <x:v>Bull</x:v>
      </x:c>
      <x:c r="D151" s="3"/>
      <x:c r="E151" s="3"/>
      <x:c r="F151" s="3"/>
      <x:c r="G151" s="3"/>
      <x:c r="H151" s="3"/>
      <x:c r="I151" s="55" t="n">
        <x:v>0</x:v>
      </x:c>
      <x:c r="J151" s="55" t="n">
        <x:v>0</x:v>
      </x:c>
      <x:c r="K151" s="55" t="n">
        <x:v>0</x:v>
      </x:c>
      <x:c r="L151" s="55" t="n">
        <x:v>0</x:v>
      </x:c>
      <x:c r="M151" s="55" t="n">
        <x:v>0</x:v>
      </x:c>
      <x:c r="N151" s="2"/>
      <x:c r="O151" s="2"/>
    </x:row>
    <x:row r="152" ht="20" customHeight="1">
      <x:c r="A152" s="2"/>
      <x:c r="B152" s="2"/>
      <x:c r="C152" s="2" t="str">
        <x:v>Bear</x:v>
      </x:c>
      <x:c r="D152" s="3"/>
      <x:c r="E152" s="3"/>
      <x:c r="F152" s="3"/>
      <x:c r="G152" s="3"/>
      <x:c r="H152" s="3"/>
      <x:c r="I152" s="55" t="n">
        <x:v>0</x:v>
      </x:c>
      <x:c r="J152" s="55" t="n">
        <x:v>0</x:v>
      </x:c>
      <x:c r="K152" s="55" t="n">
        <x:v>0</x:v>
      </x:c>
      <x:c r="L152" s="55" t="n">
        <x:v>0</x:v>
      </x:c>
      <x:c r="M152" s="55" t="n">
        <x:v>0</x:v>
      </x:c>
      <x:c r="N152" s="2"/>
      <x:c r="O152" s="2"/>
    </x:row>
    <x:row r="153" ht="34" customHeight="1">
      <x:c r="A153" s="2"/>
      <x:c r="B153" s="2"/>
      <x:c r="C153" s="16" t="str">
        <x:v>No committed new borrowing in forecast evidence. Existing debt maintained; funding shortfalls are exposed by liquidity, not plugged.</x:v>
      </x:c>
      <x:c r="D153" s="38"/>
      <x:c r="E153" s="38"/>
      <x:c r="F153" s="38"/>
      <x:c r="G153" s="38"/>
      <x:c r="H153" s="38"/>
      <x:c r="I153" s="38"/>
      <x:c r="J153" s="38"/>
      <x:c r="K153" s="38"/>
      <x:c r="L153" s="38"/>
      <x:c r="M153" s="38"/>
      <x:c r="N153" s="2"/>
      <x:c r="O153" s="2"/>
    </x:row>
    <x:row r="154" ht="20" customHeight="1">
      <x:c r="A154" s="2"/>
      <x:c r="B154" s="2"/>
      <x:c r="C154" s="47" t="str">
        <x:v>Cash proceeds / book value of disposals</x:v>
      </x:c>
      <x:c r="D154" s="54"/>
      <x:c r="E154" s="54"/>
      <x:c r="F154" s="54"/>
      <x:c r="G154" s="54"/>
      <x:c r="H154" s="54"/>
      <x:c r="I154" s="56" t="n">
        <x:f>IF(CHOOSE($D$3,ISNUMBER(I155),ISNUMBER(I156),ISNUMBER(I157)),CHOOSE($D$3,I155,I156,I157),"n.a.")</x:f>
        <x:v>0</x:v>
      </x:c>
      <x:c r="J154" s="56" t="n">
        <x:f>IF(CHOOSE($D$3,ISNUMBER(J155),ISNUMBER(J156),ISNUMBER(J157)),CHOOSE($D$3,J155,J156,J157),"n.a.")</x:f>
        <x:v>0</x:v>
      </x:c>
      <x:c r="K154" s="56" t="n">
        <x:f>IF(CHOOSE($D$3,ISNUMBER(K155),ISNUMBER(K156),ISNUMBER(K157)),CHOOSE($D$3,K155,K156,K157),"n.a.")</x:f>
        <x:v>0</x:v>
      </x:c>
      <x:c r="L154" s="56" t="n">
        <x:f>IF(CHOOSE($D$3,ISNUMBER(L155),ISNUMBER(L156),ISNUMBER(L157)),CHOOSE($D$3,L155,L156,L157),"n.a.")</x:f>
        <x:v>0</x:v>
      </x:c>
      <x:c r="M154" s="56" t="n">
        <x:f>IF(CHOOSE($D$3,ISNUMBER(M155),ISNUMBER(M156),ISNUMBER(M157)),CHOOSE($D$3,M155,M156,M157),"n.a.")</x:f>
        <x:v>0</x:v>
      </x:c>
      <x:c r="N154" s="2"/>
      <x:c r="O154" s="2"/>
    </x:row>
    <x:row r="155" ht="20" customHeight="1">
      <x:c r="A155" s="2"/>
      <x:c r="B155" s="2"/>
      <x:c r="C155" s="2" t="str">
        <x:v>Base</x:v>
      </x:c>
      <x:c r="D155" s="3"/>
      <x:c r="E155" s="3"/>
      <x:c r="F155" s="3"/>
      <x:c r="G155" s="3"/>
      <x:c r="H155" s="3"/>
      <x:c r="I155" s="55" t="n">
        <x:v>0</x:v>
      </x:c>
      <x:c r="J155" s="55" t="n">
        <x:v>0</x:v>
      </x:c>
      <x:c r="K155" s="55" t="n">
        <x:v>0</x:v>
      </x:c>
      <x:c r="L155" s="55" t="n">
        <x:v>0</x:v>
      </x:c>
      <x:c r="M155" s="55" t="n">
        <x:v>0</x:v>
      </x:c>
      <x:c r="N155" s="2"/>
      <x:c r="O155" s="2"/>
    </x:row>
    <x:row r="156" ht="20" customHeight="1">
      <x:c r="A156" s="2"/>
      <x:c r="B156" s="2"/>
      <x:c r="C156" s="2" t="str">
        <x:v>Bull</x:v>
      </x:c>
      <x:c r="D156" s="3"/>
      <x:c r="E156" s="3"/>
      <x:c r="F156" s="3"/>
      <x:c r="G156" s="3"/>
      <x:c r="H156" s="3"/>
      <x:c r="I156" s="55" t="n">
        <x:v>0</x:v>
      </x:c>
      <x:c r="J156" s="55" t="n">
        <x:v>0</x:v>
      </x:c>
      <x:c r="K156" s="55" t="n">
        <x:v>0</x:v>
      </x:c>
      <x:c r="L156" s="55" t="n">
        <x:v>0</x:v>
      </x:c>
      <x:c r="M156" s="55" t="n">
        <x:v>0</x:v>
      </x:c>
      <x:c r="N156" s="2"/>
      <x:c r="O156" s="2"/>
    </x:row>
    <x:row r="157" ht="20" customHeight="1">
      <x:c r="A157" s="2"/>
      <x:c r="B157" s="2"/>
      <x:c r="C157" s="2" t="str">
        <x:v>Bear</x:v>
      </x:c>
      <x:c r="D157" s="3"/>
      <x:c r="E157" s="3"/>
      <x:c r="F157" s="3"/>
      <x:c r="G157" s="3"/>
      <x:c r="H157" s="3"/>
      <x:c r="I157" s="55" t="n">
        <x:v>0</x:v>
      </x:c>
      <x:c r="J157" s="55" t="n">
        <x:v>0</x:v>
      </x:c>
      <x:c r="K157" s="55" t="n">
        <x:v>0</x:v>
      </x:c>
      <x:c r="L157" s="55" t="n">
        <x:v>0</x:v>
      </x:c>
      <x:c r="M157" s="55" t="n">
        <x:v>0</x:v>
      </x:c>
      <x:c r="N157" s="2"/>
      <x:c r="O157" s="2"/>
    </x:row>
    <x:row r="158" ht="34" customHeight="1">
      <x:c r="A158" s="2"/>
      <x:c r="B158" s="2"/>
      <x:c r="C158" s="16" t="str">
        <x:v>No disposal programme specified. No forecast proceeds or disposal book adjustment; historical actual disposals remain intact.</x:v>
      </x:c>
      <x:c r="D158" s="38"/>
      <x:c r="E158" s="38"/>
      <x:c r="F158" s="38"/>
      <x:c r="G158" s="38"/>
      <x:c r="H158" s="38"/>
      <x:c r="I158" s="38"/>
      <x:c r="J158" s="38"/>
      <x:c r="K158" s="38"/>
      <x:c r="L158" s="38"/>
      <x:c r="M158" s="38"/>
      <x:c r="N158" s="2"/>
      <x:c r="O158" s="2"/>
    </x:row>
    <x:row r="159" ht="20" customHeight="1">
      <x:c r="A159" s="2"/>
      <x:c r="B159" s="2"/>
      <x:c r="C159" s="2"/>
      <x:c r="D159" s="3"/>
      <x:c r="E159" s="3"/>
      <x:c r="F159" s="3"/>
      <x:c r="G159" s="3"/>
      <x:c r="H159" s="3"/>
      <x:c r="I159" s="3"/>
      <x:c r="J159" s="3"/>
      <x:c r="K159" s="3"/>
      <x:c r="L159" s="3"/>
      <x:c r="M159" s="3"/>
      <x:c r="N159" s="2"/>
      <x:c r="O159" s="2"/>
    </x:row>
    <x:row r="160" ht="20" customHeight="1">
      <x:c r="A160" s="2"/>
      <x:c r="B160" s="2"/>
      <x:c r="C160" s="2"/>
      <x:c r="D160" s="3"/>
      <x:c r="E160" s="3"/>
      <x:c r="F160" s="3"/>
      <x:c r="G160" s="3"/>
      <x:c r="H160" s="3"/>
      <x:c r="I160" s="3"/>
      <x:c r="J160" s="3"/>
      <x:c r="K160" s="3"/>
      <x:c r="L160" s="3"/>
      <x:c r="M160" s="3"/>
      <x:c r="N160" s="2"/>
      <x:c r="O160" s="2"/>
    </x:row>
    <x:row r="161" ht="20" customHeight="1">
      <x:c r="A161" s="2"/>
      <x:c r="B161" s="2"/>
      <x:c r="C161" s="2"/>
      <x:c r="D161" s="3"/>
      <x:c r="E161" s="3"/>
      <x:c r="F161" s="3"/>
      <x:c r="G161" s="3"/>
      <x:c r="H161" s="3"/>
      <x:c r="I161" s="3"/>
      <x:c r="J161" s="3"/>
      <x:c r="K161" s="3"/>
      <x:c r="L161" s="3"/>
      <x:c r="M161" s="3"/>
      <x:c r="N161" s="2"/>
      <x:c r="O161" s="2"/>
    </x:row>
    <x:row r="162" ht="20" customHeight="1">
      <x:c r="A162" s="2"/>
      <x:c r="B162" s="2"/>
      <x:c r="C162" s="2"/>
      <x:c r="D162" s="3"/>
      <x:c r="E162" s="3"/>
      <x:c r="F162" s="3"/>
      <x:c r="G162" s="3"/>
      <x:c r="H162" s="3"/>
      <x:c r="I162" s="3"/>
      <x:c r="J162" s="3"/>
      <x:c r="K162" s="3"/>
      <x:c r="L162" s="3"/>
      <x:c r="M162" s="3"/>
      <x:c r="N162" s="2"/>
      <x:c r="O162" s="2"/>
    </x:row>
    <x:row r="163" ht="20" customHeight="1">
      <x:c r="A163" s="2"/>
      <x:c r="B163" s="2"/>
      <x:c r="C163" s="2"/>
      <x:c r="D163" s="3"/>
      <x:c r="E163" s="3"/>
      <x:c r="F163" s="3"/>
      <x:c r="G163" s="3"/>
      <x:c r="H163" s="3"/>
      <x:c r="I163" s="3"/>
      <x:c r="J163" s="3"/>
      <x:c r="K163" s="3"/>
      <x:c r="L163" s="3"/>
      <x:c r="M163" s="3"/>
      <x:c r="N163" s="2"/>
      <x:c r="O163" s="2"/>
    </x:row>
    <x:row r="164" ht="24" customHeight="1">
      <x:c r="A164" s="2"/>
      <x:c r="B164" s="2"/>
      <x:c r="C164" s="11" t="str">
        <x:v>Evidence updates and case interpretation</x:v>
      </x:c>
      <x:c r="D164" s="19"/>
      <x:c r="E164" s="19"/>
      <x:c r="F164" s="19"/>
      <x:c r="G164" s="19"/>
      <x:c r="H164" s="19"/>
      <x:c r="I164" s="19"/>
      <x:c r="J164" s="19"/>
      <x:c r="K164" s="19"/>
      <x:c r="L164" s="19"/>
      <x:c r="M164" s="19"/>
      <x:c r="N164" s="2"/>
      <x:c r="O164" s="2"/>
    </x:row>
    <x:row r="165" ht="20" customHeight="1">
      <x:c r="A165" s="2"/>
      <x:c r="B165" s="2"/>
      <x:c r="C165" s="2"/>
      <x:c r="D165" s="3"/>
      <x:c r="E165" s="3"/>
      <x:c r="F165" s="3"/>
      <x:c r="G165" s="3"/>
      <x:c r="H165" s="3"/>
      <x:c r="I165" s="3"/>
      <x:c r="J165" s="3"/>
      <x:c r="K165" s="3"/>
      <x:c r="L165" s="3"/>
      <x:c r="M165" s="3"/>
      <x:c r="N165" s="2"/>
      <x:c r="O165" s="2"/>
    </x:row>
    <x:row r="166" ht="20" customHeight="1">
      <x:c r="A166" s="2"/>
      <x:c r="B166" s="2"/>
      <x:c r="C166" s="2" t="str">
        <x:v>Base: normalize margins and supplier funding, retain structural demand and FMEG improvements.</x:v>
      </x:c>
      <x:c r="D166" s="3"/>
      <x:c r="E166" s="3"/>
      <x:c r="F166" s="3"/>
      <x:c r="G166" s="3"/>
      <x:c r="H166" s="3"/>
      <x:c r="I166" s="3"/>
      <x:c r="J166" s="3"/>
      <x:c r="K166" s="3"/>
      <x:c r="L166" s="3"/>
      <x:c r="M166" s="3"/>
      <x:c r="N166" s="2"/>
      <x:c r="O166" s="2"/>
    </x:row>
    <x:row r="167" ht="20" customHeight="1">
      <x:c r="A167" s="2"/>
      <x:c r="B167" s="2"/>
      <x:c r="C167" s="2"/>
      <x:c r="D167" s="3"/>
      <x:c r="E167" s="3"/>
      <x:c r="F167" s="3"/>
      <x:c r="G167" s="3"/>
      <x:c r="H167" s="3"/>
      <x:c r="I167" s="3"/>
      <x:c r="J167" s="3"/>
      <x:c r="K167" s="3"/>
      <x:c r="L167" s="3"/>
      <x:c r="M167" s="3"/>
      <x:c r="N167" s="2"/>
      <x:c r="O167" s="2"/>
    </x:row>
    <x:row r="168" ht="20" customHeight="1">
      <x:c r="A168" s="2"/>
      <x:c r="B168" s="2"/>
      <x:c r="C168" s="2" t="str">
        <x:v>Bull: faster industry/export execution and higher mix margins; increased capex funds growth.</x:v>
      </x:c>
      <x:c r="D168" s="3"/>
      <x:c r="E168" s="3"/>
      <x:c r="F168" s="3"/>
      <x:c r="G168" s="3"/>
      <x:c r="H168" s="3"/>
      <x:c r="I168" s="3"/>
      <x:c r="J168" s="3"/>
      <x:c r="K168" s="3"/>
      <x:c r="L168" s="3"/>
      <x:c r="M168" s="3"/>
      <x:c r="N168" s="2"/>
      <x:c r="O168" s="2"/>
    </x:row>
    <x:row r="169" ht="20" customHeight="1">
      <x:c r="A169" s="2"/>
      <x:c r="B169" s="2"/>
      <x:c r="C169" s="2"/>
      <x:c r="D169" s="3"/>
      <x:c r="E169" s="3"/>
      <x:c r="F169" s="3"/>
      <x:c r="G169" s="3"/>
      <x:c r="H169" s="3"/>
      <x:c r="I169" s="3"/>
      <x:c r="J169" s="3"/>
      <x:c r="K169" s="3"/>
      <x:c r="L169" s="3"/>
      <x:c r="M169" s="3"/>
      <x:c r="N169" s="2"/>
      <x:c r="O169" s="2"/>
    </x:row>
    <x:row r="170" ht="20" customHeight="1">
      <x:c r="A170" s="2"/>
      <x:c r="B170" s="2"/>
      <x:c r="C170" s="2" t="str">
        <x:v>Bear: demand slows, collection days rise and margins fall; liquidity shortfalls remain visible.</x:v>
      </x:c>
      <x:c r="D170" s="3"/>
      <x:c r="E170" s="3"/>
      <x:c r="F170" s="3"/>
      <x:c r="G170" s="3"/>
      <x:c r="H170" s="3"/>
      <x:c r="I170" s="3"/>
      <x:c r="J170" s="3"/>
      <x:c r="K170" s="3"/>
      <x:c r="L170" s="3"/>
      <x:c r="M170" s="3"/>
      <x:c r="N170" s="2"/>
      <x:c r="O170" s="2"/>
    </x:row>
    <x:row r="171" ht="20" customHeight="1">
      <x:c r="A171" s="2"/>
      <x:c r="B171" s="2"/>
      <x:c r="C171" s="2"/>
      <x:c r="D171" s="3"/>
      <x:c r="E171" s="3"/>
      <x:c r="F171" s="3"/>
      <x:c r="G171" s="3"/>
      <x:c r="H171" s="3"/>
      <x:c r="I171" s="3"/>
      <x:c r="J171" s="3"/>
      <x:c r="K171" s="3"/>
      <x:c r="L171" s="3"/>
      <x:c r="M171" s="3"/>
      <x:c r="N171" s="2"/>
      <x:c r="O171" s="2"/>
    </x:row>
    <x:row r="172" ht="20" customHeight="1">
      <x:c r="A172" s="2"/>
      <x:c r="B172" s="2"/>
      <x:c r="C172" s="2" t="str">
        <x:v>The annual forecast includes Q1FY27 actual information as an evidence check. FY27 columns remain full-year estimates.</x:v>
      </x:c>
      <x:c r="D172" s="3"/>
      <x:c r="E172" s="3"/>
      <x:c r="F172" s="3"/>
      <x:c r="G172" s="3"/>
      <x:c r="H172" s="3"/>
      <x:c r="I172" s="3"/>
      <x:c r="J172" s="3"/>
      <x:c r="K172" s="3"/>
      <x:c r="L172" s="3"/>
      <x:c r="M172" s="3"/>
      <x:c r="N172" s="2"/>
      <x:c r="O172" s="2"/>
    </x:row>
    <x:row r="173" ht="20" customHeight="1">
      <x:c r="A173" s="2"/>
      <x:c r="B173" s="2"/>
      <x:c r="C173" s="2"/>
      <x:c r="D173" s="3"/>
      <x:c r="E173" s="3"/>
      <x:c r="F173" s="3"/>
      <x:c r="G173" s="3"/>
      <x:c r="H173" s="3"/>
      <x:c r="I173" s="3"/>
      <x:c r="J173" s="3"/>
      <x:c r="K173" s="3"/>
      <x:c r="L173" s="3"/>
      <x:c r="M173" s="3"/>
      <x:c r="N173" s="2"/>
      <x:c r="O173" s="2"/>
    </x:row>
    <x:row r="174" ht="20" customHeight="1">
      <x:c r="A174" s="2"/>
      <x:c r="B174" s="2"/>
      <x:c r="C174" s="2" t="str">
        <x:v>Commodity prices are included in nominal industry growth. Adding a separate pricing term would double count.</x:v>
      </x:c>
      <x:c r="D174" s="3"/>
      <x:c r="E174" s="3"/>
      <x:c r="F174" s="3"/>
      <x:c r="G174" s="3"/>
      <x:c r="H174" s="3"/>
      <x:c r="I174" s="3"/>
      <x:c r="J174" s="3"/>
      <x:c r="K174" s="3"/>
      <x:c r="L174" s="3"/>
      <x:c r="M174" s="3"/>
      <x:c r="N174" s="2"/>
      <x:c r="O174" s="2"/>
    </x:row>
    <x:row r="175" ht="20" customHeight="1">
      <x:c r="A175" s="2"/>
      <x:c r="B175" s="2"/>
      <x:c r="C175" s="2"/>
      <x:c r="D175" s="3"/>
      <x:c r="E175" s="3"/>
      <x:c r="F175" s="3"/>
      <x:c r="G175" s="3"/>
      <x:c r="H175" s="3"/>
      <x:c r="I175" s="3"/>
      <x:c r="J175" s="3"/>
      <x:c r="K175" s="3"/>
      <x:c r="L175" s="3"/>
      <x:c r="M175" s="3"/>
      <x:c r="N175" s="2"/>
      <x:c r="O175" s="2"/>
    </x:row>
    <x:row r="176" ht="20" customHeight="1">
      <x:c r="A176" s="2"/>
      <x:c r="B176" s="2"/>
      <x:c r="C176" s="2" t="str">
        <x:v>No numeric FMEG market growth series is verified. Forecast growth uses company history, Q1 results and strategic targets.</x:v>
      </x:c>
      <x:c r="D176" s="3"/>
      <x:c r="E176" s="3"/>
      <x:c r="F176" s="3"/>
      <x:c r="G176" s="3"/>
      <x:c r="H176" s="3"/>
      <x:c r="I176" s="3"/>
      <x:c r="J176" s="3"/>
      <x:c r="K176" s="3"/>
      <x:c r="L176" s="3"/>
      <x:c r="M176" s="3"/>
      <x:c r="N176" s="2"/>
      <x:c r="O176" s="2"/>
    </x:row>
    <x:row r="177" ht="20" customHeight="1">
      <x:c r="A177" s="2"/>
      <x:c r="B177" s="2"/>
      <x:c r="C177" s="2"/>
      <x:c r="D177" s="3"/>
      <x:c r="E177" s="3"/>
      <x:c r="F177" s="3"/>
      <x:c r="G177" s="3"/>
      <x:c r="H177" s="3"/>
      <x:c r="I177" s="3"/>
      <x:c r="J177" s="3"/>
      <x:c r="K177" s="3"/>
      <x:c r="L177" s="3"/>
      <x:c r="M177" s="3"/>
      <x:c r="N177" s="2"/>
      <x:c r="O177" s="2"/>
    </x:row>
    <x:row r="178" ht="20" customHeight="1">
      <x:c r="A178" s="2"/>
      <x:c r="B178" s="2"/>
      <x:c r="C178" s="2"/>
      <x:c r="D178" s="3"/>
      <x:c r="E178" s="3"/>
      <x:c r="F178" s="3"/>
      <x:c r="G178" s="3"/>
      <x:c r="H178" s="3"/>
      <x:c r="I178" s="3"/>
      <x:c r="J178" s="3"/>
      <x:c r="K178" s="3"/>
      <x:c r="L178" s="3"/>
      <x:c r="M178" s="3"/>
      <x:c r="N178" s="2"/>
      <x:c r="O178" s="2"/>
    </x:row>
    <x:row r="179" ht="20" customHeight="1">
      <x:c r="A179" s="2"/>
      <x:c r="B179" s="2"/>
      <x:c r="C179" s="2"/>
      <x:c r="D179" s="3"/>
      <x:c r="E179" s="3"/>
      <x:c r="F179" s="3"/>
      <x:c r="G179" s="3"/>
      <x:c r="H179" s="3"/>
      <x:c r="I179" s="3"/>
      <x:c r="J179" s="3"/>
      <x:c r="K179" s="3"/>
      <x:c r="L179" s="3"/>
      <x:c r="M179" s="3"/>
      <x:c r="N179" s="2"/>
      <x:c r="O179" s="2"/>
    </x:row>
    <x:row r="180" ht="24" customHeight="1">
      <x:c r="A180" s="2"/>
      <x:c r="B180" s="2"/>
      <x:c r="C180" s="80" t="str">
        <x:v>Additional implementation assumptions</x:v>
      </x:c>
      <x:c r="D180" s="81"/>
      <x:c r="E180" s="81"/>
      <x:c r="F180" s="81"/>
      <x:c r="G180" s="81"/>
      <x:c r="H180" s="81"/>
      <x:c r="I180" s="81"/>
      <x:c r="J180" s="81"/>
      <x:c r="K180" s="81"/>
      <x:c r="L180" s="81"/>
      <x:c r="M180" s="81"/>
      <x:c r="N180" s="2"/>
      <x:c r="O180" s="2"/>
    </x:row>
    <x:row r="181" ht="20" customHeight="1">
      <x:c r="A181" s="2"/>
      <x:c r="B181" s="2"/>
      <x:c r="C181" s="2"/>
      <x:c r="D181" s="3"/>
      <x:c r="E181" s="3"/>
      <x:c r="F181" s="3"/>
      <x:c r="G181" s="3"/>
      <x:c r="H181" s="3"/>
      <x:c r="I181" s="3"/>
      <x:c r="J181" s="3"/>
      <x:c r="K181" s="3"/>
      <x:c r="L181" s="3"/>
      <x:c r="M181" s="3"/>
      <x:c r="N181" s="2"/>
      <x:c r="O181" s="2"/>
    </x:row>
    <x:row r="182" ht="20" customHeight="1">
      <x:c r="A182" s="2"/>
      <x:c r="B182" s="2"/>
      <x:c r="C182" s="86" t="str">
        <x:v>Share of current capex commissioned</x:v>
      </x:c>
      <x:c r="D182" s="87"/>
      <x:c r="E182" s="87"/>
      <x:c r="F182" s="87"/>
      <x:c r="G182" s="87"/>
      <x:c r="H182" s="87"/>
      <x:c r="I182" s="89" t="n">
        <x:f>IF(CHOOSE($D$3,ISNUMBER(I183),ISNUMBER(I184),ISNUMBER(I185)),CHOOSE($D$3,I183,I184,I185),"n.a.")</x:f>
        <x:v>0.5</x:v>
      </x:c>
      <x:c r="J182" s="89" t="n">
        <x:f>IF(CHOOSE($D$3,ISNUMBER(J183),ISNUMBER(J184),ISNUMBER(J185)),CHOOSE($D$3,J183,J184,J185),"n.a.")</x:f>
        <x:v>0.5</x:v>
      </x:c>
      <x:c r="K182" s="89" t="n">
        <x:f>IF(CHOOSE($D$3,ISNUMBER(K183),ISNUMBER(K184),ISNUMBER(K185)),CHOOSE($D$3,K183,K184,K185),"n.a.")</x:f>
        <x:v>0.5</x:v>
      </x:c>
      <x:c r="L182" s="89" t="n">
        <x:f>IF(CHOOSE($D$3,ISNUMBER(L183),ISNUMBER(L184),ISNUMBER(L185)),CHOOSE($D$3,L183,L184,L185),"n.a.")</x:f>
        <x:v>0.5</x:v>
      </x:c>
      <x:c r="M182" s="89" t="n">
        <x:f>IF(CHOOSE($D$3,ISNUMBER(M183),ISNUMBER(M184),ISNUMBER(M185)),CHOOSE($D$3,M183,M184,M185),"n.a.")</x:f>
        <x:v>0.5</x:v>
      </x:c>
      <x:c r="N182" s="2"/>
      <x:c r="O182" s="2"/>
    </x:row>
    <x:row r="183" ht="20" customHeight="1">
      <x:c r="A183" s="2"/>
      <x:c r="B183" s="2"/>
      <x:c r="C183" s="24" t="str">
        <x:v>Base</x:v>
      </x:c>
      <x:c r="D183" s="25"/>
      <x:c r="E183" s="25"/>
      <x:c r="F183" s="25"/>
      <x:c r="G183" s="25"/>
      <x:c r="H183" s="25"/>
      <x:c r="I183" s="88" t="n">
        <x:v>0.5</x:v>
      </x:c>
      <x:c r="J183" s="88" t="n">
        <x:v>0.5</x:v>
      </x:c>
      <x:c r="K183" s="88" t="n">
        <x:v>0.5</x:v>
      </x:c>
      <x:c r="L183" s="88" t="n">
        <x:v>0.5</x:v>
      </x:c>
      <x:c r="M183" s="88" t="n">
        <x:v>0.5</x:v>
      </x:c>
      <x:c r="N183" s="2"/>
      <x:c r="O183" s="2"/>
    </x:row>
    <x:row r="184" ht="20" customHeight="1">
      <x:c r="A184" s="2"/>
      <x:c r="B184" s="2"/>
      <x:c r="C184" s="24" t="str">
        <x:v>Bull</x:v>
      </x:c>
      <x:c r="D184" s="25"/>
      <x:c r="E184" s="25"/>
      <x:c r="F184" s="25"/>
      <x:c r="G184" s="25"/>
      <x:c r="H184" s="25"/>
      <x:c r="I184" s="88" t="n">
        <x:v>0.5</x:v>
      </x:c>
      <x:c r="J184" s="88" t="n">
        <x:v>0.5</x:v>
      </x:c>
      <x:c r="K184" s="88" t="n">
        <x:v>0.5</x:v>
      </x:c>
      <x:c r="L184" s="88" t="n">
        <x:v>0.5</x:v>
      </x:c>
      <x:c r="M184" s="88" t="n">
        <x:v>0.5</x:v>
      </x:c>
      <x:c r="N184" s="2"/>
      <x:c r="O184" s="2"/>
    </x:row>
    <x:row r="185" ht="20" customHeight="1">
      <x:c r="A185" s="2"/>
      <x:c r="B185" s="2"/>
      <x:c r="C185" s="24" t="str">
        <x:v>Bear</x:v>
      </x:c>
      <x:c r="D185" s="25"/>
      <x:c r="E185" s="25"/>
      <x:c r="F185" s="25"/>
      <x:c r="G185" s="25"/>
      <x:c r="H185" s="25"/>
      <x:c r="I185" s="88" t="n">
        <x:v>0.5</x:v>
      </x:c>
      <x:c r="J185" s="88" t="n">
        <x:v>0.5</x:v>
      </x:c>
      <x:c r="K185" s="88" t="n">
        <x:v>0.5</x:v>
      </x:c>
      <x:c r="L185" s="88" t="n">
        <x:v>0.5</x:v>
      </x:c>
      <x:c r="M185" s="88" t="n">
        <x:v>0.5</x:v>
      </x:c>
      <x:c r="N185" s="2"/>
      <x:c r="O185" s="2"/>
    </x:row>
    <x:row r="186" ht="32" customHeight="1">
      <x:c r="A186" s="2"/>
      <x:c r="B186" s="2"/>
      <x:c r="C186" s="16" t="str">
        <x:v>Analyst timing: all opening CWIP and half of current-year capex enter service during the year. Half-year depreciation on additions.</x:v>
      </x:c>
      <x:c r="D186" s="38"/>
      <x:c r="E186" s="38"/>
      <x:c r="F186" s="38"/>
      <x:c r="G186" s="38"/>
      <x:c r="H186" s="38"/>
      <x:c r="I186" s="38"/>
      <x:c r="J186" s="38"/>
      <x:c r="K186" s="38"/>
      <x:c r="L186" s="38"/>
      <x:c r="M186" s="38"/>
      <x:c r="N186" s="2"/>
      <x:c r="O186" s="2"/>
    </x:row>
    <x:row r="187" ht="20" customHeight="1">
      <x:c r="A187" s="2"/>
      <x:c r="B187" s="2"/>
      <x:c r="C187" s="86" t="str">
        <x:v>ROU annual depreciation / opening ROU</x:v>
      </x:c>
      <x:c r="D187" s="87"/>
      <x:c r="E187" s="87"/>
      <x:c r="F187" s="87"/>
      <x:c r="G187" s="87"/>
      <x:c r="H187" s="87"/>
      <x:c r="I187" s="89" t="n">
        <x:f>IF(CHOOSE($D$3,ISNUMBER(I188),ISNUMBER(I189),ISNUMBER(I190)),CHOOSE($D$3,I188,I189,I190),"n.a.")</x:f>
        <x:v>0.2</x:v>
      </x:c>
      <x:c r="J187" s="89" t="n">
        <x:f>IF(CHOOSE($D$3,ISNUMBER(J188),ISNUMBER(J189),ISNUMBER(J190)),CHOOSE($D$3,J188,J189,J190),"n.a.")</x:f>
        <x:v>0.2</x:v>
      </x:c>
      <x:c r="K187" s="89" t="n">
        <x:f>IF(CHOOSE($D$3,ISNUMBER(K188),ISNUMBER(K189),ISNUMBER(K190)),CHOOSE($D$3,K188,K189,K190),"n.a.")</x:f>
        <x:v>0.2</x:v>
      </x:c>
      <x:c r="L187" s="89" t="n">
        <x:f>IF(CHOOSE($D$3,ISNUMBER(L188),ISNUMBER(L189),ISNUMBER(L190)),CHOOSE($D$3,L188,L189,L190),"n.a.")</x:f>
        <x:v>0.2</x:v>
      </x:c>
      <x:c r="M187" s="89" t="n">
        <x:f>IF(CHOOSE($D$3,ISNUMBER(M188),ISNUMBER(M189),ISNUMBER(M190)),CHOOSE($D$3,M188,M189,M190),"n.a.")</x:f>
        <x:v>0.2</x:v>
      </x:c>
      <x:c r="N187" s="2"/>
      <x:c r="O187" s="2"/>
    </x:row>
    <x:row r="188" ht="20" customHeight="1">
      <x:c r="A188" s="2"/>
      <x:c r="B188" s="2"/>
      <x:c r="C188" s="24" t="str">
        <x:v>Base</x:v>
      </x:c>
      <x:c r="D188" s="25"/>
      <x:c r="E188" s="25"/>
      <x:c r="F188" s="25"/>
      <x:c r="G188" s="25"/>
      <x:c r="H188" s="25"/>
      <x:c r="I188" s="88" t="n">
        <x:v>0.2</x:v>
      </x:c>
      <x:c r="J188" s="88" t="n">
        <x:v>0.2</x:v>
      </x:c>
      <x:c r="K188" s="88" t="n">
        <x:v>0.2</x:v>
      </x:c>
      <x:c r="L188" s="88" t="n">
        <x:v>0.2</x:v>
      </x:c>
      <x:c r="M188" s="88" t="n">
        <x:v>0.2</x:v>
      </x:c>
      <x:c r="N188" s="2"/>
      <x:c r="O188" s="2"/>
    </x:row>
    <x:row r="189" ht="20" customHeight="1">
      <x:c r="A189" s="2"/>
      <x:c r="B189" s="2"/>
      <x:c r="C189" s="24" t="str">
        <x:v>Bull</x:v>
      </x:c>
      <x:c r="D189" s="25"/>
      <x:c r="E189" s="25"/>
      <x:c r="F189" s="25"/>
      <x:c r="G189" s="25"/>
      <x:c r="H189" s="25"/>
      <x:c r="I189" s="88" t="n">
        <x:v>0.2</x:v>
      </x:c>
      <x:c r="J189" s="88" t="n">
        <x:v>0.2</x:v>
      </x:c>
      <x:c r="K189" s="88" t="n">
        <x:v>0.2</x:v>
      </x:c>
      <x:c r="L189" s="88" t="n">
        <x:v>0.2</x:v>
      </x:c>
      <x:c r="M189" s="88" t="n">
        <x:v>0.2</x:v>
      </x:c>
      <x:c r="N189" s="2"/>
      <x:c r="O189" s="2"/>
    </x:row>
    <x:row r="190" ht="20" customHeight="1">
      <x:c r="A190" s="2"/>
      <x:c r="B190" s="2"/>
      <x:c r="C190" s="24" t="str">
        <x:v>Bear</x:v>
      </x:c>
      <x:c r="D190" s="25"/>
      <x:c r="E190" s="25"/>
      <x:c r="F190" s="25"/>
      <x:c r="G190" s="25"/>
      <x:c r="H190" s="25"/>
      <x:c r="I190" s="88" t="n">
        <x:v>0.2</x:v>
      </x:c>
      <x:c r="J190" s="88" t="n">
        <x:v>0.2</x:v>
      </x:c>
      <x:c r="K190" s="88" t="n">
        <x:v>0.2</x:v>
      </x:c>
      <x:c r="L190" s="88" t="n">
        <x:v>0.2</x:v>
      </x:c>
      <x:c r="M190" s="88" t="n">
        <x:v>0.2</x:v>
      </x:c>
      <x:c r="N190" s="2"/>
      <x:c r="O190" s="2"/>
    </x:row>
    <x:row r="191" ht="32" customHeight="1">
      <x:c r="A191" s="2"/>
      <x:c r="B191" s="2"/>
      <x:c r="C191" s="16" t="str">
        <x:v>Analyst 20% annual charge on opening net ROU assets plus half of additions. Approximation without a lease-by-lease asset register.</x:v>
      </x:c>
      <x:c r="D191" s="38"/>
      <x:c r="E191" s="38"/>
      <x:c r="F191" s="38"/>
      <x:c r="G191" s="38"/>
      <x:c r="H191" s="38"/>
      <x:c r="I191" s="38"/>
      <x:c r="J191" s="38"/>
      <x:c r="K191" s="38"/>
      <x:c r="L191" s="38"/>
      <x:c r="M191" s="38"/>
      <x:c r="N191" s="2"/>
      <x:c r="O191" s="2"/>
    </x:row>
    <x:row r="192" ht="20" customHeight="1">
      <x:c r="A192" s="2"/>
      <x:c r="B192" s="2"/>
      <x:c r="C192" s="86" t="str">
        <x:v>Cash and equivalents / revenue</x:v>
      </x:c>
      <x:c r="D192" s="87"/>
      <x:c r="E192" s="87"/>
      <x:c r="F192" s="87"/>
      <x:c r="G192" s="87"/>
      <x:c r="H192" s="87"/>
      <x:c r="I192" s="89" t="n">
        <x:f>IF(CHOOSE($D$3,ISNUMBER(I193),ISNUMBER(I194),ISNUMBER(I195)),CHOOSE($D$3,I193,I194,I195),"n.a.")</x:f>
        <x:v>0.013514257407753109</x:v>
      </x:c>
      <x:c r="J192" s="89" t="n">
        <x:f>IF(CHOOSE($D$3,ISNUMBER(J193),ISNUMBER(J194),ISNUMBER(J195)),CHOOSE($D$3,J193,J194,J195),"n.a.")</x:f>
        <x:v>0.013514257407753109</x:v>
      </x:c>
      <x:c r="K192" s="89" t="n">
        <x:f>IF(CHOOSE($D$3,ISNUMBER(K193),ISNUMBER(K194),ISNUMBER(K195)),CHOOSE($D$3,K193,K194,K195),"n.a.")</x:f>
        <x:v>0.013514257407753109</x:v>
      </x:c>
      <x:c r="L192" s="89" t="n">
        <x:f>IF(CHOOSE($D$3,ISNUMBER(L193),ISNUMBER(L194),ISNUMBER(L195)),CHOOSE($D$3,L193,L194,L195),"n.a.")</x:f>
        <x:v>0.013514257407753109</x:v>
      </x:c>
      <x:c r="M192" s="89" t="n">
        <x:f>IF(CHOOSE($D$3,ISNUMBER(M193),ISNUMBER(M194),ISNUMBER(M195)),CHOOSE($D$3,M193,M194,M195),"n.a.")</x:f>
        <x:v>0.013514257407753109</x:v>
      </x:c>
      <x:c r="N192" s="2"/>
      <x:c r="O192" s="2"/>
    </x:row>
    <x:row r="193" ht="20" customHeight="1">
      <x:c r="A193" s="2"/>
      <x:c r="B193" s="2"/>
      <x:c r="C193" s="24" t="str">
        <x:v>Base</x:v>
      </x:c>
      <x:c r="D193" s="25"/>
      <x:c r="E193" s="25"/>
      <x:c r="F193" s="25"/>
      <x:c r="G193" s="25"/>
      <x:c r="H193" s="25"/>
      <x:c r="I193" s="90" t="n">
        <x:f>'01_Historical+Segments'!H184/'01_Historical+Segments'!H143</x:f>
        <x:v>0.013514257407753109</x:v>
      </x:c>
      <x:c r="J193" s="90" t="n">
        <x:f>'01_Historical+Segments'!H184/'01_Historical+Segments'!H143</x:f>
        <x:v>0.013514257407753109</x:v>
      </x:c>
      <x:c r="K193" s="90" t="n">
        <x:f>'01_Historical+Segments'!H184/'01_Historical+Segments'!H143</x:f>
        <x:v>0.013514257407753109</x:v>
      </x:c>
      <x:c r="L193" s="90" t="n">
        <x:f>'01_Historical+Segments'!H184/'01_Historical+Segments'!H143</x:f>
        <x:v>0.013514257407753109</x:v>
      </x:c>
      <x:c r="M193" s="90" t="n">
        <x:f>'01_Historical+Segments'!H184/'01_Historical+Segments'!H143</x:f>
        <x:v>0.013514257407753109</x:v>
      </x:c>
      <x:c r="N193" s="2"/>
      <x:c r="O193" s="2"/>
    </x:row>
    <x:row r="194" ht="20" customHeight="1">
      <x:c r="A194" s="2"/>
      <x:c r="B194" s="2"/>
      <x:c r="C194" s="24" t="str">
        <x:v>Bull</x:v>
      </x:c>
      <x:c r="D194" s="25"/>
      <x:c r="E194" s="25"/>
      <x:c r="F194" s="25"/>
      <x:c r="G194" s="25"/>
      <x:c r="H194" s="25"/>
      <x:c r="I194" s="90" t="n">
        <x:f>'01_Historical+Segments'!H184/'01_Historical+Segments'!H143</x:f>
        <x:v>0.013514257407753109</x:v>
      </x:c>
      <x:c r="J194" s="90" t="n">
        <x:f>'01_Historical+Segments'!H184/'01_Historical+Segments'!H143</x:f>
        <x:v>0.013514257407753109</x:v>
      </x:c>
      <x:c r="K194" s="90" t="n">
        <x:f>'01_Historical+Segments'!H184/'01_Historical+Segments'!H143</x:f>
        <x:v>0.013514257407753109</x:v>
      </x:c>
      <x:c r="L194" s="90" t="n">
        <x:f>'01_Historical+Segments'!H184/'01_Historical+Segments'!H143</x:f>
        <x:v>0.013514257407753109</x:v>
      </x:c>
      <x:c r="M194" s="90" t="n">
        <x:f>'01_Historical+Segments'!H184/'01_Historical+Segments'!H143</x:f>
        <x:v>0.013514257407753109</x:v>
      </x:c>
      <x:c r="N194" s="2"/>
      <x:c r="O194" s="2"/>
    </x:row>
    <x:row r="195" ht="20" customHeight="1">
      <x:c r="A195" s="2"/>
      <x:c r="B195" s="2"/>
      <x:c r="C195" s="24" t="str">
        <x:v>Bear</x:v>
      </x:c>
      <x:c r="D195" s="25"/>
      <x:c r="E195" s="25"/>
      <x:c r="F195" s="25"/>
      <x:c r="G195" s="25"/>
      <x:c r="H195" s="25"/>
      <x:c r="I195" s="90" t="n">
        <x:f>'01_Historical+Segments'!H184/'01_Historical+Segments'!H143</x:f>
        <x:v>0.013514257407753109</x:v>
      </x:c>
      <x:c r="J195" s="90" t="n">
        <x:f>'01_Historical+Segments'!H184/'01_Historical+Segments'!H143</x:f>
        <x:v>0.013514257407753109</x:v>
      </x:c>
      <x:c r="K195" s="90" t="n">
        <x:f>'01_Historical+Segments'!H184/'01_Historical+Segments'!H143</x:f>
        <x:v>0.013514257407753109</x:v>
      </x:c>
      <x:c r="L195" s="90" t="n">
        <x:f>'01_Historical+Segments'!H184/'01_Historical+Segments'!H143</x:f>
        <x:v>0.013514257407753109</x:v>
      </x:c>
      <x:c r="M195" s="90" t="n">
        <x:f>'01_Historical+Segments'!H184/'01_Historical+Segments'!H143</x:f>
        <x:v>0.013514257407753109</x:v>
      </x:c>
      <x:c r="N195" s="2"/>
      <x:c r="O195" s="2"/>
    </x:row>
    <x:row r="196" ht="32" customHeight="1">
      <x:c r="A196" s="2"/>
      <x:c r="B196" s="2"/>
      <x:c r="C196" s="16" t="str">
        <x:v>Retain FY26 cash / revenue as the operational cash reserve. Other bank balances held flat. Remaining treasury invested in current investments.</x:v>
      </x:c>
      <x:c r="D196" s="38"/>
      <x:c r="E196" s="38"/>
      <x:c r="F196" s="38"/>
      <x:c r="G196" s="38"/>
      <x:c r="H196" s="38"/>
      <x:c r="I196" s="38"/>
      <x:c r="J196" s="38"/>
      <x:c r="K196" s="38"/>
      <x:c r="L196" s="38"/>
      <x:c r="M196" s="38"/>
      <x:c r="N196" s="2"/>
      <x:c r="O196" s="2"/>
    </x:row>
    <x:row r="197" ht="20" customHeight="1">
      <x:c r="A197" s="2"/>
      <x:c r="B197" s="2"/>
      <x:c r="C197" s="86" t="str">
        <x:v>Blended depreciation / net asset base</x:v>
      </x:c>
      <x:c r="D197" s="87"/>
      <x:c r="E197" s="87"/>
      <x:c r="F197" s="87"/>
      <x:c r="G197" s="87"/>
      <x:c r="H197" s="87"/>
      <x:c r="I197" s="89" t="n">
        <x:f>IF(CHOOSE($D$3,ISNUMBER(I198),ISNUMBER(I199),ISNUMBER(I200)),CHOOSE($D$3,I198,I199,I200),"n.a.")</x:f>
        <x:v>0.11399539707771643</x:v>
      </x:c>
      <x:c r="J197" s="89" t="n">
        <x:f>IF(CHOOSE($D$3,ISNUMBER(J198),ISNUMBER(J199),ISNUMBER(J200)),CHOOSE($D$3,J198,J199,J200),"n.a.")</x:f>
        <x:v>0.11399539707771643</x:v>
      </x:c>
      <x:c r="K197" s="89" t="n">
        <x:f>IF(CHOOSE($D$3,ISNUMBER(K198),ISNUMBER(K199),ISNUMBER(K200)),CHOOSE($D$3,K198,K199,K200),"n.a.")</x:f>
        <x:v>0.11399539707771643</x:v>
      </x:c>
      <x:c r="L197" s="89" t="n">
        <x:f>IF(CHOOSE($D$3,ISNUMBER(L198),ISNUMBER(L199),ISNUMBER(L200)),CHOOSE($D$3,L198,L199,L200),"n.a.")</x:f>
        <x:v>0.11399539707771643</x:v>
      </x:c>
      <x:c r="M197" s="89" t="n">
        <x:f>IF(CHOOSE($D$3,ISNUMBER(M198),ISNUMBER(M199),ISNUMBER(M200)),CHOOSE($D$3,M198,M199,M200),"n.a.")</x:f>
        <x:v>0.11399539707771643</x:v>
      </x:c>
      <x:c r="N197" s="2"/>
      <x:c r="O197" s="2"/>
    </x:row>
    <x:row r="198" ht="20" customHeight="1">
      <x:c r="A198" s="2"/>
      <x:c r="B198" s="2"/>
      <x:c r="C198" s="24" t="str">
        <x:v>Base</x:v>
      </x:c>
      <x:c r="D198" s="25"/>
      <x:c r="E198" s="25"/>
      <x:c r="F198" s="25"/>
      <x:c r="G198" s="25"/>
      <x:c r="H198" s="25"/>
      <x:c r="I198" s="90" t="n">
        <x:f>('01_Historical+Segments'!H151-'01_Historical+Segments'!G171*I188)/AVERAGE('01_Historical+Segments'!G168+'01_Historical+Segments'!G172,'01_Historical+Segments'!H168+'01_Historical+Segments'!H172)</x:f>
        <x:v>0.11399539707771643</x:v>
      </x:c>
      <x:c r="J198" s="90" t="n">
        <x:f>('01_Historical+Segments'!H151-'01_Historical+Segments'!G171*J188)/AVERAGE('01_Historical+Segments'!G168+'01_Historical+Segments'!G172,'01_Historical+Segments'!H168+'01_Historical+Segments'!H172)</x:f>
        <x:v>0.11399539707771643</x:v>
      </x:c>
      <x:c r="K198" s="90" t="n">
        <x:f>('01_Historical+Segments'!H151-'01_Historical+Segments'!G171*K188)/AVERAGE('01_Historical+Segments'!G168+'01_Historical+Segments'!G172,'01_Historical+Segments'!H168+'01_Historical+Segments'!H172)</x:f>
        <x:v>0.11399539707771643</x:v>
      </x:c>
      <x:c r="L198" s="90" t="n">
        <x:f>('01_Historical+Segments'!H151-'01_Historical+Segments'!G171*L188)/AVERAGE('01_Historical+Segments'!G168+'01_Historical+Segments'!G172,'01_Historical+Segments'!H168+'01_Historical+Segments'!H172)</x:f>
        <x:v>0.11399539707771643</x:v>
      </x:c>
      <x:c r="M198" s="90" t="n">
        <x:f>('01_Historical+Segments'!H151-'01_Historical+Segments'!G171*M188)/AVERAGE('01_Historical+Segments'!G168+'01_Historical+Segments'!G172,'01_Historical+Segments'!H168+'01_Historical+Segments'!H172)</x:f>
        <x:v>0.11399539707771643</x:v>
      </x:c>
      <x:c r="N198" s="2"/>
      <x:c r="O198" s="2"/>
    </x:row>
    <x:row r="199" ht="20" customHeight="1">
      <x:c r="A199" s="2"/>
      <x:c r="B199" s="2"/>
      <x:c r="C199" s="24" t="str">
        <x:v>Bull</x:v>
      </x:c>
      <x:c r="D199" s="25"/>
      <x:c r="E199" s="25"/>
      <x:c r="F199" s="25"/>
      <x:c r="G199" s="25"/>
      <x:c r="H199" s="25"/>
      <x:c r="I199" s="90" t="n">
        <x:f>('01_Historical+Segments'!H151-'01_Historical+Segments'!G171*I189)/AVERAGE('01_Historical+Segments'!G168+'01_Historical+Segments'!G172,'01_Historical+Segments'!H168+'01_Historical+Segments'!H172)</x:f>
        <x:v>0.11399539707771643</x:v>
      </x:c>
      <x:c r="J199" s="90" t="n">
        <x:f>('01_Historical+Segments'!H151-'01_Historical+Segments'!G171*J189)/AVERAGE('01_Historical+Segments'!G168+'01_Historical+Segments'!G172,'01_Historical+Segments'!H168+'01_Historical+Segments'!H172)</x:f>
        <x:v>0.11399539707771643</x:v>
      </x:c>
      <x:c r="K199" s="90" t="n">
        <x:f>('01_Historical+Segments'!H151-'01_Historical+Segments'!G171*K189)/AVERAGE('01_Historical+Segments'!G168+'01_Historical+Segments'!G172,'01_Historical+Segments'!H168+'01_Historical+Segments'!H172)</x:f>
        <x:v>0.11399539707771643</x:v>
      </x:c>
      <x:c r="L199" s="90" t="n">
        <x:f>('01_Historical+Segments'!H151-'01_Historical+Segments'!G171*L189)/AVERAGE('01_Historical+Segments'!G168+'01_Historical+Segments'!G172,'01_Historical+Segments'!H168+'01_Historical+Segments'!H172)</x:f>
        <x:v>0.11399539707771643</x:v>
      </x:c>
      <x:c r="M199" s="90" t="n">
        <x:f>('01_Historical+Segments'!H151-'01_Historical+Segments'!G171*M189)/AVERAGE('01_Historical+Segments'!G168+'01_Historical+Segments'!G172,'01_Historical+Segments'!H168+'01_Historical+Segments'!H172)</x:f>
        <x:v>0.11399539707771643</x:v>
      </x:c>
      <x:c r="N199" s="2"/>
      <x:c r="O199" s="2"/>
    </x:row>
    <x:row r="200" ht="20" customHeight="1">
      <x:c r="A200" s="2"/>
      <x:c r="B200" s="2"/>
      <x:c r="C200" s="24" t="str">
        <x:v>Bear</x:v>
      </x:c>
      <x:c r="D200" s="25"/>
      <x:c r="E200" s="25"/>
      <x:c r="F200" s="25"/>
      <x:c r="G200" s="25"/>
      <x:c r="H200" s="25"/>
      <x:c r="I200" s="90" t="n">
        <x:f>('01_Historical+Segments'!H151-'01_Historical+Segments'!G171*I190)/AVERAGE('01_Historical+Segments'!G168+'01_Historical+Segments'!G172,'01_Historical+Segments'!H168+'01_Historical+Segments'!H172)</x:f>
        <x:v>0.11399539707771643</x:v>
      </x:c>
      <x:c r="J200" s="90" t="n">
        <x:f>('01_Historical+Segments'!H151-'01_Historical+Segments'!G171*J190)/AVERAGE('01_Historical+Segments'!G168+'01_Historical+Segments'!G172,'01_Historical+Segments'!H168+'01_Historical+Segments'!H172)</x:f>
        <x:v>0.11399539707771643</x:v>
      </x:c>
      <x:c r="K200" s="90" t="n">
        <x:f>('01_Historical+Segments'!H151-'01_Historical+Segments'!G171*K190)/AVERAGE('01_Historical+Segments'!G168+'01_Historical+Segments'!G172,'01_Historical+Segments'!H168+'01_Historical+Segments'!H172)</x:f>
        <x:v>0.11399539707771643</x:v>
      </x:c>
      <x:c r="L200" s="90" t="n">
        <x:f>('01_Historical+Segments'!H151-'01_Historical+Segments'!G171*L190)/AVERAGE('01_Historical+Segments'!G168+'01_Historical+Segments'!G172,'01_Historical+Segments'!H168+'01_Historical+Segments'!H172)</x:f>
        <x:v>0.11399539707771643</x:v>
      </x:c>
      <x:c r="M200" s="90" t="n">
        <x:f>('01_Historical+Segments'!H151-'01_Historical+Segments'!G171*M190)/AVERAGE('01_Historical+Segments'!G168+'01_Historical+Segments'!G172,'01_Historical+Segments'!H168+'01_Historical+Segments'!H172)</x:f>
        <x:v>0.11399539707771643</x:v>
      </x:c>
      <x:c r="N200" s="2"/>
      <x:c r="O200" s="2"/>
    </x:row>
    <x:row r="201" ht="32" customHeight="1">
      <x:c r="A201" s="2"/>
      <x:c r="B201" s="2"/>
      <x:c r="C201" s="16" t="str">
        <x:v>FY26 D&amp;A less estimated ROU D&amp;A divided by average FY25/FY26 PPE plus intangibles. Aggregate net-book-value rate, not an audited useful life.</x:v>
      </x:c>
      <x:c r="D201" s="38"/>
      <x:c r="E201" s="38"/>
      <x:c r="F201" s="38"/>
      <x:c r="G201" s="38"/>
      <x:c r="H201" s="38"/>
      <x:c r="I201" s="38"/>
      <x:c r="J201" s="38"/>
      <x:c r="K201" s="38"/>
      <x:c r="L201" s="38"/>
      <x:c r="M201" s="38"/>
      <x:c r="N201" s="2"/>
      <x:c r="O201" s="2"/>
    </x:row>
    <x:row r="202" ht="20" customHeight="1">
      <x:c r="A202" s="2"/>
      <x:c r="B202" s="2"/>
      <x:c r="C202" s="2"/>
      <x:c r="D202" s="3"/>
      <x:c r="E202" s="3"/>
      <x:c r="F202" s="3"/>
      <x:c r="G202" s="3"/>
      <x:c r="H202" s="3"/>
      <x:c r="I202" s="3"/>
      <x:c r="J202" s="3"/>
      <x:c r="K202" s="3"/>
      <x:c r="L202" s="3"/>
      <x:c r="M202" s="3"/>
      <x:c r="N202" s="2"/>
      <x:c r="O202" s="2"/>
    </x:row>
    <x:row r="203" ht="20" customHeight="1">
      <x:c r="A203" s="2"/>
      <x:c r="B203" s="2"/>
      <x:c r="C203" s="2"/>
      <x:c r="D203" s="3"/>
      <x:c r="E203" s="3"/>
      <x:c r="F203" s="3"/>
      <x:c r="G203" s="3"/>
      <x:c r="H203" s="3"/>
      <x:c r="I203" s="3"/>
      <x:c r="J203" s="3"/>
      <x:c r="K203" s="3"/>
      <x:c r="L203" s="3"/>
      <x:c r="M203" s="3"/>
      <x:c r="N203" s="2"/>
      <x:c r="O203" s="2"/>
    </x:row>
    <x:row r="204" ht="20" customHeight="1">
      <x:c r="A204" s="2"/>
      <x:c r="B204" s="2"/>
      <x:c r="C204" s="2"/>
      <x:c r="D204" s="3"/>
      <x:c r="E204" s="3"/>
      <x:c r="F204" s="3"/>
      <x:c r="G204" s="3"/>
      <x:c r="H204" s="3"/>
      <x:c r="I204" s="3"/>
      <x:c r="J204" s="3"/>
      <x:c r="K204" s="3"/>
      <x:c r="L204" s="3"/>
      <x:c r="M204" s="3"/>
      <x:c r="N204" s="2"/>
      <x:c r="O204" s="2"/>
    </x:row>
    <x:row r="205" ht="24" customHeight="1">
      <x:c r="A205" s="2"/>
      <x:c r="B205" s="2"/>
      <x:c r="C205" s="80" t="str">
        <x:v>Modeling-stage review decisions</x:v>
      </x:c>
      <x:c r="D205" s="81"/>
      <x:c r="E205" s="81"/>
      <x:c r="F205" s="81"/>
      <x:c r="G205" s="81"/>
      <x:c r="H205" s="81"/>
      <x:c r="I205" s="81"/>
      <x:c r="J205" s="81"/>
      <x:c r="K205" s="81"/>
      <x:c r="L205" s="81"/>
      <x:c r="M205" s="81"/>
      <x:c r="N205" s="2"/>
      <x:c r="O205" s="2"/>
    </x:row>
    <x:row r="206" ht="20" customHeight="1">
      <x:c r="A206" s="2"/>
      <x:c r="B206" s="2"/>
      <x:c r="C206" s="2"/>
      <x:c r="D206" s="3"/>
      <x:c r="E206" s="3"/>
      <x:c r="F206" s="3"/>
      <x:c r="G206" s="3"/>
      <x:c r="H206" s="3"/>
      <x:c r="I206" s="3"/>
      <x:c r="J206" s="3"/>
      <x:c r="K206" s="3"/>
      <x:c r="L206" s="3"/>
      <x:c r="M206" s="3"/>
      <x:c r="N206" s="2"/>
      <x:c r="O206" s="2"/>
    </x:row>
    <x:row r="207" ht="44" customHeight="1">
      <x:c r="A207" s="2"/>
      <x:c r="B207" s="2"/>
      <x:c r="C207" s="16" t="str">
        <x:v>Retained nominal industry growth 16%, 12%, 11%, 10%, 10% and outperformance 1.5x through FY30, 1.3x in FY31. Commodity effects are already in nominal growth. Q1 domestic growth wording corrected to 43%.</x:v>
      </x:c>
      <x:c r="D207" s="38"/>
      <x:c r="E207" s="38"/>
      <x:c r="F207" s="38"/>
      <x:c r="G207" s="38"/>
      <x:c r="H207" s="38"/>
      <x:c r="I207" s="38"/>
      <x:c r="J207" s="38"/>
      <x:c r="K207" s="38"/>
      <x:c r="L207" s="38"/>
      <x:c r="M207" s="38"/>
      <x:c r="N207" s="2"/>
      <x:c r="O207" s="2"/>
    </x:row>
    <x:row r="208" ht="20" customHeight="1">
      <x:c r="A208" s="2"/>
      <x:c r="B208" s="2"/>
      <x:c r="C208" s="2"/>
      <x:c r="D208" s="3"/>
      <x:c r="E208" s="3"/>
      <x:c r="F208" s="3"/>
      <x:c r="G208" s="3"/>
      <x:c r="H208" s="3"/>
      <x:c r="I208" s="3"/>
      <x:c r="J208" s="3"/>
      <x:c r="K208" s="3"/>
      <x:c r="L208" s="3"/>
      <x:c r="M208" s="3"/>
      <x:c r="N208" s="2"/>
      <x:c r="O208" s="2"/>
    </x:row>
    <x:row r="209" ht="20" customHeight="1">
      <x:c r="A209" s="2"/>
      <x:c r="B209" s="2"/>
      <x:c r="C209" s="2"/>
      <x:c r="D209" s="3"/>
      <x:c r="E209" s="3"/>
      <x:c r="F209" s="3"/>
      <x:c r="G209" s="3"/>
      <x:c r="H209" s="3"/>
      <x:c r="I209" s="3"/>
      <x:c r="J209" s="3"/>
      <x:c r="K209" s="3"/>
      <x:c r="L209" s="3"/>
      <x:c r="M209" s="3"/>
      <x:c r="N209" s="2"/>
      <x:c r="O209" s="2"/>
    </x:row>
    <x:row r="210" ht="32" customHeight="1">
      <x:c r="A210" s="2"/>
      <x:c r="B210" s="2"/>
      <x:c r="C210" s="16" t="str">
        <x:v>Retained exports +15% then +25%, and FMEG +40%, 25%, 20%, 18%, 15%. These analyst paths moderate recent performance and do not force the export ambition into the base case.</x:v>
      </x:c>
      <x:c r="D210" s="38"/>
      <x:c r="E210" s="38"/>
      <x:c r="F210" s="38"/>
      <x:c r="G210" s="38"/>
      <x:c r="H210" s="38"/>
      <x:c r="I210" s="38"/>
      <x:c r="J210" s="38"/>
      <x:c r="K210" s="38"/>
      <x:c r="L210" s="38"/>
      <x:c r="M210" s="38"/>
      <x:c r="N210" s="2"/>
      <x:c r="O210" s="2"/>
    </x:row>
    <x:row r="211" ht="20" customHeight="1">
      <x:c r="A211" s="2"/>
      <x:c r="B211" s="2"/>
      <x:c r="C211" s="2"/>
      <x:c r="D211" s="3"/>
      <x:c r="E211" s="3"/>
      <x:c r="F211" s="3"/>
      <x:c r="G211" s="3"/>
      <x:c r="H211" s="3"/>
      <x:c r="I211" s="3"/>
      <x:c r="J211" s="3"/>
      <x:c r="K211" s="3"/>
      <x:c r="L211" s="3"/>
      <x:c r="M211" s="3"/>
      <x:c r="N211" s="2"/>
      <x:c r="O211" s="2"/>
    </x:row>
    <x:row r="212" ht="20" customHeight="1">
      <x:c r="A212" s="2"/>
      <x:c r="B212" s="2"/>
      <x:c r="C212" s="2"/>
      <x:c r="D212" s="3"/>
      <x:c r="E212" s="3"/>
      <x:c r="F212" s="3"/>
      <x:c r="G212" s="3"/>
      <x:c r="H212" s="3"/>
      <x:c r="I212" s="3"/>
      <x:c r="J212" s="3"/>
      <x:c r="K212" s="3"/>
      <x:c r="L212" s="3"/>
      <x:c r="M212" s="3"/>
      <x:c r="N212" s="2"/>
      <x:c r="O212" s="2"/>
    </x:row>
    <x:row r="213" ht="32" customHeight="1">
      <x:c r="A213" s="2"/>
      <x:c r="B213" s="2"/>
      <x:c r="C213" s="16" t="str">
        <x:v>Retained W&amp;C EBITDA fade 14% to 12.5%, FMEG EBITDA 9% to 9.5%, EPC EBIT 8.5%, working-capital normalization and INR14bn annual capex through FY30.</x:v>
      </x:c>
      <x:c r="D213" s="38"/>
      <x:c r="E213" s="38"/>
      <x:c r="F213" s="38"/>
      <x:c r="G213" s="38"/>
      <x:c r="H213" s="38"/>
      <x:c r="I213" s="38"/>
      <x:c r="J213" s="38"/>
      <x:c r="K213" s="38"/>
      <x:c r="L213" s="38"/>
      <x:c r="M213" s="38"/>
      <x:c r="N213" s="2"/>
      <x:c r="O213" s="2"/>
    </x:row>
    <x:row r="214" ht="20" customHeight="1">
      <x:c r="A214" s="2"/>
      <x:c r="B214" s="2"/>
      <x:c r="C214" s="2"/>
      <x:c r="D214" s="3"/>
      <x:c r="E214" s="3"/>
      <x:c r="F214" s="3"/>
      <x:c r="G214" s="3"/>
      <x:c r="H214" s="3"/>
      <x:c r="I214" s="3"/>
      <x:c r="J214" s="3"/>
      <x:c r="K214" s="3"/>
      <x:c r="L214" s="3"/>
      <x:c r="M214" s="3"/>
      <x:c r="N214" s="2"/>
      <x:c r="O214" s="2"/>
    </x:row>
    <x:row r="215" ht="20" customHeight="1">
      <x:c r="A215" s="2"/>
      <x:c r="B215" s="2"/>
      <x:c r="C215" s="2"/>
      <x:c r="D215" s="3"/>
      <x:c r="E215" s="3"/>
      <x:c r="F215" s="3"/>
      <x:c r="G215" s="3"/>
      <x:c r="H215" s="3"/>
      <x:c r="I215" s="3"/>
      <x:c r="J215" s="3"/>
      <x:c r="K215" s="3"/>
      <x:c r="L215" s="3"/>
      <x:c r="M215" s="3"/>
      <x:c r="N215" s="2"/>
      <x:c r="O215" s="2"/>
    </x:row>
    <x:row r="216" ht="44" customHeight="1">
      <x:c r="A216" s="2"/>
      <x:c r="B216" s="2"/>
      <x:c r="C216" s="16" t="str">
        <x:v>Changed depreciation implementation: commissioned asset balances now drive D&amp;A. A FY26 calibrated net-asset rate and explicit commissioning/lease assumptions replace sales-intensity extrapolation. Segment allocations retain FY26 D&amp;A shares.</x:v>
      </x:c>
      <x:c r="D216" s="38"/>
      <x:c r="E216" s="38"/>
      <x:c r="F216" s="38"/>
      <x:c r="G216" s="38"/>
      <x:c r="H216" s="38"/>
      <x:c r="I216" s="38"/>
      <x:c r="J216" s="38"/>
      <x:c r="K216" s="38"/>
      <x:c r="L216" s="38"/>
      <x:c r="M216" s="38"/>
      <x:c r="N216" s="2"/>
      <x:c r="O216" s="2"/>
    </x:row>
    <x:row r="217" ht="20" customHeight="1">
      <x:c r="A217" s="2"/>
      <x:c r="B217" s="2"/>
      <x:c r="C217" s="2"/>
      <x:c r="D217" s="3"/>
      <x:c r="E217" s="3"/>
      <x:c r="F217" s="3"/>
      <x:c r="G217" s="3"/>
      <x:c r="H217" s="3"/>
      <x:c r="I217" s="3"/>
      <x:c r="J217" s="3"/>
      <x:c r="K217" s="3"/>
      <x:c r="L217" s="3"/>
      <x:c r="M217" s="3"/>
      <x:c r="N217" s="2"/>
      <x:c r="O217" s="2"/>
    </x:row>
    <x:row r="218" ht="20" customHeight="1">
      <x:c r="A218" s="2"/>
      <x:c r="B218" s="2"/>
      <x:c r="C218" s="2"/>
      <x:c r="D218" s="3"/>
      <x:c r="E218" s="3"/>
      <x:c r="F218" s="3"/>
      <x:c r="G218" s="3"/>
      <x:c r="H218" s="3"/>
      <x:c r="I218" s="3"/>
      <x:c r="J218" s="3"/>
      <x:c r="K218" s="3"/>
      <x:c r="L218" s="3"/>
      <x:c r="M218" s="3"/>
      <x:c r="N218" s="2"/>
      <x:c r="O218" s="2"/>
    </x:row>
    <x:row r="219" ht="32" customHeight="1">
      <x:c r="A219" s="2"/>
      <x:c r="B219" s="2"/>
      <x:c r="C219" s="16" t="str">
        <x:v>Added a linked cash/investment allocation schedule and average-capital ROCE/ROIC. No external funding is plugged. Cash generation and retained earnings drive the balance sheet.</x:v>
      </x:c>
      <x:c r="D219" s="38"/>
      <x:c r="E219" s="38"/>
      <x:c r="F219" s="38"/>
      <x:c r="G219" s="38"/>
      <x:c r="H219" s="38"/>
      <x:c r="I219" s="38"/>
      <x:c r="J219" s="38"/>
      <x:c r="K219" s="38"/>
      <x:c r="L219" s="38"/>
      <x:c r="M219" s="38"/>
      <x:c r="N219" s="2"/>
      <x:c r="O219" s="2"/>
    </x:row>
    <x:row r="220" ht="20" customHeight="1">
      <x:c r="A220" s="2"/>
      <x:c r="B220" s="2"/>
      <x:c r="C220" s="2"/>
      <x:c r="D220" s="3"/>
      <x:c r="E220" s="3"/>
      <x:c r="F220" s="3"/>
      <x:c r="G220" s="3"/>
      <x:c r="H220" s="3"/>
      <x:c r="I220" s="3"/>
      <x:c r="J220" s="3"/>
      <x:c r="K220" s="3"/>
      <x:c r="L220" s="3"/>
      <x:c r="M220" s="3"/>
      <x:c r="N220" s="2"/>
      <x:c r="O220" s="2"/>
    </x:row>
    <x:row r="221" ht="20" customHeight="1">
      <x:c r="A221" s="2"/>
      <x:c r="B221" s="2"/>
      <x:c r="C221" s="2"/>
      <x:c r="D221" s="3"/>
      <x:c r="E221" s="3"/>
      <x:c r="F221" s="3"/>
      <x:c r="G221" s="3"/>
      <x:c r="H221" s="3"/>
      <x:c r="I221" s="3"/>
      <x:c r="J221" s="3"/>
      <x:c r="K221" s="3"/>
      <x:c r="L221" s="3"/>
      <x:c r="M221" s="3"/>
      <x:c r="N221" s="2"/>
      <x:c r="O221" s="2"/>
    </x:row>
    <x:row r="222" ht="44" customHeight="1">
      <x:c r="A222" s="2"/>
      <x:c r="B222" s="2"/>
      <x:c r="C222" s="16" t="str">
        <x:v>Completed WACC from dated sovereign yield, default spread, mature ERP, country risk, analyst beta, funded debt weights and historical finance-cost proxy. Terminal growth is 4%; terminal reinvestment remains explicit.</x:v>
      </x:c>
      <x:c r="D222" s="38"/>
      <x:c r="E222" s="38"/>
      <x:c r="F222" s="38"/>
      <x:c r="G222" s="38"/>
      <x:c r="H222" s="38"/>
      <x:c r="I222" s="38"/>
      <x:c r="J222" s="38"/>
      <x:c r="K222" s="38"/>
      <x:c r="L222" s="38"/>
      <x:c r="M222" s="38"/>
      <x:c r="N222" s="2"/>
      <x:c r="O222" s="2"/>
    </x:row>
    <x:row r="223" ht="20" customHeight="1">
      <x:c r="A223" s="2"/>
      <x:c r="B223" s="2"/>
      <x:c r="C223" s="2"/>
      <x:c r="D223" s="3"/>
      <x:c r="E223" s="3"/>
      <x:c r="F223" s="3"/>
      <x:c r="G223" s="3"/>
      <x:c r="H223" s="3"/>
      <x:c r="I223" s="3"/>
      <x:c r="J223" s="3"/>
      <x:c r="K223" s="3"/>
      <x:c r="L223" s="3"/>
      <x:c r="M223" s="3"/>
      <x:c r="N223" s="2"/>
      <x:c r="O223" s="2"/>
    </x:row>
    <x:row r="224" ht="20" customHeight="1">
      <x:c r="A224" s="2"/>
      <x:c r="B224" s="2"/>
      <x:c r="C224" s="2"/>
      <x:c r="D224" s="3"/>
      <x:c r="E224" s="3"/>
      <x:c r="F224" s="3"/>
      <x:c r="G224" s="3"/>
      <x:c r="H224" s="3"/>
      <x:c r="I224" s="3"/>
      <x:c r="J224" s="3"/>
      <x:c r="K224" s="3"/>
      <x:c r="L224" s="3"/>
      <x:c r="M224" s="3"/>
      <x:c r="N224" s="2"/>
      <x:c r="O224" s="2"/>
    </x:row>
    <x:row r="225" ht="44" customHeight="1">
      <x:c r="A225" s="2"/>
      <x:c r="B225" s="2"/>
      <x:c r="C225" s="16" t="str">
        <x:v>Reserved FY26 operating cash and all other bank balances in the DCF. This conservative bridge avoids assuming that earmarked deposits are freely distributable. NCI remains a book-value proxy.</x:v>
      </x:c>
      <x:c r="D225" s="38"/>
      <x:c r="E225" s="38"/>
      <x:c r="F225" s="38"/>
      <x:c r="G225" s="38"/>
      <x:c r="H225" s="38"/>
      <x:c r="I225" s="38"/>
      <x:c r="J225" s="38"/>
      <x:c r="K225" s="38"/>
      <x:c r="L225" s="38"/>
      <x:c r="M225" s="38"/>
      <x:c r="N225" s="2"/>
      <x:c r="O225" s="2"/>
    </x:row>
    <x:row r="226" ht="20" customHeight="1">
      <x:c r="A226" s="2"/>
      <x:c r="B226" s="2"/>
      <x:c r="C226" s="2"/>
      <x:c r="D226" s="3"/>
      <x:c r="E226" s="3"/>
      <x:c r="F226" s="3"/>
      <x:c r="G226" s="3"/>
      <x:c r="H226" s="3"/>
      <x:c r="I226" s="3"/>
      <x:c r="J226" s="3"/>
      <x:c r="K226" s="3"/>
      <x:c r="L226" s="3"/>
      <x:c r="M226" s="3"/>
      <x:c r="N226" s="2"/>
      <x:c r="O226" s="2"/>
    </x:row>
    <x:row r="227" ht="20" customHeight="1">
      <x:c r="A227" s="2"/>
      <x:c r="B227" s="2"/>
      <x:c r="C227" s="2"/>
      <x:c r="D227" s="3"/>
      <x:c r="E227" s="3"/>
      <x:c r="F227" s="3"/>
      <x:c r="G227" s="3"/>
      <x:c r="H227" s="3"/>
      <x:c r="I227" s="3"/>
      <x:c r="J227" s="3"/>
      <x:c r="K227" s="3"/>
      <x:c r="L227" s="3"/>
      <x:c r="M227" s="3"/>
      <x:c r="N227" s="2"/>
      <x:c r="O227" s="2"/>
    </x:row>
    <x:row r="228" ht="44" customHeight="1">
      <x:c r="A228" s="2"/>
      <x:c r="B228" s="2"/>
      <x:c r="C228" s="16" t="str">
        <x:v>Reserved FY26 operating cash and other bank balances in the equity bridge. Forecast FCFF also deducts increases in required cash. Terminal reinvestment covers all operating capital through the ROIC assumption.</x:v>
      </x:c>
      <x:c r="D228" s="38"/>
      <x:c r="E228" s="38"/>
      <x:c r="F228" s="38"/>
      <x:c r="G228" s="38"/>
      <x:c r="H228" s="38"/>
      <x:c r="I228" s="38"/>
      <x:c r="J228" s="38"/>
      <x:c r="K228" s="38"/>
      <x:c r="L228" s="38"/>
      <x:c r="M228" s="38"/>
      <x:c r="N228" s="2"/>
      <x:c r="O228" s="2"/>
    </x:row>
    <x:row r="229" ht="20" customHeight="1">
      <x:c r="A229" s="2"/>
      <x:c r="B229" s="2"/>
      <x:c r="C229" s="2"/>
      <x:c r="D229" s="3"/>
      <x:c r="E229" s="3"/>
      <x:c r="F229" s="3"/>
      <x:c r="G229" s="3"/>
      <x:c r="H229" s="3"/>
      <x:c r="I229" s="3"/>
      <x:c r="J229" s="3"/>
      <x:c r="K229" s="3"/>
      <x:c r="L229" s="3"/>
      <x:c r="M229" s="3"/>
      <x:c r="N229" s="2"/>
      <x:c r="O229" s="2"/>
    </x:row>
    <x:row r="230" ht="20" customHeight="1">
      <x:c r="A230" s="2"/>
      <x:c r="B230" s="2"/>
      <x:c r="C230" s="2"/>
      <x:c r="D230" s="3"/>
      <x:c r="E230" s="3"/>
      <x:c r="F230" s="3"/>
      <x:c r="G230" s="3"/>
      <x:c r="H230" s="3"/>
      <x:c r="I230" s="3"/>
      <x:c r="J230" s="3"/>
      <x:c r="K230" s="3"/>
      <x:c r="L230" s="3"/>
      <x:c r="M230" s="3"/>
      <x:c r="N230" s="2"/>
      <x:c r="O230" s="2"/>
    </x:row>
    <x:row r="231" ht="20" customHeight="1">
      <x:c r="A231" s="2"/>
      <x:c r="B231" s="2"/>
      <x:c r="C231" s="2"/>
      <x:c r="D231" s="3"/>
      <x:c r="E231" s="3"/>
      <x:c r="F231" s="3"/>
      <x:c r="G231" s="3"/>
      <x:c r="H231" s="3"/>
      <x:c r="I231" s="3"/>
      <x:c r="J231" s="3"/>
      <x:c r="K231" s="3"/>
      <x:c r="L231" s="3"/>
      <x:c r="M231" s="3"/>
      <x:c r="N231" s="2"/>
      <x:c r="O231" s="2"/>
    </x:row>
    <x:row r="232" ht="20" customHeight="1">
      <x:c r="A232" s="2"/>
      <x:c r="B232" s="2"/>
      <x:c r="C232" s="2"/>
      <x:c r="D232" s="3"/>
      <x:c r="E232" s="3"/>
      <x:c r="F232" s="3"/>
      <x:c r="G232" s="3"/>
      <x:c r="H232" s="3"/>
      <x:c r="I232" s="3"/>
      <x:c r="J232" s="3"/>
      <x:c r="K232" s="3"/>
      <x:c r="L232" s="3"/>
      <x:c r="M232" s="3"/>
      <x:c r="N232" s="2"/>
      <x:c r="O232" s="2"/>
    </x:row>
    <x:row r="233" ht="20" customHeight="1">
      <x:c r="A233" s="2"/>
      <x:c r="B233" s="2"/>
      <x:c r="C233" s="2"/>
      <x:c r="D233" s="3"/>
      <x:c r="E233" s="3"/>
      <x:c r="F233" s="3"/>
      <x:c r="G233" s="3"/>
      <x:c r="H233" s="3"/>
      <x:c r="I233" s="3"/>
      <x:c r="J233" s="3"/>
      <x:c r="K233" s="3"/>
      <x:c r="L233" s="3"/>
      <x:c r="M233" s="3"/>
      <x:c r="N233" s="2"/>
      <x:c r="O233" s="2"/>
    </x:row>
    <x:row r="234" ht="20" customHeight="1">
      <x:c r="A234" s="2"/>
      <x:c r="B234" s="2"/>
      <x:c r="C234" s="2"/>
      <x:c r="D234" s="3"/>
      <x:c r="E234" s="3"/>
      <x:c r="F234" s="3"/>
      <x:c r="G234" s="3"/>
      <x:c r="H234" s="3"/>
      <x:c r="I234" s="3"/>
      <x:c r="J234" s="3"/>
      <x:c r="K234" s="3"/>
      <x:c r="L234" s="3"/>
      <x:c r="M234" s="3"/>
      <x:c r="N234" s="2"/>
      <x:c r="O234" s="2"/>
    </x:row>
    <x:row r="235" ht="20" customHeight="1">
      <x:c r="A235" s="2"/>
      <x:c r="B235" s="2"/>
      <x:c r="C235" s="2"/>
      <x:c r="D235" s="3"/>
      <x:c r="E235" s="3"/>
      <x:c r="F235" s="3"/>
      <x:c r="G235" s="3"/>
      <x:c r="H235" s="3"/>
      <x:c r="I235" s="3"/>
      <x:c r="J235" s="3"/>
      <x:c r="K235" s="3"/>
      <x:c r="L235" s="3"/>
      <x:c r="M235" s="3"/>
      <x:c r="N235" s="2"/>
      <x:c r="O235" s="2"/>
    </x:row>
    <x:row r="236" ht="20" customHeight="1">
      <x:c r="A236" s="2"/>
      <x:c r="B236" s="2"/>
      <x:c r="C236" s="2"/>
      <x:c r="D236" s="3"/>
      <x:c r="E236" s="3"/>
      <x:c r="F236" s="3"/>
      <x:c r="G236" s="3"/>
      <x:c r="H236" s="3"/>
      <x:c r="I236" s="3"/>
      <x:c r="J236" s="3"/>
      <x:c r="K236" s="3"/>
      <x:c r="L236" s="3"/>
      <x:c r="M236" s="3"/>
      <x:c r="N236" s="2"/>
      <x:c r="O236" s="2"/>
    </x:row>
    <x:row r="237" ht="20" customHeight="1">
      <x:c r="A237" s="2"/>
      <x:c r="B237" s="2"/>
      <x:c r="C237" s="2"/>
      <x:c r="D237" s="3"/>
      <x:c r="E237" s="3"/>
      <x:c r="F237" s="3"/>
      <x:c r="G237" s="3"/>
      <x:c r="H237" s="3"/>
      <x:c r="I237" s="3"/>
      <x:c r="J237" s="3"/>
      <x:c r="K237" s="3"/>
      <x:c r="L237" s="3"/>
      <x:c r="M237" s="3"/>
      <x:c r="N237" s="2"/>
      <x:c r="O237" s="2"/>
    </x:row>
    <x:row r="238" ht="20" customHeight="1">
      <x:c r="A238" s="2"/>
      <x:c r="B238" s="2"/>
      <x:c r="C238" s="2"/>
      <x:c r="D238" s="3"/>
      <x:c r="E238" s="3"/>
      <x:c r="F238" s="3"/>
      <x:c r="G238" s="3"/>
      <x:c r="H238" s="3"/>
      <x:c r="I238" s="3"/>
      <x:c r="J238" s="3"/>
      <x:c r="K238" s="3"/>
      <x:c r="L238" s="3"/>
      <x:c r="M238" s="3"/>
      <x:c r="N238" s="2"/>
      <x:c r="O238" s="2"/>
    </x:row>
    <x:row r="239" ht="20" customHeight="1">
      <x:c r="A239" s="2"/>
      <x:c r="B239" s="2"/>
      <x:c r="C239" s="2"/>
      <x:c r="D239" s="3"/>
      <x:c r="E239" s="3"/>
      <x:c r="F239" s="3"/>
      <x:c r="G239" s="3"/>
      <x:c r="H239" s="3"/>
      <x:c r="I239" s="3"/>
      <x:c r="J239" s="3"/>
      <x:c r="K239" s="3"/>
      <x:c r="L239" s="3"/>
      <x:c r="M239" s="3"/>
      <x:c r="N239" s="2"/>
      <x:c r="O239" s="2"/>
    </x:row>
    <x:row r="240" ht="24" customHeight="1">
      <x:c r="A240" s="2"/>
      <x:c r="B240" s="2"/>
      <x:c r="C240" s="80" t="str">
        <x:v>How to read the forecast assumptions</x:v>
      </x:c>
      <x:c r="D240" s="81"/>
      <x:c r="E240" s="81"/>
      <x:c r="F240" s="81"/>
      <x:c r="G240" s="81"/>
      <x:c r="H240" s="81"/>
      <x:c r="I240" s="81"/>
      <x:c r="J240" s="81"/>
      <x:c r="K240" s="81"/>
      <x:c r="L240" s="81"/>
      <x:c r="M240" s="81"/>
      <x:c r="N240" s="2"/>
      <x:c r="O240" s="2"/>
    </x:row>
    <x:row r="241" ht="20" customHeight="1">
      <x:c r="A241" s="2"/>
      <x:c r="B241" s="2"/>
      <x:c r="C241" s="2"/>
      <x:c r="D241" s="3"/>
      <x:c r="E241" s="3"/>
      <x:c r="F241" s="3"/>
      <x:c r="G241" s="3"/>
      <x:c r="H241" s="3"/>
      <x:c r="I241" s="3"/>
      <x:c r="J241" s="3"/>
      <x:c r="K241" s="3"/>
      <x:c r="L241" s="3"/>
      <x:c r="M241" s="3"/>
      <x:c r="N241" s="2"/>
      <x:c r="O241" s="2"/>
    </x:row>
    <x:row r="242" ht="24" customHeight="1">
      <x:c r="A242" s="2"/>
      <x:c r="B242" s="2"/>
      <x:c r="C242" s="80" t="str">
        <x:v>Domestic W&amp;C revenue</x:v>
      </x:c>
      <x:c r="D242" s="81"/>
      <x:c r="E242" s="81"/>
      <x:c r="F242" s="81"/>
      <x:c r="G242" s="81"/>
      <x:c r="H242" s="81"/>
      <x:c r="I242" s="81"/>
      <x:c r="J242" s="81"/>
      <x:c r="K242" s="81"/>
      <x:c r="L242" s="81"/>
      <x:c r="M242" s="81"/>
      <x:c r="N242" s="2"/>
      <x:c r="O242" s="2"/>
    </x:row>
    <x:row r="243" ht="20" customHeight="1">
      <x:c r="A243" s="2"/>
      <x:c r="B243" s="2"/>
      <x:c r="C243" s="2"/>
      <x:c r="D243" s="3"/>
      <x:c r="E243" s="3"/>
      <x:c r="F243" s="3"/>
      <x:c r="G243" s="3"/>
      <x:c r="H243" s="3"/>
      <x:c r="I243" s="3"/>
      <x:c r="J243" s="3"/>
      <x:c r="K243" s="3"/>
      <x:c r="L243" s="3"/>
      <x:c r="M243" s="3"/>
      <x:c r="N243" s="2"/>
      <x:c r="O243" s="2"/>
    </x:row>
    <x:row r="244" ht="55" customHeight="1">
      <x:c r="A244" s="2"/>
      <x:c r="B244" s="2"/>
      <x:c r="C244" s="16" t="str">
        <x:v>Historical domestic revenue is the opening base. Annual nominal industry growth is multiplied by the outperformance factor, then applied to that base. FY27: 16% x 1.5 = 24% domestic growth. Commodity price effects are already in nominal growth; no second price uplift is added.</x:v>
      </x:c>
      <x:c r="D244" s="38"/>
      <x:c r="E244" s="38"/>
      <x:c r="F244" s="38"/>
      <x:c r="G244" s="38"/>
      <x:c r="H244" s="38"/>
      <x:c r="I244" s="38"/>
      <x:c r="J244" s="38"/>
      <x:c r="K244" s="38"/>
      <x:c r="L244" s="38"/>
      <x:c r="M244" s="38"/>
      <x:c r="N244" s="2"/>
      <x:c r="O244" s="2"/>
    </x:row>
    <x:row r="245" ht="20" customHeight="1">
      <x:c r="A245" s="2"/>
      <x:c r="B245" s="2"/>
      <x:c r="C245" s="2"/>
      <x:c r="D245" s="3"/>
      <x:c r="E245" s="3"/>
      <x:c r="F245" s="3"/>
      <x:c r="G245" s="3"/>
      <x:c r="H245" s="3"/>
      <x:c r="I245" s="3"/>
      <x:c r="J245" s="3"/>
      <x:c r="K245" s="3"/>
      <x:c r="L245" s="3"/>
      <x:c r="M245" s="3"/>
      <x:c r="N245" s="2"/>
      <x:c r="O245" s="2"/>
    </x:row>
    <x:row r="246" ht="20" customHeight="1">
      <x:c r="C246" s="2"/>
      <x:c r="D246" s="3"/>
      <x:c r="E246" s="3"/>
      <x:c r="F246" s="3"/>
      <x:c r="G246" s="3"/>
      <x:c r="H246" s="3"/>
      <x:c r="I246" s="3"/>
      <x:c r="J246" s="3"/>
      <x:c r="K246" s="3"/>
      <x:c r="L246" s="3"/>
      <x:c r="M246" s="3"/>
      <x:c r="N246" s="2"/>
      <x:c r="O246" s="2"/>
    </x:row>
    <x:row r="247" ht="55" customHeight="1">
      <x:c r="C247" s="16" t="str">
        <x:v>Why: scale, distribution and recent share gains support outperformance. Q1FY27 nominal growth is not extrapolated for five years because volume growth was much lower. Base industry growth fades to 10%; relative outperformance fades to 1.3x by FY31.</x:v>
      </x:c>
      <x:c r="D247" s="38"/>
      <x:c r="E247" s="38"/>
      <x:c r="F247" s="38"/>
      <x:c r="G247" s="38"/>
      <x:c r="H247" s="38"/>
      <x:c r="I247" s="38"/>
      <x:c r="J247" s="38"/>
      <x:c r="K247" s="38"/>
      <x:c r="L247" s="38"/>
      <x:c r="M247" s="38"/>
      <x:c r="N247" s="2"/>
      <x:c r="O247" s="2"/>
    </x:row>
    <x:row r="248" ht="20" customHeight="1">
      <x:c r="C248" s="2"/>
      <x:c r="D248" s="3"/>
      <x:c r="E248" s="3"/>
      <x:c r="F248" s="3"/>
      <x:c r="G248" s="3"/>
      <x:c r="H248" s="3"/>
      <x:c r="I248" s="3"/>
      <x:c r="J248" s="3"/>
      <x:c r="K248" s="3"/>
      <x:c r="L248" s="3"/>
      <x:c r="M248" s="3"/>
      <x:c r="N248" s="2"/>
      <x:c r="O248" s="2"/>
    </x:row>
    <x:row r="249" ht="20" customHeight="1">
      <x:c r="C249" s="2"/>
      <x:c r="D249" s="3"/>
      <x:c r="E249" s="3"/>
      <x:c r="F249" s="3"/>
      <x:c r="G249" s="3"/>
      <x:c r="H249" s="3"/>
      <x:c r="I249" s="3"/>
      <x:c r="J249" s="3"/>
      <x:c r="K249" s="3"/>
      <x:c r="L249" s="3"/>
      <x:c r="M249" s="3"/>
      <x:c r="N249" s="2"/>
      <x:c r="O249" s="2"/>
    </x:row>
    <x:row r="250" ht="20" customHeight="1">
      <x:c r="C250" s="2"/>
      <x:c r="D250" s="3"/>
      <x:c r="E250" s="3"/>
      <x:c r="F250" s="3"/>
      <x:c r="G250" s="3"/>
      <x:c r="H250" s="3"/>
      <x:c r="I250" s="3"/>
      <x:c r="J250" s="3"/>
      <x:c r="K250" s="3"/>
      <x:c r="L250" s="3"/>
      <x:c r="M250" s="3"/>
      <x:c r="N250" s="2"/>
      <x:c r="O250" s="2"/>
    </x:row>
    <x:row r="251" ht="24" customHeight="1">
      <x:c r="C251" s="80" t="str">
        <x:v>Exports and FMEG</x:v>
      </x:c>
      <x:c r="D251" s="81"/>
      <x:c r="E251" s="81"/>
      <x:c r="F251" s="81"/>
      <x:c r="G251" s="81"/>
      <x:c r="H251" s="81"/>
      <x:c r="I251" s="81"/>
      <x:c r="J251" s="81"/>
      <x:c r="K251" s="81"/>
      <x:c r="L251" s="81"/>
      <x:c r="M251" s="81"/>
      <x:c r="N251" s="2"/>
      <x:c r="O251" s="2"/>
    </x:row>
    <x:row r="252" ht="20" customHeight="1">
      <x:c r="C252" s="2"/>
      <x:c r="D252" s="3"/>
      <x:c r="E252" s="3"/>
      <x:c r="F252" s="3"/>
      <x:c r="G252" s="3"/>
      <x:c r="H252" s="3"/>
      <x:c r="I252" s="3"/>
      <x:c r="J252" s="3"/>
      <x:c r="K252" s="3"/>
      <x:c r="L252" s="3"/>
      <x:c r="M252" s="3"/>
      <x:c r="N252" s="2"/>
      <x:c r="O252" s="2"/>
    </x:row>
    <x:row r="253" ht="55" customHeight="1">
      <x:c r="C253" s="16" t="str">
        <x:v>Exports grow 15% in FY27 and 25% thereafter. FMEG grows 40%, 25%, 20%, 18%, 15%. Each segment compounds from its own prior-year income; segment total less allocated non-finance other income reconciles to group revenue.</x:v>
      </x:c>
      <x:c r="D253" s="38"/>
      <x:c r="E253" s="38"/>
      <x:c r="F253" s="38"/>
      <x:c r="G253" s="38"/>
      <x:c r="H253" s="38"/>
      <x:c r="I253" s="38"/>
      <x:c r="J253" s="38"/>
      <x:c r="K253" s="38"/>
      <x:c r="L253" s="38"/>
      <x:c r="M253" s="38"/>
      <x:c r="N253" s="2"/>
      <x:c r="O253" s="2"/>
    </x:row>
    <x:row r="254" ht="20" customHeight="1">
      <x:c r="C254" s="2"/>
      <x:c r="D254" s="3"/>
      <x:c r="E254" s="3"/>
      <x:c r="F254" s="3"/>
      <x:c r="G254" s="3"/>
      <x:c r="H254" s="3"/>
      <x:c r="I254" s="3"/>
      <x:c r="J254" s="3"/>
      <x:c r="K254" s="3"/>
      <x:c r="L254" s="3"/>
      <x:c r="M254" s="3"/>
      <x:c r="N254" s="2"/>
      <x:c r="O254" s="2"/>
    </x:row>
    <x:row r="255" ht="20" customHeight="1">
      <x:c r="C255" s="2"/>
      <x:c r="D255" s="3"/>
      <x:c r="E255" s="3"/>
      <x:c r="F255" s="3"/>
      <x:c r="G255" s="3"/>
      <x:c r="H255" s="3"/>
      <x:c r="I255" s="3"/>
      <x:c r="J255" s="3"/>
      <x:c r="K255" s="3"/>
      <x:c r="L255" s="3"/>
      <x:c r="M255" s="3"/>
      <x:c r="N255" s="2"/>
      <x:c r="O255" s="2"/>
    </x:row>
    <x:row r="256" ht="55" customHeight="1">
      <x:c r="C256" s="16" t="str">
        <x:v>Why: export recovery and FMEG distribution/solar scale are opportunities, but targets are not achieved by formula. The base export share remains below the FY30 ambition. FMEG growth moderates after its recovery year.</x:v>
      </x:c>
      <x:c r="D256" s="38"/>
      <x:c r="E256" s="38"/>
      <x:c r="F256" s="38"/>
      <x:c r="G256" s="38"/>
      <x:c r="H256" s="38"/>
      <x:c r="I256" s="38"/>
      <x:c r="J256" s="38"/>
      <x:c r="K256" s="38"/>
      <x:c r="L256" s="38"/>
      <x:c r="M256" s="38"/>
      <x:c r="N256" s="2"/>
      <x:c r="O256" s="2"/>
    </x:row>
    <x:row r="257" ht="20" customHeight="1">
      <x:c r="C257" s="2"/>
      <x:c r="D257" s="3"/>
      <x:c r="E257" s="3"/>
      <x:c r="F257" s="3"/>
      <x:c r="G257" s="3"/>
      <x:c r="H257" s="3"/>
      <x:c r="I257" s="3"/>
      <x:c r="J257" s="3"/>
      <x:c r="K257" s="3"/>
      <x:c r="L257" s="3"/>
      <x:c r="M257" s="3"/>
      <x:c r="N257" s="2"/>
      <x:c r="O257" s="2"/>
    </x:row>
    <x:row r="258" ht="20" customHeight="1">
      <x:c r="C258" s="2"/>
      <x:c r="D258" s="3"/>
      <x:c r="E258" s="3"/>
      <x:c r="F258" s="3"/>
      <x:c r="G258" s="3"/>
      <x:c r="H258" s="3"/>
      <x:c r="I258" s="3"/>
      <x:c r="J258" s="3"/>
      <x:c r="K258" s="3"/>
      <x:c r="L258" s="3"/>
      <x:c r="M258" s="3"/>
      <x:c r="N258" s="2"/>
      <x:c r="O258" s="2"/>
    </x:row>
    <x:row r="259" ht="20" customHeight="1">
      <x:c r="C259" s="2"/>
      <x:c r="D259" s="3"/>
      <x:c r="E259" s="3"/>
      <x:c r="F259" s="3"/>
      <x:c r="G259" s="3"/>
      <x:c r="H259" s="3"/>
      <x:c r="I259" s="3"/>
      <x:c r="J259" s="3"/>
      <x:c r="K259" s="3"/>
      <x:c r="L259" s="3"/>
      <x:c r="M259" s="3"/>
      <x:c r="N259" s="2"/>
      <x:c r="O259" s="2"/>
    </x:row>
    <x:row r="260" ht="24" customHeight="1">
      <x:c r="C260" s="80" t="str">
        <x:v>Margin definitions and normalization</x:v>
      </x:c>
      <x:c r="D260" s="81"/>
      <x:c r="E260" s="81"/>
      <x:c r="F260" s="81"/>
      <x:c r="G260" s="81"/>
      <x:c r="H260" s="81"/>
      <x:c r="I260" s="81"/>
      <x:c r="J260" s="81"/>
      <x:c r="K260" s="81"/>
      <x:c r="L260" s="81"/>
      <x:c r="M260" s="81"/>
      <x:c r="N260" s="2"/>
      <x:c r="O260" s="2"/>
    </x:row>
    <x:row r="261" ht="20" customHeight="1">
      <x:c r="C261" s="2"/>
      <x:c r="D261" s="3"/>
      <x:c r="E261" s="3"/>
      <x:c r="F261" s="3"/>
      <x:c r="G261" s="3"/>
      <x:c r="H261" s="3"/>
      <x:c r="I261" s="3"/>
      <x:c r="J261" s="3"/>
      <x:c r="K261" s="3"/>
      <x:c r="L261" s="3"/>
      <x:c r="M261" s="3"/>
      <x:c r="N261" s="2"/>
      <x:c r="O261" s="2"/>
    </x:row>
    <x:row r="262" ht="55" customHeight="1">
      <x:c r="C262" s="16" t="str">
        <x:v>W&amp;C and FMEG inputs are EBITDA margins. EPC uses EBIT margin. The asset schedule supplies depreciation, which is allocated using FY26 segment D&amp;A shares. Group EBIT then excludes non-finance other income from segment earnings.</x:v>
      </x:c>
      <x:c r="D262" s="38"/>
      <x:c r="E262" s="38"/>
      <x:c r="F262" s="38"/>
      <x:c r="G262" s="38"/>
      <x:c r="H262" s="38"/>
      <x:c r="I262" s="38"/>
      <x:c r="J262" s="38"/>
      <x:c r="K262" s="38"/>
      <x:c r="L262" s="38"/>
      <x:c r="M262" s="38"/>
      <x:c r="N262" s="2"/>
      <x:c r="O262" s="2"/>
    </x:row>
    <x:row r="263" ht="20" customHeight="1">
      <x:c r="C263" s="2"/>
      <x:c r="D263" s="3"/>
      <x:c r="E263" s="3"/>
      <x:c r="F263" s="3"/>
      <x:c r="G263" s="3"/>
      <x:c r="H263" s="3"/>
      <x:c r="I263" s="3"/>
      <x:c r="J263" s="3"/>
      <x:c r="K263" s="3"/>
      <x:c r="L263" s="3"/>
      <x:c r="M263" s="3"/>
      <x:c r="N263" s="2"/>
      <x:c r="O263" s="2"/>
    </x:row>
    <x:row r="264" ht="20" customHeight="1">
      <x:c r="C264" s="2"/>
      <x:c r="D264" s="3"/>
      <x:c r="E264" s="3"/>
      <x:c r="F264" s="3"/>
      <x:c r="G264" s="3"/>
      <x:c r="H264" s="3"/>
      <x:c r="I264" s="3"/>
      <x:c r="J264" s="3"/>
      <x:c r="K264" s="3"/>
      <x:c r="L264" s="3"/>
      <x:c r="M264" s="3"/>
      <x:c r="N264" s="2"/>
      <x:c r="O264" s="2"/>
    </x:row>
    <x:row r="265" ht="55" customHeight="1">
      <x:c r="C265" s="16" t="str">
        <x:v>Management W&amp;C medium/long-term guidance is 11–13% EBIT, not EBITDA (S26). Model W&amp;C EBITDA fades from 14% to 12.5%; compare the resulting EBIT margin after D&amp;A with guidance. FMEG 9–9.5% EBITDA translates to a lower EBIT margin.</x:v>
      </x:c>
      <x:c r="D265" s="38"/>
      <x:c r="E265" s="38"/>
      <x:c r="F265" s="38"/>
      <x:c r="G265" s="38"/>
      <x:c r="H265" s="38"/>
      <x:c r="I265" s="38"/>
      <x:c r="J265" s="38"/>
      <x:c r="K265" s="38"/>
      <x:c r="L265" s="38"/>
      <x:c r="M265" s="38"/>
      <x:c r="N265" s="2"/>
      <x:c r="O265" s="2"/>
    </x:row>
    <x:row r="266" ht="20" customHeight="1">
      <x:c r="C266" s="2"/>
      <x:c r="D266" s="3"/>
      <x:c r="E266" s="3"/>
      <x:c r="F266" s="3"/>
      <x:c r="G266" s="3"/>
      <x:c r="H266" s="3"/>
      <x:c r="I266" s="3"/>
      <x:c r="J266" s="3"/>
      <x:c r="K266" s="3"/>
      <x:c r="L266" s="3"/>
      <x:c r="M266" s="3"/>
      <x:c r="N266" s="2"/>
      <x:c r="O266" s="2"/>
    </x:row>
    <x:row r="267" ht="20" customHeight="1">
      <x:c r="C267" s="2"/>
      <x:c r="D267" s="3"/>
      <x:c r="E267" s="3"/>
      <x:c r="F267" s="3"/>
      <x:c r="G267" s="3"/>
      <x:c r="H267" s="3"/>
      <x:c r="I267" s="3"/>
      <x:c r="J267" s="3"/>
      <x:c r="K267" s="3"/>
      <x:c r="L267" s="3"/>
      <x:c r="M267" s="3"/>
      <x:c r="N267" s="2"/>
      <x:c r="O267" s="2"/>
    </x:row>
    <x:row r="268" ht="20" customHeight="1">
      <x:c r="C268" s="2"/>
      <x:c r="D268" s="3"/>
      <x:c r="E268" s="3"/>
      <x:c r="F268" s="3"/>
      <x:c r="G268" s="3"/>
      <x:c r="H268" s="3"/>
      <x:c r="I268" s="3"/>
      <x:c r="J268" s="3"/>
      <x:c r="K268" s="3"/>
      <x:c r="L268" s="3"/>
      <x:c r="M268" s="3"/>
      <x:c r="N268" s="2"/>
      <x:c r="O268" s="2"/>
    </x:row>
    <x:row r="269" ht="24" customHeight="1">
      <x:c r="C269" s="80" t="str">
        <x:v>Working capital and supplier funding</x:v>
      </x:c>
      <x:c r="D269" s="81"/>
      <x:c r="E269" s="81"/>
      <x:c r="F269" s="81"/>
      <x:c r="G269" s="81"/>
      <x:c r="H269" s="81"/>
      <x:c r="I269" s="81"/>
      <x:c r="J269" s="81"/>
      <x:c r="K269" s="81"/>
      <x:c r="L269" s="81"/>
      <x:c r="M269" s="81"/>
      <x:c r="N269" s="2"/>
      <x:c r="O269" s="2"/>
    </x:row>
    <x:row r="270" ht="20" customHeight="1">
      <x:c r="C270" s="2"/>
      <x:c r="D270" s="3"/>
      <x:c r="E270" s="3"/>
      <x:c r="F270" s="3"/>
      <x:c r="G270" s="3"/>
      <x:c r="H270" s="3"/>
      <x:c r="I270" s="3"/>
      <x:c r="J270" s="3"/>
      <x:c r="K270" s="3"/>
      <x:c r="L270" s="3"/>
      <x:c r="M270" s="3"/>
      <x:c r="N270" s="2"/>
      <x:c r="O270" s="2"/>
    </x:row>
    <x:row r="271" ht="55" customHeight="1">
      <x:c r="C271" s="16" t="str">
        <x:v>Receivables = revenue x DSO / 365. Inventory and ordinary payables = COGS x days / 365. Operating NWC includes receivables, inventory and other operating balances, less ordinary payables and other operating liabilities.</x:v>
      </x:c>
      <x:c r="D271" s="38"/>
      <x:c r="E271" s="38"/>
      <x:c r="F271" s="38"/>
      <x:c r="G271" s="38"/>
      <x:c r="H271" s="38"/>
      <x:c r="I271" s="38"/>
      <x:c r="J271" s="38"/>
      <x:c r="K271" s="38"/>
      <x:c r="L271" s="38"/>
      <x:c r="M271" s="38"/>
      <x:c r="N271" s="2"/>
      <x:c r="O271" s="2"/>
    </x:row>
    <x:row r="272" ht="20" customHeight="1">
      <x:c r="C272" s="2"/>
      <x:c r="D272" s="3"/>
      <x:c r="E272" s="3"/>
      <x:c r="F272" s="3"/>
      <x:c r="G272" s="3"/>
      <x:c r="H272" s="3"/>
      <x:c r="I272" s="3"/>
      <x:c r="J272" s="3"/>
      <x:c r="K272" s="3"/>
      <x:c r="L272" s="3"/>
      <x:c r="M272" s="3"/>
      <x:c r="N272" s="2"/>
      <x:c r="O272" s="2"/>
    </x:row>
    <x:row r="273" ht="20" customHeight="1">
      <x:c r="C273" s="2"/>
      <x:c r="D273" s="3"/>
      <x:c r="E273" s="3"/>
      <x:c r="F273" s="3"/>
      <x:c r="G273" s="3"/>
      <x:c r="H273" s="3"/>
      <x:c r="I273" s="3"/>
      <x:c r="J273" s="3"/>
      <x:c r="K273" s="3"/>
      <x:c r="L273" s="3"/>
      <x:c r="M273" s="3"/>
      <x:c r="N273" s="2"/>
      <x:c r="O273" s="2"/>
    </x:row>
    <x:row r="274" ht="55" customHeight="1">
      <x:c r="C274" s="16" t="str">
        <x:v>Acceptances are excluded from operating NWC and included in financing debt. Their cash change is in financing CF. The funded-cycle assumption changes funding needs, not FCFF directly. Do not subtract the same acceptances in NWC and again as debt.</x:v>
      </x:c>
      <x:c r="D274" s="38"/>
      <x:c r="E274" s="38"/>
      <x:c r="F274" s="38"/>
      <x:c r="G274" s="38"/>
      <x:c r="H274" s="38"/>
      <x:c r="I274" s="38"/>
      <x:c r="J274" s="38"/>
      <x:c r="K274" s="38"/>
      <x:c r="L274" s="38"/>
      <x:c r="M274" s="38"/>
      <x:c r="N274" s="2"/>
      <x:c r="O274" s="2"/>
    </x:row>
    <x:row r="275" ht="20" customHeight="1">
      <x:c r="C275" s="2"/>
      <x:c r="D275" s="3"/>
      <x:c r="E275" s="3"/>
      <x:c r="F275" s="3"/>
      <x:c r="G275" s="3"/>
      <x:c r="H275" s="3"/>
      <x:c r="I275" s="3"/>
      <x:c r="J275" s="3"/>
      <x:c r="K275" s="3"/>
      <x:c r="L275" s="3"/>
      <x:c r="M275" s="3"/>
      <x:c r="N275" s="2"/>
      <x:c r="O275" s="2"/>
    </x:row>
    <x:row r="276" ht="20" customHeight="1">
      <x:c r="C276" s="2"/>
      <x:c r="D276" s="3"/>
      <x:c r="E276" s="3"/>
      <x:c r="F276" s="3"/>
      <x:c r="G276" s="3"/>
      <x:c r="H276" s="3"/>
      <x:c r="I276" s="3"/>
      <x:c r="J276" s="3"/>
      <x:c r="K276" s="3"/>
      <x:c r="L276" s="3"/>
      <x:c r="M276" s="3"/>
      <x:c r="N276" s="2"/>
      <x:c r="O276" s="2"/>
    </x:row>
    <x:row r="277" ht="20" customHeight="1">
      <x:c r="C277" s="2"/>
      <x:c r="D277" s="3"/>
      <x:c r="E277" s="3"/>
      <x:c r="F277" s="3"/>
      <x:c r="G277" s="3"/>
      <x:c r="H277" s="3"/>
      <x:c r="I277" s="3"/>
      <x:c r="J277" s="3"/>
      <x:c r="K277" s="3"/>
      <x:c r="L277" s="3"/>
      <x:c r="M277" s="3"/>
      <x:c r="N277" s="2"/>
      <x:c r="O277" s="2"/>
    </x:row>
    <x:row r="278" ht="24" customHeight="1">
      <x:c r="C278" s="80" t="str">
        <x:v>Other operating liabilities</x:v>
      </x:c>
      <x:c r="D278" s="81"/>
      <x:c r="E278" s="81"/>
      <x:c r="F278" s="81"/>
      <x:c r="G278" s="81"/>
      <x:c r="H278" s="81"/>
      <x:c r="I278" s="81"/>
      <x:c r="J278" s="81"/>
      <x:c r="K278" s="81"/>
      <x:c r="L278" s="81"/>
      <x:c r="M278" s="81"/>
      <x:c r="N278" s="2"/>
      <x:c r="O278" s="2"/>
    </x:row>
    <x:row r="279" ht="20" customHeight="1">
      <x:c r="C279" s="2"/>
      <x:c r="D279" s="3"/>
      <x:c r="E279" s="3"/>
      <x:c r="F279" s="3"/>
      <x:c r="G279" s="3"/>
      <x:c r="H279" s="3"/>
      <x:c r="I279" s="3"/>
      <x:c r="J279" s="3"/>
      <x:c r="K279" s="3"/>
      <x:c r="L279" s="3"/>
      <x:c r="M279" s="3"/>
      <x:c r="N279" s="2"/>
      <x:c r="O279" s="2"/>
    </x:row>
    <x:row r="280" ht="55" customHeight="1">
      <x:c r="C280" s="16" t="str">
        <x:v>FY26 other operating liabilities benefited from a large increase. The base ratio reverts to the FY24/FY25 average. This is a cash outflow in FY27 when the liability releases, even though the income statement remains profitable.</x:v>
      </x:c>
      <x:c r="D280" s="38"/>
      <x:c r="E280" s="38"/>
      <x:c r="F280" s="38"/>
      <x:c r="G280" s="38"/>
      <x:c r="H280" s="38"/>
      <x:c r="I280" s="38"/>
      <x:c r="J280" s="38"/>
      <x:c r="K280" s="38"/>
      <x:c r="L280" s="38"/>
      <x:c r="M280" s="38"/>
      <x:c r="N280" s="2"/>
      <x:c r="O280" s="2"/>
    </x:row>
    <x:row r="281" ht="20" customHeight="1">
      <x:c r="C281" s="2"/>
      <x:c r="D281" s="3"/>
      <x:c r="E281" s="3"/>
      <x:c r="F281" s="3"/>
      <x:c r="G281" s="3"/>
      <x:c r="H281" s="3"/>
      <x:c r="I281" s="3"/>
      <x:c r="J281" s="3"/>
      <x:c r="K281" s="3"/>
      <x:c r="L281" s="3"/>
      <x:c r="M281" s="3"/>
      <x:c r="N281" s="2"/>
      <x:c r="O281" s="2"/>
    </x:row>
    <x:row r="282" ht="20" customHeight="1">
      <x:c r="C282" s="2"/>
      <x:c r="D282" s="3"/>
      <x:c r="E282" s="3"/>
      <x:c r="F282" s="3"/>
      <x:c r="G282" s="3"/>
      <x:c r="H282" s="3"/>
      <x:c r="I282" s="3"/>
      <x:c r="J282" s="3"/>
      <x:c r="K282" s="3"/>
      <x:c r="L282" s="3"/>
      <x:c r="M282" s="3"/>
      <x:c r="N282" s="2"/>
      <x:c r="O282" s="2"/>
    </x:row>
    <x:row r="283" ht="55" customHeight="1">
      <x:c r="C283" s="16" t="str">
        <x:v>This conservative normalization is separate from acceptance repayment. The NWC component schedule shows both the release of ordinary operating liabilities and the cash tied up in revenue growth. No company average-cycle guidance is imposed on a differently defined closing ratio.</x:v>
      </x:c>
      <x:c r="D283" s="38"/>
      <x:c r="E283" s="38"/>
      <x:c r="F283" s="38"/>
      <x:c r="G283" s="38"/>
      <x:c r="H283" s="38"/>
      <x:c r="I283" s="38"/>
      <x:c r="J283" s="38"/>
      <x:c r="K283" s="38"/>
      <x:c r="L283" s="38"/>
      <x:c r="M283" s="38"/>
      <x:c r="N283" s="2"/>
      <x:c r="O283" s="2"/>
    </x:row>
    <x:row r="284" ht="20" customHeight="1">
      <x:c r="C284" s="2"/>
      <x:c r="D284" s="3"/>
      <x:c r="E284" s="3"/>
      <x:c r="F284" s="3"/>
      <x:c r="G284" s="3"/>
      <x:c r="H284" s="3"/>
      <x:c r="I284" s="3"/>
      <x:c r="J284" s="3"/>
      <x:c r="K284" s="3"/>
      <x:c r="L284" s="3"/>
      <x:c r="M284" s="3"/>
      <x:c r="N284" s="2"/>
      <x:c r="O284" s="2"/>
    </x:row>
    <x:row r="285" ht="20" customHeight="1">
      <x:c r="C285" s="2"/>
      <x:c r="D285" s="3"/>
      <x:c r="E285" s="3"/>
      <x:c r="F285" s="3"/>
      <x:c r="G285" s="3"/>
      <x:c r="H285" s="3"/>
      <x:c r="I285" s="3"/>
      <x:c r="J285" s="3"/>
      <x:c r="K285" s="3"/>
      <x:c r="L285" s="3"/>
      <x:c r="M285" s="3"/>
      <x:c r="N285" s="2"/>
      <x:c r="O285" s="2"/>
    </x:row>
    <x:row r="286" ht="20" customHeight="1">
      <x:c r="C286" s="2"/>
      <x:c r="D286" s="3"/>
      <x:c r="E286" s="3"/>
      <x:c r="F286" s="3"/>
      <x:c r="G286" s="3"/>
      <x:c r="H286" s="3"/>
      <x:c r="I286" s="3"/>
      <x:c r="J286" s="3"/>
      <x:c r="K286" s="3"/>
      <x:c r="L286" s="3"/>
      <x:c r="M286" s="3"/>
      <x:c r="N286" s="2"/>
      <x:c r="O286" s="2"/>
    </x:row>
    <x:row r="287" ht="24" customHeight="1">
      <x:c r="C287" s="80" t="str">
        <x:v>Capex and depreciation</x:v>
      </x:c>
      <x:c r="D287" s="81"/>
      <x:c r="E287" s="81"/>
      <x:c r="F287" s="81"/>
      <x:c r="G287" s="81"/>
      <x:c r="H287" s="81"/>
      <x:c r="I287" s="81"/>
      <x:c r="J287" s="81"/>
      <x:c r="K287" s="81"/>
      <x:c r="L287" s="81"/>
      <x:c r="M287" s="81"/>
      <x:c r="N287" s="2"/>
      <x:c r="O287" s="2"/>
    </x:row>
    <x:row r="288" ht="20" customHeight="1">
      <x:c r="C288" s="2"/>
      <x:c r="D288" s="3"/>
      <x:c r="E288" s="3"/>
      <x:c r="F288" s="3"/>
      <x:c r="G288" s="3"/>
      <x:c r="H288" s="3"/>
      <x:c r="I288" s="3"/>
      <x:c r="J288" s="3"/>
      <x:c r="K288" s="3"/>
      <x:c r="L288" s="3"/>
      <x:c r="M288" s="3"/>
      <x:c r="N288" s="2"/>
      <x:c r="O288" s="2"/>
    </x:row>
    <x:row r="289" ht="55" customHeight="1">
      <x:c r="C289" s="16" t="str">
        <x:v>Net cash capex is INR14bn annually through FY30 and INR15.82bn in FY31. All opening CWIP and 50% of current capex enter service. Net PPE/intangibles and ROU assets roll forward separately; depreciation responds to the asset base.</x:v>
      </x:c>
      <x:c r="D289" s="38"/>
      <x:c r="E289" s="38"/>
      <x:c r="F289" s="38"/>
      <x:c r="G289" s="38"/>
      <x:c r="H289" s="38"/>
      <x:c r="I289" s="38"/>
      <x:c r="J289" s="38"/>
      <x:c r="K289" s="38"/>
      <x:c r="L289" s="38"/>
      <x:c r="M289" s="38"/>
      <x:c r="N289" s="2"/>
      <x:c r="O289" s="2"/>
    </x:row>
    <x:row r="290" ht="20" customHeight="1">
      <x:c r="C290" s="2"/>
      <x:c r="D290" s="3"/>
      <x:c r="E290" s="3"/>
      <x:c r="F290" s="3"/>
      <x:c r="G290" s="3"/>
      <x:c r="H290" s="3"/>
      <x:c r="I290" s="3"/>
      <x:c r="J290" s="3"/>
      <x:c r="K290" s="3"/>
      <x:c r="L290" s="3"/>
      <x:c r="M290" s="3"/>
      <x:c r="N290" s="2"/>
      <x:c r="O290" s="2"/>
    </x:row>
    <x:row r="291" ht="20" customHeight="1">
      <x:c r="C291" s="2"/>
      <x:c r="D291" s="3"/>
      <x:c r="E291" s="3"/>
      <x:c r="F291" s="3"/>
      <x:c r="G291" s="3"/>
      <x:c r="H291" s="3"/>
      <x:c r="I291" s="3"/>
      <x:c r="J291" s="3"/>
      <x:c r="K291" s="3"/>
      <x:c r="L291" s="3"/>
      <x:c r="M291" s="3"/>
      <x:c r="N291" s="2"/>
      <x:c r="O291" s="2"/>
    </x:row>
    <x:row r="292" ht="55" customHeight="1">
      <x:c r="C292" s="16" t="str">
        <x:v>The depreciation rate is calibrated to FY26 net assets, not a detailed useful-life register. ROU additions are treated as capex in FCFF because leases are included in debt. This avoids counting lease principal again in FCFF.</x:v>
      </x:c>
      <x:c r="D292" s="38"/>
      <x:c r="E292" s="38"/>
      <x:c r="F292" s="38"/>
      <x:c r="G292" s="38"/>
      <x:c r="H292" s="38"/>
      <x:c r="I292" s="38"/>
      <x:c r="J292" s="38"/>
      <x:c r="K292" s="38"/>
      <x:c r="L292" s="38"/>
      <x:c r="M292" s="38"/>
      <x:c r="N292" s="2"/>
      <x:c r="O292" s="2"/>
    </x:row>
    <x:row r="293" ht="20" customHeight="1">
      <x:c r="C293" s="2"/>
      <x:c r="D293" s="3"/>
      <x:c r="E293" s="3"/>
      <x:c r="F293" s="3"/>
      <x:c r="G293" s="3"/>
      <x:c r="H293" s="3"/>
      <x:c r="I293" s="3"/>
      <x:c r="J293" s="3"/>
      <x:c r="K293" s="3"/>
      <x:c r="L293" s="3"/>
      <x:c r="M293" s="3"/>
      <x:c r="N293" s="2"/>
      <x:c r="O293" s="2"/>
    </x:row>
    <x:row r="294" ht="20" customHeight="1">
      <x:c r="C294" s="2"/>
      <x:c r="D294" s="3"/>
      <x:c r="E294" s="3"/>
      <x:c r="F294" s="3"/>
      <x:c r="G294" s="3"/>
      <x:c r="H294" s="3"/>
      <x:c r="I294" s="3"/>
      <x:c r="J294" s="3"/>
      <x:c r="K294" s="3"/>
      <x:c r="L294" s="3"/>
      <x:c r="M294" s="3"/>
      <x:c r="N294" s="2"/>
      <x:c r="O294" s="2"/>
    </x:row>
    <x:row r="295" ht="20" customHeight="1">
      <x:c r="C295" s="2"/>
      <x:c r="D295" s="3"/>
      <x:c r="E295" s="3"/>
      <x:c r="F295" s="3"/>
      <x:c r="G295" s="3"/>
      <x:c r="H295" s="3"/>
      <x:c r="I295" s="3"/>
      <x:c r="J295" s="3"/>
      <x:c r="K295" s="3"/>
      <x:c r="L295" s="3"/>
      <x:c r="M295" s="3"/>
      <x:c r="N295" s="2"/>
      <x:c r="O295" s="2"/>
    </x:row>
    <x:row r="296" ht="24" customHeight="1">
      <x:c r="C296" s="80" t="str">
        <x:v>Tax, cash and capital returns</x:v>
      </x:c>
      <x:c r="D296" s="81"/>
      <x:c r="E296" s="81"/>
      <x:c r="F296" s="81"/>
      <x:c r="G296" s="81"/>
      <x:c r="H296" s="81"/>
      <x:c r="I296" s="81"/>
      <x:c r="J296" s="81"/>
      <x:c r="K296" s="81"/>
      <x:c r="L296" s="81"/>
      <x:c r="M296" s="81"/>
      <x:c r="N296" s="2"/>
      <x:c r="O296" s="2"/>
    </x:row>
    <x:row r="297" ht="20" customHeight="1">
      <x:c r="C297" s="2"/>
      <x:c r="D297" s="3"/>
      <x:c r="E297" s="3"/>
      <x:c r="F297" s="3"/>
      <x:c r="G297" s="3"/>
      <x:c r="H297" s="3"/>
      <x:c r="I297" s="3"/>
      <x:c r="J297" s="3"/>
      <x:c r="K297" s="3"/>
      <x:c r="L297" s="3"/>
      <x:c r="M297" s="3"/>
      <x:c r="N297" s="2"/>
      <x:c r="O297" s="2"/>
    </x:row>
    <x:row r="298" ht="55" customHeight="1">
      <x:c r="C298" s="16" t="str">
        <x:v>Tax uses FY26 effective tax of about 25%. FCFF starts with EBIT after tax, adds D&amp;A, and subtracts cash capex, ROU additions, operating NWC investment and required cash growth. It excludes financing receipts and payments.</x:v>
      </x:c>
      <x:c r="D298" s="38"/>
      <x:c r="E298" s="38"/>
      <x:c r="F298" s="38"/>
      <x:c r="G298" s="38"/>
      <x:c r="H298" s="38"/>
      <x:c r="I298" s="38"/>
      <x:c r="J298" s="38"/>
      <x:c r="K298" s="38"/>
      <x:c r="L298" s="38"/>
      <x:c r="M298" s="38"/>
      <x:c r="N298" s="2"/>
      <x:c r="O298" s="2"/>
    </x:row>
    <x:row r="299" ht="20" customHeight="1">
      <x:c r="C299" s="2"/>
      <x:c r="D299" s="3"/>
      <x:c r="E299" s="3"/>
      <x:c r="F299" s="3"/>
      <x:c r="G299" s="3"/>
      <x:c r="H299" s="3"/>
      <x:c r="I299" s="3"/>
      <x:c r="J299" s="3"/>
      <x:c r="K299" s="3"/>
      <x:c r="L299" s="3"/>
      <x:c r="M299" s="3"/>
      <x:c r="N299" s="2"/>
      <x:c r="O299" s="2"/>
    </x:row>
    <x:row r="300" ht="20" customHeight="1">
      <x:c r="C300" s="2"/>
      <x:c r="D300" s="3"/>
      <x:c r="E300" s="3"/>
      <x:c r="F300" s="3"/>
      <x:c r="G300" s="3"/>
      <x:c r="H300" s="3"/>
      <x:c r="I300" s="3"/>
      <x:c r="J300" s="3"/>
      <x:c r="K300" s="3"/>
      <x:c r="L300" s="3"/>
      <x:c r="M300" s="3"/>
      <x:c r="N300" s="2"/>
      <x:c r="O300" s="2"/>
    </x:row>
    <x:row r="301" ht="55" customHeight="1">
      <x:c r="C301" s="16" t="str">
        <x:v>ROCE on the dashboard is EBIT / average modeled operating capital. It is not directly comparable with management or provider ROCE. Treasury income affects PAT and dividends, but surplus treasury is valued separately in the DCF bridge.</x:v>
      </x:c>
      <x:c r="D301" s="38"/>
      <x:c r="E301" s="38"/>
      <x:c r="F301" s="38"/>
      <x:c r="G301" s="38"/>
      <x:c r="H301" s="38"/>
      <x:c r="I301" s="38"/>
      <x:c r="J301" s="38"/>
      <x:c r="K301" s="38"/>
      <x:c r="L301" s="38"/>
      <x:c r="M301" s="38"/>
      <x:c r="N301" s="2"/>
      <x:c r="O301" s="2"/>
    </x:row>
    <x:row r="302" ht="20" customHeight="1">
      <x:c r="C302" s="2"/>
      <x:c r="D302" s="3"/>
      <x:c r="E302" s="3"/>
      <x:c r="F302" s="3"/>
      <x:c r="G302" s="3"/>
      <x:c r="H302" s="3"/>
      <x:c r="I302" s="3"/>
      <x:c r="J302" s="3"/>
      <x:c r="K302" s="3"/>
      <x:c r="L302" s="3"/>
      <x:c r="M302" s="3"/>
      <x:c r="N302" s="2"/>
      <x:c r="O302" s="2"/>
    </x:row>
    <x:row r="303" ht="20" customHeight="1">
      <x:c r="C303" s="2"/>
      <x:c r="D303" s="3"/>
      <x:c r="E303" s="3"/>
      <x:c r="F303" s="3"/>
      <x:c r="G303" s="3"/>
      <x:c r="H303" s="3"/>
      <x:c r="I303" s="3"/>
      <x:c r="J303" s="3"/>
      <x:c r="K303" s="3"/>
      <x:c r="L303" s="3"/>
      <x:c r="M303" s="3"/>
      <x:c r="N303" s="2"/>
      <x:c r="O303" s="2"/>
    </x:row>
    <x:row r="304" ht="20" customHeight="1">
      <x:c r="C304" s="2"/>
      <x:c r="D304" s="3"/>
      <x:c r="E304" s="3"/>
      <x:c r="F304" s="3"/>
      <x:c r="G304" s="3"/>
      <x:c r="H304" s="3"/>
      <x:c r="I304" s="3"/>
      <x:c r="J304" s="3"/>
      <x:c r="K304" s="3"/>
      <x:c r="L304" s="3"/>
      <x:c r="M304" s="3"/>
      <x:c r="N304" s="2"/>
      <x:c r="O304" s="2"/>
    </x:row>
    <x:row r="305" ht="24" customHeight="1">
      <x:c r="C305" s="80" t="str">
        <x:v>Discount rate and terminal period</x:v>
      </x:c>
      <x:c r="D305" s="81"/>
      <x:c r="E305" s="81"/>
      <x:c r="F305" s="81"/>
      <x:c r="G305" s="81"/>
      <x:c r="H305" s="81"/>
      <x:c r="I305" s="81"/>
      <x:c r="J305" s="81"/>
      <x:c r="K305" s="81"/>
      <x:c r="L305" s="81"/>
      <x:c r="M305" s="81"/>
      <x:c r="N305" s="2"/>
      <x:c r="O305" s="2"/>
    </x:row>
    <x:row r="306" ht="20" customHeight="1">
      <x:c r="C306" s="2"/>
      <x:c r="D306" s="3"/>
      <x:c r="E306" s="3"/>
      <x:c r="F306" s="3"/>
      <x:c r="G306" s="3"/>
      <x:c r="H306" s="3"/>
      <x:c r="I306" s="3"/>
      <x:c r="J306" s="3"/>
      <x:c r="K306" s="3"/>
      <x:c r="L306" s="3"/>
      <x:c r="M306" s="3"/>
      <x:c r="N306" s="2"/>
      <x:c r="O306" s="2"/>
    </x:row>
    <x:row r="307" ht="55" customHeight="1">
      <x:c r="C307" s="16" t="str">
        <x:v>Default-free INR proxy = government yield less sovereign default spread. Cost of equity = that proxy + beta x mature-market ERP + country risk premium. WACC weights equity and funded debt; cost of debt is adjusted for tax.</x:v>
      </x:c>
      <x:c r="D307" s="38"/>
      <x:c r="E307" s="38"/>
      <x:c r="F307" s="38"/>
      <x:c r="G307" s="38"/>
      <x:c r="H307" s="38"/>
      <x:c r="I307" s="38"/>
      <x:c r="J307" s="38"/>
      <x:c r="K307" s="38"/>
      <x:c r="L307" s="38"/>
      <x:c r="M307" s="38"/>
      <x:c r="N307" s="2"/>
      <x:c r="O307" s="2"/>
    </x:row>
    <x:row r="308" ht="20" customHeight="1">
      <x:c r="C308" s="2"/>
      <x:c r="D308" s="3"/>
      <x:c r="E308" s="3"/>
      <x:c r="F308" s="3"/>
      <x:c r="G308" s="3"/>
      <x:c r="H308" s="3"/>
      <x:c r="I308" s="3"/>
      <x:c r="J308" s="3"/>
      <x:c r="K308" s="3"/>
      <x:c r="L308" s="3"/>
      <x:c r="M308" s="3"/>
      <x:c r="N308" s="2"/>
      <x:c r="O308" s="2"/>
    </x:row>
    <x:row r="309" ht="20" customHeight="1">
      <x:c r="C309" s="2"/>
      <x:c r="D309" s="3"/>
      <x:c r="E309" s="3"/>
      <x:c r="F309" s="3"/>
      <x:c r="G309" s="3"/>
      <x:c r="H309" s="3"/>
      <x:c r="I309" s="3"/>
      <x:c r="J309" s="3"/>
      <x:c r="K309" s="3"/>
      <x:c r="L309" s="3"/>
      <x:c r="M309" s="3"/>
      <x:c r="N309" s="2"/>
      <x:c r="O309" s="2"/>
    </x:row>
    <x:row r="310" ht="55" customHeight="1">
      <x:c r="C310" s="16" t="str">
        <x:v>Terminal growth is 4%; terminal ROIC is a conservative 15.3% calibration. Reinvestment = NOPAT x growth / ROIC. The abrupt shift from FY31 growth to 4% is a material valuation assumption; the extended-growth diagnostics show the effect of a longer runway.</x:v>
      </x:c>
      <x:c r="D310" s="38"/>
      <x:c r="E310" s="38"/>
      <x:c r="F310" s="38"/>
      <x:c r="G310" s="38"/>
      <x:c r="H310" s="38"/>
      <x:c r="I310" s="38"/>
      <x:c r="J310" s="38"/>
      <x:c r="K310" s="38"/>
      <x:c r="L310" s="38"/>
      <x:c r="M310" s="38"/>
      <x:c r="N310" s="2"/>
      <x:c r="O310" s="2"/>
    </x:row>
    <x:row r="311" ht="20" customHeight="1">
      <x:c r="C311" s="2"/>
      <x:c r="D311" s="3"/>
      <x:c r="E311" s="3"/>
      <x:c r="F311" s="3"/>
      <x:c r="G311" s="3"/>
      <x:c r="H311" s="3"/>
      <x:c r="I311" s="3"/>
      <x:c r="J311" s="3"/>
      <x:c r="K311" s="3"/>
      <x:c r="L311" s="3"/>
      <x:c r="M311" s="3"/>
      <x:c r="N311" s="2"/>
      <x:c r="O311" s="2"/>
    </x:row>
    <x:row r="312" ht="20" customHeight="1">
      <x:c r="C312" s="2"/>
      <x:c r="D312" s="3"/>
      <x:c r="E312" s="3"/>
      <x:c r="F312" s="3"/>
      <x:c r="G312" s="3"/>
      <x:c r="H312" s="3"/>
      <x:c r="I312" s="3"/>
      <x:c r="J312" s="3"/>
      <x:c r="K312" s="3"/>
      <x:c r="L312" s="3"/>
      <x:c r="M312" s="3"/>
      <x:c r="N312" s="2"/>
      <x:c r="O312" s="2"/>
    </x:row>
    <x:row r="313" ht="20" customHeight="1">
      <x:c r="C313" s="2"/>
      <x:c r="D313" s="3"/>
      <x:c r="E313" s="3"/>
      <x:c r="F313" s="3"/>
      <x:c r="G313" s="3"/>
      <x:c r="H313" s="3"/>
      <x:c r="I313" s="3"/>
      <x:c r="J313" s="3"/>
      <x:c r="K313" s="3"/>
      <x:c r="L313" s="3"/>
      <x:c r="M313" s="3"/>
      <x:c r="N313" s="2"/>
      <x:c r="O313" s="2"/>
    </x:row>
    <x:row r="314" ht="24" customHeight="1">
      <x:c r="C314" s="80" t="str">
        <x:v>What the cases mean</x:v>
      </x:c>
      <x:c r="D314" s="81"/>
      <x:c r="E314" s="81"/>
      <x:c r="F314" s="81"/>
      <x:c r="G314" s="81"/>
      <x:c r="H314" s="81"/>
      <x:c r="I314" s="81"/>
      <x:c r="J314" s="81"/>
      <x:c r="K314" s="81"/>
      <x:c r="L314" s="81"/>
      <x:c r="M314" s="81"/>
      <x:c r="N314" s="2"/>
      <x:c r="O314" s="2"/>
    </x:row>
    <x:row r="315" ht="20" customHeight="1">
      <x:c r="C315" s="2"/>
      <x:c r="D315" s="3"/>
      <x:c r="E315" s="3"/>
      <x:c r="F315" s="3"/>
      <x:c r="G315" s="3"/>
      <x:c r="H315" s="3"/>
      <x:c r="I315" s="3"/>
      <x:c r="J315" s="3"/>
      <x:c r="K315" s="3"/>
      <x:c r="L315" s="3"/>
      <x:c r="M315" s="3"/>
      <x:c r="N315" s="2"/>
      <x:c r="O315" s="2"/>
    </x:row>
    <x:row r="316" ht="55" customHeight="1">
      <x:c r="C316" s="16" t="str">
        <x:v>Base: share gains and FMEG recovery, with margin and working-capital normalization. Bull: stronger growth and margins with better cash conversion. Bear: slower growth, weaker margins and more cash tied up in operations.</x:v>
      </x:c>
      <x:c r="D316" s="38"/>
      <x:c r="E316" s="38"/>
      <x:c r="F316" s="38"/>
      <x:c r="G316" s="38"/>
      <x:c r="H316" s="38"/>
      <x:c r="I316" s="38"/>
      <x:c r="J316" s="38"/>
      <x:c r="K316" s="38"/>
      <x:c r="L316" s="38"/>
      <x:c r="M316" s="38"/>
      <x:c r="N316" s="2"/>
      <x:c r="O316" s="2"/>
    </x:row>
    <x:row r="317" ht="20" customHeight="1">
      <x:c r="C317" s="2"/>
      <x:c r="D317" s="3"/>
      <x:c r="E317" s="3"/>
      <x:c r="F317" s="3"/>
      <x:c r="G317" s="3"/>
      <x:c r="H317" s="3"/>
      <x:c r="I317" s="3"/>
      <x:c r="J317" s="3"/>
      <x:c r="K317" s="3"/>
      <x:c r="L317" s="3"/>
      <x:c r="M317" s="3"/>
      <x:c r="N317" s="2"/>
      <x:c r="O317" s="2"/>
    </x:row>
    <x:row r="318" ht="20" customHeight="1">
      <x:c r="C318" s="2"/>
      <x:c r="D318" s="3"/>
      <x:c r="E318" s="3"/>
      <x:c r="F318" s="3"/>
      <x:c r="G318" s="3"/>
      <x:c r="H318" s="3"/>
      <x:c r="I318" s="3"/>
      <x:c r="J318" s="3"/>
      <x:c r="K318" s="3"/>
      <x:c r="L318" s="3"/>
      <x:c r="M318" s="3"/>
      <x:c r="N318" s="2"/>
      <x:c r="O318" s="2"/>
    </x:row>
    <x:row r="319" ht="55" customHeight="1">
      <x:c r="C319" s="16" t="str">
        <x:v>Use the case selector at D3 to recalculate the same integrated model. No probabilities or blended target are imposed. The dashboard shows the active case, its September value and the conditions that would support or challenge it.</x:v>
      </x:c>
      <x:c r="D319" s="38"/>
      <x:c r="E319" s="38"/>
      <x:c r="F319" s="38"/>
      <x:c r="G319" s="38"/>
      <x:c r="H319" s="38"/>
      <x:c r="I319" s="38"/>
      <x:c r="J319" s="38"/>
      <x:c r="K319" s="38"/>
      <x:c r="L319" s="38"/>
      <x:c r="M319" s="38"/>
      <x:c r="N319" s="2"/>
      <x:c r="O319" s="2"/>
    </x:row>
    <x:row r="320" ht="20" customHeight="1">
      <x:c r="C320" s="2"/>
      <x:c r="D320" s="3"/>
      <x:c r="E320" s="3"/>
      <x:c r="F320" s="3"/>
      <x:c r="G320" s="3"/>
      <x:c r="H320" s="3"/>
      <x:c r="I320" s="3"/>
      <x:c r="J320" s="3"/>
      <x:c r="K320" s="3"/>
      <x:c r="L320" s="3"/>
      <x:c r="M320" s="3"/>
      <x:c r="N320" s="2"/>
      <x:c r="O320" s="2"/>
    </x:row>
    <x:row r="321" ht="20" customHeight="1">
      <x:c r="C321" s="2"/>
      <x:c r="D321" s="3"/>
      <x:c r="E321" s="3"/>
      <x:c r="F321" s="3"/>
      <x:c r="G321" s="3"/>
      <x:c r="H321" s="3"/>
      <x:c r="I321" s="3"/>
      <x:c r="J321" s="3"/>
      <x:c r="K321" s="3"/>
      <x:c r="L321" s="3"/>
      <x:c r="M321" s="3"/>
      <x:c r="N321" s="2"/>
      <x:c r="O321" s="2"/>
    </x:row>
    <x:row r="322" ht="20" customHeight="1">
      <x:c r="C322" s="2"/>
      <x:c r="D322" s="3"/>
      <x:c r="E322" s="3"/>
      <x:c r="F322" s="3"/>
      <x:c r="G322" s="3"/>
      <x:c r="H322" s="3"/>
      <x:c r="I322" s="3"/>
      <x:c r="J322" s="3"/>
      <x:c r="K322" s="3"/>
      <x:c r="L322" s="3"/>
      <x:c r="M322" s="3"/>
      <x:c r="N322" s="2"/>
      <x:c r="O322" s="2"/>
    </x:row>
    <x:row r="323" ht="20" customHeight="1">
      <x:c r="C323" s="2"/>
      <x:c r="D323" s="3"/>
      <x:c r="E323" s="3"/>
      <x:c r="F323" s="3"/>
      <x:c r="G323" s="3"/>
      <x:c r="H323" s="3"/>
      <x:c r="I323" s="3"/>
      <x:c r="J323" s="3"/>
      <x:c r="K323" s="3"/>
      <x:c r="L323" s="3"/>
      <x:c r="M323" s="3"/>
      <x:c r="N323" s="2"/>
      <x:c r="O323" s="2"/>
    </x:row>
    <x:row r="324" ht="20" customHeight="1">
      <x:c r="C324" s="2"/>
      <x:c r="D324" s="3"/>
      <x:c r="E324" s="3"/>
      <x:c r="F324" s="3"/>
      <x:c r="G324" s="3"/>
      <x:c r="H324" s="3"/>
      <x:c r="I324" s="3"/>
      <x:c r="J324" s="3"/>
      <x:c r="K324" s="3"/>
      <x:c r="L324" s="3"/>
      <x:c r="M324" s="3"/>
      <x:c r="N324" s="2"/>
      <x:c r="O324" s="2"/>
    </x:row>
    <x:row r="325" ht="20" customHeight="1">
      <x:c r="C325" s="2"/>
      <x:c r="D325" s="3"/>
      <x:c r="E325" s="3"/>
      <x:c r="F325" s="3"/>
      <x:c r="G325" s="3"/>
      <x:c r="H325" s="3"/>
      <x:c r="I325" s="3"/>
      <x:c r="J325" s="3"/>
      <x:c r="K325" s="3"/>
      <x:c r="L325" s="3"/>
      <x:c r="M325" s="3"/>
      <x:c r="N325" s="2"/>
      <x:c r="O325" s="2"/>
    </x:row>
    <x:row r="326" ht="20" customHeight="1">
      <x:c r="C326" s="2"/>
      <x:c r="D326" s="3"/>
      <x:c r="E326" s="3"/>
      <x:c r="F326" s="3"/>
      <x:c r="G326" s="3"/>
      <x:c r="H326" s="3"/>
      <x:c r="I326" s="3"/>
      <x:c r="J326" s="3"/>
      <x:c r="K326" s="3"/>
      <x:c r="L326" s="3"/>
      <x:c r="M326" s="3"/>
      <x:c r="N326" s="2"/>
      <x:c r="O326" s="2"/>
    </x:row>
    <x:row r="327" ht="20" customHeight="1">
      <x:c r="C327" s="2"/>
      <x:c r="D327" s="3"/>
      <x:c r="E327" s="3"/>
      <x:c r="F327" s="3"/>
      <x:c r="G327" s="3"/>
      <x:c r="H327" s="3"/>
      <x:c r="I327" s="3"/>
      <x:c r="J327" s="3"/>
      <x:c r="K327" s="3"/>
      <x:c r="L327" s="3"/>
      <x:c r="M327" s="3"/>
      <x:c r="N327" s="2"/>
      <x:c r="O327" s="2"/>
    </x:row>
    <x:row r="328" ht="24" customHeight="1">
      <x:c r="C328" s="80" t="str">
        <x:v>Reverse DCF diagnostic assumptions</x:v>
      </x:c>
      <x:c r="D328" s="81"/>
      <x:c r="E328" s="81"/>
      <x:c r="F328" s="81"/>
      <x:c r="G328" s="81"/>
      <x:c r="H328" s="81"/>
      <x:c r="I328" s="81"/>
      <x:c r="J328" s="81"/>
      <x:c r="K328" s="81"/>
      <x:c r="L328" s="81"/>
      <x:c r="M328" s="81"/>
      <x:c r="N328" s="2"/>
      <x:c r="O328" s="2"/>
    </x:row>
    <x:row r="329" ht="20" customHeight="1">
      <x:c r="C329" s="2"/>
      <x:c r="D329" s="3"/>
      <x:c r="E329" s="3"/>
      <x:c r="F329" s="3"/>
      <x:c r="G329" s="3"/>
      <x:c r="H329" s="3"/>
      <x:c r="I329" s="3"/>
      <x:c r="J329" s="3"/>
      <x:c r="K329" s="3"/>
      <x:c r="L329" s="3"/>
      <x:c r="M329" s="3"/>
      <x:c r="N329" s="2"/>
      <x:c r="O329" s="2"/>
    </x:row>
    <x:row r="330" ht="20" customHeight="1">
      <x:c r="C330" s="24" t="str">
        <x:v>Post-FY31 annual NOPAT growth</x:v>
      </x:c>
      <x:c r="D330" s="25"/>
      <x:c r="E330" s="25"/>
      <x:c r="F330" s="25"/>
      <x:c r="G330" s="25"/>
      <x:c r="H330" s="88" t="n">
        <x:v>0.15</x:v>
      </x:c>
      <x:c r="I330" s="25"/>
      <x:c r="J330" s="25"/>
      <x:c r="K330" s="25"/>
      <x:c r="L330" s="25"/>
      <x:c r="M330" s="25"/>
      <x:c r="N330" s="2"/>
      <x:c r="O330" s="2"/>
    </x:row>
    <x:row r="331" ht="20" customHeight="1">
      <x:c r="C331" s="24" t="str">
        <x:v>Incremental ROIC during extended growth</x:v>
      </x:c>
      <x:c r="D331" s="25"/>
      <x:c r="E331" s="25"/>
      <x:c r="F331" s="25"/>
      <x:c r="G331" s="25"/>
      <x:c r="H331" s="88" t="n">
        <x:v>0.25</x:v>
      </x:c>
      <x:c r="I331" s="25"/>
      <x:c r="J331" s="25"/>
      <x:c r="K331" s="25"/>
      <x:c r="L331" s="25"/>
      <x:c r="M331" s="25"/>
      <x:c r="N331" s="2"/>
      <x:c r="O331" s="2"/>
    </x:row>
    <x:row r="332" ht="20" customHeight="1">
      <x:c r="C332" s="2"/>
      <x:c r="D332" s="3"/>
      <x:c r="E332" s="3"/>
      <x:c r="F332" s="3"/>
      <x:c r="G332" s="3"/>
      <x:c r="H332" s="3"/>
      <x:c r="I332" s="3"/>
      <x:c r="J332" s="3"/>
      <x:c r="K332" s="3"/>
      <x:c r="L332" s="3"/>
      <x:c r="M332" s="3"/>
      <x:c r="N332" s="2"/>
      <x:c r="O332" s="2"/>
    </x:row>
    <x:row r="333" ht="44" customHeight="1">
      <x:c r="C333" s="16" t="str">
        <x:v>Diagnostic only: stable operating margin makes NOPAT growth equivalent to revenue growth. Reinvestment = growth / incremental ROIC. These controls do not change the base forecast. Required extra growth years are solved from the market price.</x:v>
      </x:c>
      <x:c r="D333" s="38"/>
      <x:c r="E333" s="38"/>
      <x:c r="F333" s="38"/>
      <x:c r="G333" s="38"/>
      <x:c r="H333" s="38"/>
      <x:c r="I333" s="38"/>
      <x:c r="J333" s="38"/>
      <x:c r="K333" s="38"/>
      <x:c r="L333" s="38"/>
      <x:c r="M333" s="38"/>
      <x:c r="N333" s="2"/>
      <x:c r="O333" s="2"/>
    </x:row>
    <x:row r="334" ht="20" customHeight="1">
      <x:c r="C334" s="2"/>
      <x:c r="D334" s="3"/>
      <x:c r="E334" s="3"/>
      <x:c r="F334" s="3"/>
      <x:c r="G334" s="3"/>
      <x:c r="H334" s="3"/>
      <x:c r="I334" s="3"/>
      <x:c r="J334" s="3"/>
      <x:c r="K334" s="3"/>
      <x:c r="L334" s="3"/>
      <x:c r="M334" s="3"/>
      <x:c r="N334" s="2"/>
      <x:c r="O334" s="2"/>
    </x:row>
    <x:row r="335" ht="20" customHeight="1">
      <x:c r="C335" s="2"/>
      <x:c r="D335" s="3"/>
      <x:c r="E335" s="3"/>
      <x:c r="F335" s="3"/>
      <x:c r="G335" s="3"/>
      <x:c r="H335" s="3"/>
      <x:c r="I335" s="3"/>
      <x:c r="J335" s="3"/>
      <x:c r="K335" s="3"/>
      <x:c r="L335" s="3"/>
      <x:c r="M335" s="3"/>
      <x:c r="N335" s="2"/>
      <x:c r="O335" s="2"/>
    </x:row>
    <x:row r="336" ht="20" customHeight="1">
      <x:c r="C336" s="2"/>
      <x:c r="D336" s="3"/>
      <x:c r="E336" s="3"/>
      <x:c r="F336" s="3"/>
      <x:c r="G336" s="3"/>
      <x:c r="H336" s="3"/>
      <x:c r="I336" s="3"/>
      <x:c r="J336" s="3"/>
      <x:c r="K336" s="3"/>
      <x:c r="L336" s="3"/>
      <x:c r="M336" s="3"/>
      <x:c r="N336" s="2"/>
      <x:c r="O336" s="2"/>
    </x:row>
    <x:row r="337" ht="20" customHeight="1">
      <x:c r="C337" s="2"/>
      <x:c r="D337" s="3"/>
      <x:c r="E337" s="3"/>
      <x:c r="F337" s="3"/>
      <x:c r="G337" s="3"/>
      <x:c r="H337" s="3"/>
      <x:c r="I337" s="3"/>
      <x:c r="J337" s="3"/>
      <x:c r="K337" s="3"/>
      <x:c r="L337" s="3"/>
      <x:c r="M337" s="3"/>
      <x:c r="N337" s="2"/>
      <x:c r="O337" s="2"/>
    </x:row>
    <x:row r="338" ht="20" customHeight="1">
      <x:c r="C338" s="2"/>
      <x:c r="D338" s="3"/>
      <x:c r="E338" s="3"/>
      <x:c r="F338" s="3"/>
      <x:c r="G338" s="3"/>
      <x:c r="H338" s="3"/>
      <x:c r="I338" s="3"/>
      <x:c r="J338" s="3"/>
      <x:c r="K338" s="3"/>
      <x:c r="L338" s="3"/>
      <x:c r="M338" s="3"/>
      <x:c r="N338" s="2"/>
      <x:c r="O338" s="2"/>
    </x:row>
    <x:row r="339" ht="20" customHeight="1">
      <x:c r="C339" s="2"/>
      <x:c r="D339" s="3"/>
      <x:c r="E339" s="3"/>
      <x:c r="F339" s="3"/>
      <x:c r="G339" s="3"/>
      <x:c r="H339" s="3"/>
      <x:c r="I339" s="3"/>
      <x:c r="J339" s="3"/>
      <x:c r="K339" s="3"/>
      <x:c r="L339" s="3"/>
      <x:c r="M339" s="3"/>
      <x:c r="N339" s="2"/>
      <x:c r="O339" s="2"/>
    </x:row>
    <x:row r="340" ht="20" customHeight="1">
      <x:c r="C340" s="2"/>
      <x:c r="D340" s="3"/>
      <x:c r="E340" s="3"/>
      <x:c r="F340" s="3"/>
      <x:c r="G340" s="3"/>
      <x:c r="H340" s="3"/>
      <x:c r="I340" s="3"/>
      <x:c r="J340" s="3"/>
      <x:c r="K340" s="3"/>
      <x:c r="L340" s="3"/>
      <x:c r="M340" s="3"/>
      <x:c r="N340" s="2"/>
      <x:c r="O340" s="2"/>
    </x:row>
  </x:sheetData>
  <x:mergeCells>
    <x:mergeCell ref="C13:M13"/>
    <x:mergeCell ref="C18:M18"/>
    <x:mergeCell ref="C23:M23"/>
    <x:mergeCell ref="C28:M28"/>
    <x:mergeCell ref="C33:M33"/>
    <x:mergeCell ref="C38:M38"/>
    <x:mergeCell ref="C43:M43"/>
    <x:mergeCell ref="C48:M48"/>
    <x:mergeCell ref="C53:M53"/>
    <x:mergeCell ref="C58:M58"/>
    <x:mergeCell ref="C63:M63"/>
    <x:mergeCell ref="C68:M68"/>
    <x:mergeCell ref="C73:M73"/>
    <x:mergeCell ref="C78:M78"/>
    <x:mergeCell ref="C83:M83"/>
    <x:mergeCell ref="C103:M103"/>
    <x:mergeCell ref="C108:M108"/>
    <x:mergeCell ref="C113:M113"/>
    <x:mergeCell ref="C118:M118"/>
    <x:mergeCell ref="C123:M123"/>
    <x:mergeCell ref="C128:M128"/>
    <x:mergeCell ref="C133:M133"/>
    <x:mergeCell ref="C138:M138"/>
    <x:mergeCell ref="C143:M143"/>
    <x:mergeCell ref="C148:M148"/>
    <x:mergeCell ref="C153:M153"/>
    <x:mergeCell ref="C158:M158"/>
    <x:mergeCell ref="C166:M166"/>
    <x:mergeCell ref="C168:M168"/>
    <x:mergeCell ref="C170:M170"/>
    <x:mergeCell ref="C172:M172"/>
    <x:mergeCell ref="C174:M174"/>
    <x:mergeCell ref="C176:M176"/>
    <x:mergeCell ref="C186:M186"/>
    <x:mergeCell ref="C191:M191"/>
    <x:mergeCell ref="C196:M196"/>
    <x:mergeCell ref="C201:M201"/>
    <x:mergeCell ref="C88:M88"/>
    <x:mergeCell ref="C93:M93"/>
    <x:mergeCell ref="C98:M98"/>
    <x:mergeCell ref="C207:M207"/>
    <x:mergeCell ref="C210:M210"/>
    <x:mergeCell ref="C213:M213"/>
    <x:mergeCell ref="C216:M216"/>
    <x:mergeCell ref="C219:M219"/>
    <x:mergeCell ref="C222:M222"/>
    <x:mergeCell ref="C225:M225"/>
    <x:mergeCell ref="C244:M244"/>
    <x:mergeCell ref="C247:M247"/>
    <x:mergeCell ref="C253:M253"/>
    <x:mergeCell ref="C256:M256"/>
    <x:mergeCell ref="C262:M262"/>
    <x:mergeCell ref="C265:M265"/>
    <x:mergeCell ref="C271:M271"/>
    <x:mergeCell ref="C274:M274"/>
    <x:mergeCell ref="C280:M280"/>
    <x:mergeCell ref="C283:M283"/>
    <x:mergeCell ref="C289:M289"/>
    <x:mergeCell ref="C292:M292"/>
    <x:mergeCell ref="C298:M298"/>
    <x:mergeCell ref="C301:M301"/>
    <x:mergeCell ref="C307:M307"/>
    <x:mergeCell ref="C310:M310"/>
    <x:mergeCell ref="C316:M316"/>
    <x:mergeCell ref="C319:M319"/>
    <x:mergeCell ref="C333:M333"/>
    <x:mergeCell ref="C228:M228"/>
  </x:mergeCells>
  <x:dataValidations count="1">
    <x:dataValidation type="whole" operator="between" sqref="D3">
      <x:formula1>1</x:formula1>
      <x:formula2>3</x:formula2>
    </x:dataValidation>
  </x:dataValidations>
  <x:pageMargins left="0.7" right="0.7" top="0.75" bottom="0.75" header="0.3" footer="0.3"/>
</x:worksheet>
</file>

<file path=xl/worksheets/sheet4.xml><?xml version="1.0" encoding="utf-8"?>
<x:worksheet xmlns:x="http://schemas.openxmlformats.org/spreadsheetml/2006/main">
  <x:sheetPr>
    <x:tabColor rgb="FF17324F"/>
  </x:sheetPr>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5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 hidden="0" customWidth="1"/>
    <x:col min="15" max="15" width="96" hidden="0" customWidth="1"/>
  </x:cols>
  <x:sheetData>
    <x:row r="1" ht="20" customHeight="1">
      <x:c r="A1" s="2"/>
      <x:c r="B1" s="2"/>
      <x:c r="C1" s="2"/>
      <x:c r="D1" s="2"/>
      <x:c r="E1" s="2"/>
      <x:c r="F1" s="2"/>
      <x:c r="G1" s="2"/>
      <x:c r="H1" s="2"/>
      <x:c r="I1" s="2"/>
      <x:c r="J1" s="2"/>
      <x:c r="K1" s="2"/>
      <x:c r="L1" s="2"/>
      <x:c r="M1" s="2"/>
      <x:c r="N1" s="2"/>
      <x:c r="O1" s="2"/>
    </x:row>
    <x:row r="2" ht="20" customHeight="1">
      <x:c r="A2" s="2"/>
      <x:c r="B2" s="2"/>
      <x:c r="C2" s="4" t="str">
        <x:v>Integrated forecast and supporting schedules</x:v>
      </x:c>
      <x:c r="D2" s="2"/>
      <x:c r="E2" s="2"/>
      <x:c r="F2" s="2"/>
      <x:c r="G2" s="2"/>
      <x:c r="H2" s="2"/>
      <x:c r="I2" s="2"/>
      <x:c r="J2" s="2"/>
      <x:c r="K2" s="2"/>
      <x:c r="L2" s="2"/>
      <x:c r="M2" s="2"/>
      <x:c r="N2" s="2"/>
      <x:c r="O2" s="2"/>
    </x:row>
    <x:row r="3" ht="20" customHeight="1">
      <x:c r="A3" s="2"/>
      <x:c r="B3" s="2"/>
      <x:c r="C3" s="5"/>
      <x:c r="D3" s="5"/>
      <x:c r="E3" s="5"/>
      <x:c r="F3" s="5"/>
      <x:c r="G3" s="5"/>
      <x:c r="H3" s="5"/>
      <x:c r="I3" s="5"/>
      <x:c r="J3" s="5"/>
      <x:c r="K3" s="5"/>
      <x:c r="L3" s="5"/>
      <x:c r="M3" s="5"/>
      <x:c r="N3" s="2"/>
      <x:c r="O3" s="2"/>
    </x:row>
    <x:row r="4" ht="20" customHeight="1">
      <x:c r="A4" s="2"/>
      <x:c r="B4" s="2"/>
      <x:c r="C4" s="6" t="str">
        <x:v>INR million. March year-end. A = actual; E = estimate.</x:v>
      </x:c>
      <x:c r="D4" s="2"/>
      <x:c r="E4" s="2"/>
      <x:c r="F4" s="2"/>
      <x:c r="G4" s="2"/>
      <x:c r="H4" s="2"/>
      <x:c r="I4" s="2"/>
      <x:c r="J4" s="2"/>
      <x:c r="K4" s="2"/>
      <x:c r="L4" s="2"/>
      <x:c r="M4" s="2"/>
      <x:c r="N4" s="2"/>
      <x:c r="O4" s="2"/>
    </x:row>
    <x:row r="5" ht="20" customHeight="1">
      <x:c r="A5" s="2"/>
      <x:c r="B5" s="2"/>
      <x:c r="C5" s="2" t="str">
        <x:v>Case selected</x:v>
      </x:c>
      <x:c r="D5" s="7" t="str">
        <x:f>CHOOSE('02_Drivers+Scenarios'!$D$3,"Base","Bull","Bear")</x:f>
        <x:v>Base</x:v>
      </x:c>
      <x:c r="E5" s="2"/>
      <x:c r="F5" s="2"/>
      <x:c r="G5" s="2"/>
      <x:c r="H5" s="2"/>
      <x:c r="I5" s="2"/>
      <x:c r="J5" s="2"/>
      <x:c r="K5" s="2"/>
      <x:c r="L5" s="2"/>
      <x:c r="M5" s="2"/>
      <x:c r="N5" s="2"/>
      <x:c r="O5" s="2"/>
    </x:row>
    <x:row r="6" ht="20" customHeight="1">
      <x:c r="A6" s="2"/>
      <x:c r="B6" s="2"/>
      <x:c r="C6" s="9" t="str">
        <x:v>Metric</x:v>
      </x:c>
      <x:c r="D6" s="12" t="str">
        <x:v>FY22A</x:v>
      </x:c>
      <x:c r="E6" s="12" t="str">
        <x:v>FY23A</x:v>
      </x:c>
      <x:c r="F6" s="12" t="str">
        <x:v>FY24A</x:v>
      </x:c>
      <x:c r="G6" s="12" t="str">
        <x:v>FY25A</x:v>
      </x:c>
      <x:c r="H6" s="12" t="str">
        <x:v>FY26A</x:v>
      </x:c>
      <x:c r="I6" s="13" t="str">
        <x:v>FY27E</x:v>
      </x:c>
      <x:c r="J6" s="13" t="str">
        <x:v>FY28E</x:v>
      </x:c>
      <x:c r="K6" s="13" t="str">
        <x:v>FY29E</x:v>
      </x:c>
      <x:c r="L6" s="13" t="str">
        <x:v>FY30E</x:v>
      </x:c>
      <x:c r="M6" s="13" t="str">
        <x:v>FY31E</x:v>
      </x:c>
      <x:c r="N6" s="2"/>
      <x:c r="O6" s="2"/>
    </x:row>
    <x:row r="7" ht="20" customHeight="1">
      <x:c r="A7" s="2"/>
      <x:c r="B7" s="2"/>
      <x:c r="C7" s="2"/>
      <x:c r="D7" s="3"/>
      <x:c r="E7" s="3"/>
      <x:c r="F7" s="3"/>
      <x:c r="G7" s="3"/>
      <x:c r="H7" s="3"/>
      <x:c r="I7" s="3"/>
      <x:c r="J7" s="3"/>
      <x:c r="K7" s="3"/>
      <x:c r="L7" s="3"/>
      <x:c r="M7" s="3"/>
      <x:c r="N7" s="2"/>
      <x:c r="O7" s="2"/>
    </x:row>
    <x:row r="8" ht="24" customHeight="1">
      <x:c r="A8" s="2"/>
      <x:c r="B8" s="2"/>
      <x:c r="C8" s="11" t="str">
        <x:v>Income statement</x:v>
      </x:c>
      <x:c r="D8" s="19"/>
      <x:c r="E8" s="19"/>
      <x:c r="F8" s="19"/>
      <x:c r="G8" s="19"/>
      <x:c r="H8" s="19"/>
      <x:c r="I8" s="19"/>
      <x:c r="J8" s="19"/>
      <x:c r="K8" s="19"/>
      <x:c r="L8" s="19"/>
      <x:c r="M8" s="19"/>
      <x:c r="N8" s="2"/>
      <x:c r="O8" s="2"/>
    </x:row>
    <x:row r="9" ht="20" customHeight="1">
      <x:c r="A9" s="2"/>
      <x:c r="B9" s="2"/>
      <x:c r="C9" s="47" t="str">
        <x:v>Revenue from operations</x:v>
      </x:c>
      <x:c r="D9" s="63" t="n">
        <x:f>'01_Historical+Segments'!D143</x:f>
        <x:v>122037.61</x:v>
      </x:c>
      <x:c r="E9" s="63" t="n">
        <x:f>'01_Historical+Segments'!E143</x:f>
        <x:v>141077.78</x:v>
      </x:c>
      <x:c r="F9" s="63" t="n">
        <x:f>'01_Historical+Segments'!F143</x:f>
        <x:v>180394.44</x:v>
      </x:c>
      <x:c r="G9" s="63" t="n">
        <x:f>'01_Historical+Segments'!G143</x:f>
        <x:v>224083.13</x:v>
      </x:c>
      <x:c r="H9" s="63" t="n">
        <x:f>'01_Historical+Segments'!H143</x:f>
        <x:v>288837.92</x:v>
      </x:c>
      <x:c r="I9" s="56" t="n">
        <x:f>I107-I108</x:f>
        <x:v>356060.0821978763</x:v>
      </x:c>
      <x:c r="J9" s="56" t="n">
        <x:f>J107-J108</x:f>
        <x:v>421774.0254034791</x:v>
      </x:c>
      <x:c r="K9" s="56" t="n">
        <x:f>K107-K108</x:f>
        <x:v>493020.2812259107</x:v>
      </x:c>
      <x:c r="L9" s="56" t="n">
        <x:f>L107-L108</x:f>
        <x:v>569345.1749434969</x:v>
      </x:c>
      <x:c r="M9" s="56" t="n">
        <x:f>M107-M108</x:f>
        <x:v>646963.6080530502</x:v>
      </x:c>
      <x:c r="N9" s="2"/>
      <x:c r="O9" s="2"/>
    </x:row>
    <x:row r="10" ht="20" customHeight="1">
      <x:c r="A10" s="2"/>
      <x:c r="B10" s="2"/>
      <x:c r="C10" s="2" t="str">
        <x:v>Broad COGS</x:v>
      </x:c>
      <x:c r="D10" s="22" t="n">
        <x:f>'01_Historical+Segments'!D111</x:f>
        <x:v>94656.76000000001</x:v>
      </x:c>
      <x:c r="E10" s="22" t="n">
        <x:f>'01_Historical+Segments'!E111</x:f>
        <x:v>105108.95999999999</x:v>
      </x:c>
      <x:c r="F10" s="22" t="n">
        <x:f>'01_Historical+Segments'!F111</x:f>
        <x:v>132803.01</x:v>
      </x:c>
      <x:c r="G10" s="22" t="n">
        <x:f>'01_Historical+Segments'!G111</x:f>
        <x:v>168300.33</x:v>
      </x:c>
      <x:c r="H10" s="22" t="n">
        <x:f>'01_Historical+Segments'!H111</x:f>
        <x:v>215815.97000000003</x:v>
      </x:c>
      <x:c r="I10" s="22" t="n">
        <x:f>I9*'02_Drivers+Scenarios'!I74</x:f>
        <x:v>265197.1592813309</x:v>
      </x:c>
      <x:c r="J10" s="22" t="n">
        <x:f>J9*'02_Drivers+Scenarios'!J74</x:f>
        <x:v>314141.57044847665</x:v>
      </x:c>
      <x:c r="K10" s="22" t="n">
        <x:f>K9*'02_Drivers+Scenarios'!K74</x:f>
        <x:v>367206.5041442442</x:v>
      </x:c>
      <x:c r="L10" s="22" t="n">
        <x:f>L9*'02_Drivers+Scenarios'!L74</x:f>
        <x:v>424054.05883616436</x:v>
      </x:c>
      <x:c r="M10" s="22" t="n">
        <x:f>M9*'02_Drivers+Scenarios'!M74</x:f>
        <x:v>481865.0547822983</x:v>
      </x:c>
      <x:c r="N10" s="2"/>
      <x:c r="O10" s="2"/>
    </x:row>
    <x:row r="11" ht="20" customHeight="1">
      <x:c r="A11" s="2"/>
      <x:c r="B11" s="2"/>
      <x:c r="C11" s="2" t="str">
        <x:v>Gross contribution</x:v>
      </x:c>
      <x:c r="D11" s="14" t="n">
        <x:f>D9-D10</x:f>
        <x:v>27380.84999999999</x:v>
      </x:c>
      <x:c r="E11" s="14" t="n">
        <x:f>E9-E10</x:f>
        <x:v>35968.82000000001</x:v>
      </x:c>
      <x:c r="F11" s="14" t="n">
        <x:f>F9-F10</x:f>
        <x:v>47591.42999999999</x:v>
      </x:c>
      <x:c r="G11" s="14" t="n">
        <x:f>G9-G10</x:f>
        <x:v>55782.80000000002</x:v>
      </x:c>
      <x:c r="H11" s="14" t="n">
        <x:f>H9-H10</x:f>
        <x:v>73021.94999999995</x:v>
      </x:c>
      <x:c r="I11" s="14" t="n">
        <x:f>I9-I10</x:f>
        <x:v>90862.92291654542</x:v>
      </x:c>
      <x:c r="J11" s="14" t="n">
        <x:f>J9-J10</x:f>
        <x:v>107632.45495500247</x:v>
      </x:c>
      <x:c r="K11" s="14" t="n">
        <x:f>K9-K10</x:f>
        <x:v>125813.77708166651</x:v>
      </x:c>
      <x:c r="L11" s="14" t="n">
        <x:f>L9-L10</x:f>
        <x:v>145291.11610733258</x:v>
      </x:c>
      <x:c r="M11" s="14" t="n">
        <x:f>M9-M10</x:f>
        <x:v>165098.55327075196</x:v>
      </x:c>
      <x:c r="N11" s="2"/>
      <x:c r="O11" s="2"/>
    </x:row>
    <x:row r="12" ht="32" customHeight="1">
      <x:c r="A12" s="2"/>
      <x:c r="B12" s="2"/>
      <x:c r="C12" s="2" t="str">
        <x:v>Operating expenses excluding D&amp;A</x:v>
      </x:c>
      <x:c r="D12" s="14" t="n">
        <x:f>D11-D13</x:f>
        <x:v>14728.86</x:v>
      </x:c>
      <x:c r="E12" s="14" t="n">
        <x:f>E11-E13</x:f>
        <x:v>17447.68</x:v>
      </x:c>
      <x:c r="F12" s="14" t="n">
        <x:f>F11-F13</x:f>
        <x:v>22673.379999999997</x:v>
      </x:c>
      <x:c r="G12" s="14" t="n">
        <x:f>G11-G13</x:f>
        <x:v>26180.4</x:v>
      </x:c>
      <x:c r="H12" s="14" t="n">
        <x:f>H11-H13</x:f>
        <x:v>32964.67</x:v>
      </x:c>
      <x:c r="I12" s="14" t="n">
        <x:f>I11-I13</x:f>
        <x:v>43630.01303565354</x:v>
      </x:c>
      <x:c r="J12" s="14" t="n">
        <x:f>J11-J13</x:f>
        <x:v>53426.913546650954</x:v>
      </x:c>
      <x:c r="K12" s="14" t="n">
        <x:f>K11-K13</x:f>
        <x:v>64467.892809570505</x:v>
      </x:c>
      <x:c r="L12" s="14" t="n">
        <x:f>L11-L13</x:f>
        <x:v>76899.59962400331</x:v>
      </x:c>
      <x:c r="M12" s="14" t="n">
        <x:f>M11-M13</x:f>
        <x:v>87338.8044549897</x:v>
      </x:c>
      <x:c r="N12" s="2"/>
      <x:c r="O12" s="16" t="str">
        <x:v>Implied operating cost = gross contribution less segment-derived EBITDA. Expense mix is not separately forecast from unverified cost categories.</x:v>
      </x:c>
    </x:row>
    <x:row r="13" ht="20" customHeight="1">
      <x:c r="A13" s="2"/>
      <x:c r="B13" s="2"/>
      <x:c r="C13" s="47" t="str">
        <x:v>Operating EBITDA</x:v>
      </x:c>
      <x:c r="D13" s="63" t="n">
        <x:f>'01_Historical+Segments'!D115</x:f>
        <x:v>12651.98999999999</x:v>
      </x:c>
      <x:c r="E13" s="63" t="n">
        <x:f>'01_Historical+Segments'!E115</x:f>
        <x:v>18521.140000000007</x:v>
      </x:c>
      <x:c r="F13" s="63" t="n">
        <x:f>'01_Historical+Segments'!F115</x:f>
        <x:v>24918.049999999996</x:v>
      </x:c>
      <x:c r="G13" s="63" t="n">
        <x:f>'01_Historical+Segments'!G115</x:f>
        <x:v>29602.400000000016</x:v>
      </x:c>
      <x:c r="H13" s="63" t="n">
        <x:f>'01_Historical+Segments'!H115</x:f>
        <x:v>40057.279999999955</x:v>
      </x:c>
      <x:c r="I13" s="56" t="n">
        <x:f>I15+I14</x:f>
        <x:v>47232.90988089188</x:v>
      </x:c>
      <x:c r="J13" s="56" t="n">
        <x:f>J15+J14</x:f>
        <x:v>54205.54140835151</x:v>
      </x:c>
      <x:c r="K13" s="56" t="n">
        <x:f>K15+K14</x:f>
        <x:v>61345.88427209601</x:v>
      </x:c>
      <x:c r="L13" s="56" t="n">
        <x:f>L15+L14</x:f>
        <x:v>68391.51648332927</x:v>
      </x:c>
      <x:c r="M13" s="56" t="n">
        <x:f>M15+M14</x:f>
        <x:v>77759.74881576226</x:v>
      </x:c>
      <x:c r="N13" s="2"/>
      <x:c r="O13" s="2"/>
    </x:row>
    <x:row r="14" ht="20" customHeight="1">
      <x:c r="A14" s="2"/>
      <x:c r="B14" s="2"/>
      <x:c r="C14" s="2" t="str">
        <x:v>Depreciation and amortisation</x:v>
      </x:c>
      <x:c r="D14" s="22" t="n">
        <x:f>'01_Historical+Segments'!D151</x:f>
        <x:v>2015.19</x:v>
      </x:c>
      <x:c r="E14" s="22" t="n">
        <x:f>'01_Historical+Segments'!E151</x:f>
        <x:v>2091.64</x:v>
      </x:c>
      <x:c r="F14" s="22" t="n">
        <x:f>'01_Historical+Segments'!F151</x:f>
        <x:v>2450.4</x:v>
      </x:c>
      <x:c r="G14" s="22" t="n">
        <x:f>'01_Historical+Segments'!G151</x:f>
        <x:v>2981.03</x:v>
      </x:c>
      <x:c r="H14" s="22" t="n">
        <x:f>'01_Historical+Segments'!H151</x:f>
        <x:v>3858.69</x:v>
      </x:c>
      <x:c r="I14" s="14" t="n">
        <x:f>I200</x:f>
        <x:v>5358.721295892978</x:v>
      </x:c>
      <x:c r="J14" s="14" t="n">
        <x:f>J200</x:f>
        <x:v>6617.169130303889</x:v>
      </x:c>
      <x:c r="K14" s="14" t="n">
        <x:f>K200</x:f>
        <x:v>7482.853067482698</x:v>
      </x:c>
      <x:c r="L14" s="14" t="n">
        <x:f>L200</x:f>
        <x:v>8250.70172768138</x:v>
      </x:c>
      <x:c r="M14" s="14" t="n">
        <x:f>M200</x:f>
        <x:v>8983.566046381382</x:v>
      </x:c>
      <x:c r="N14" s="2"/>
      <x:c r="O14" s="2"/>
    </x:row>
    <x:row r="15" ht="20" customHeight="1">
      <x:c r="A15" s="2"/>
      <x:c r="B15" s="2"/>
      <x:c r="C15" s="47" t="str">
        <x:v>Operating EBIT</x:v>
      </x:c>
      <x:c r="D15" s="56" t="n">
        <x:f>D13-D14</x:f>
        <x:v>10636.79999999999</x:v>
      </x:c>
      <x:c r="E15" s="56" t="n">
        <x:f>E13-E14</x:f>
        <x:v>16429.500000000007</x:v>
      </x:c>
      <x:c r="F15" s="56" t="n">
        <x:f>F13-F14</x:f>
        <x:v>22467.649999999994</x:v>
      </x:c>
      <x:c r="G15" s="56" t="n">
        <x:f>G13-G14</x:f>
        <x:v>26621.370000000017</x:v>
      </x:c>
      <x:c r="H15" s="56" t="n">
        <x:f>H13-H14</x:f>
        <x:v>36198.58999999995</x:v>
      </x:c>
      <x:c r="I15" s="56" t="n">
        <x:f>I121</x:f>
        <x:v>41874.188584998905</x:v>
      </x:c>
      <x:c r="J15" s="56" t="n">
        <x:f>J121</x:f>
        <x:v>47588.372278047624</x:v>
      </x:c>
      <x:c r="K15" s="56" t="n">
        <x:f>K121</x:f>
        <x:v>53863.03120461331</x:v>
      </x:c>
      <x:c r="L15" s="56" t="n">
        <x:f>L121</x:f>
        <x:v>60140.81475564789</x:v>
      </x:c>
      <x:c r="M15" s="56" t="n">
        <x:f>M121</x:f>
        <x:v>68776.18276938087</x:v>
      </x:c>
      <x:c r="N15" s="2"/>
      <x:c r="O15" s="2"/>
    </x:row>
    <x:row r="16" ht="20" customHeight="1">
      <x:c r="A16" s="2"/>
      <x:c r="B16" s="2"/>
      <x:c r="C16" s="2" t="str">
        <x:v>Finance income on opening treasury assets</x:v>
      </x:c>
      <x:c r="D16" s="22" t="n">
        <x:f>'01_Historical+Segments'!D259</x:f>
        <x:v>496.92</x:v>
      </x:c>
      <x:c r="E16" s="22" t="n">
        <x:f>'01_Historical+Segments'!E259</x:f>
        <x:v>946.21</x:v>
      </x:c>
      <x:c r="F16" s="22" t="n">
        <x:f>'01_Historical+Segments'!F259</x:f>
        <x:v>1211.06</x:v>
      </x:c>
      <x:c r="G16" s="22" t="n">
        <x:f>'01_Historical+Segments'!G259</x:f>
        <x:v>1550.65</x:v>
      </x:c>
      <x:c r="H16" s="22" t="n">
        <x:f>'01_Historical+Segments'!H259</x:f>
        <x:v>2053.39</x:v>
      </x:c>
      <x:c r="I16" s="22" t="n">
        <x:f>H39*'02_Drivers+Scenarios'!I119</x:f>
        <x:v>3493.8927010792654</x:v>
      </x:c>
      <x:c r="J16" s="22" t="n">
        <x:f>I39*'02_Drivers+Scenarios'!J119</x:f>
        <x:v>2017.482496818302</x:v>
      </x:c>
      <x:c r="K16" s="22" t="n">
        <x:f>J39*'02_Drivers+Scenarios'!K119</x:f>
        <x:v>2498.693957890204</x:v>
      </x:c>
      <x:c r="L16" s="22" t="n">
        <x:f>K39*'02_Drivers+Scenarios'!L119</x:f>
        <x:v>3245.751604694573</x:v>
      </x:c>
      <x:c r="M16" s="22" t="n">
        <x:f>L39*'02_Drivers+Scenarios'!M119</x:f>
        <x:v>4239.177117968273</x:v>
      </x:c>
      <x:c r="N16" s="2"/>
      <x:c r="O16" s="2"/>
    </x:row>
    <x:row r="17" ht="20" customHeight="1">
      <x:c r="A17" s="2"/>
      <x:c r="B17" s="2"/>
      <x:c r="C17" s="2" t="str">
        <x:v>Allocated non-finance other income</x:v>
      </x:c>
      <x:c r="D17" s="22" t="n">
        <x:f>'01_Historical+Segments'!D309</x:f>
        <x:v>402.31</x:v>
      </x:c>
      <x:c r="E17" s="22" t="n">
        <x:f>'01_Historical+Segments'!E309</x:f>
        <x:v>387.04999999999995</x:v>
      </x:c>
      <x:c r="F17" s="22" t="n">
        <x:f>'01_Historical+Segments'!F309</x:f>
        <x:v>997.69</x:v>
      </x:c>
      <x:c r="G17" s="22" t="n">
        <x:f>'01_Historical+Segments'!G309</x:f>
        <x:v>525.71</x:v>
      </x:c>
      <x:c r="H17" s="22" t="n">
        <x:f>'01_Historical+Segments'!H309</x:f>
        <x:v>309.1300000000001</x:v>
      </x:c>
      <x:c r="I17" s="14" t="n">
        <x:f>I108</x:f>
        <x:v>381.0748021237292</x:v>
      </x:c>
      <x:c r="J17" s="14" t="n">
        <x:f>J108</x:f>
        <x:v>451.40542652078904</x:v>
      </x:c>
      <x:c r="K17" s="14" t="n">
        <x:f>K108</x:f>
        <x:v>527.657031789198</x:v>
      </x:c>
      <x:c r="L17" s="14" t="n">
        <x:f>L108</x:f>
        <x:v>609.3440706479373</x:v>
      </x:c>
      <x:c r="M17" s="14" t="n">
        <x:f>M108</x:f>
        <x:v>692.4155254872335</x:v>
      </x:c>
      <x:c r="N17" s="2"/>
      <x:c r="O17" s="2"/>
    </x:row>
    <x:row r="18" ht="20" customHeight="1">
      <x:c r="A18" s="2"/>
      <x:c r="B18" s="2"/>
      <x:c r="C18" s="2" t="str">
        <x:v>Total other income</x:v>
      </x:c>
      <x:c r="D18" s="22" t="n">
        <x:f>'01_Historical+Segments'!D144</x:f>
        <x:v>899.23</x:v>
      </x:c>
      <x:c r="E18" s="22" t="n">
        <x:f>'01_Historical+Segments'!E144</x:f>
        <x:v>1333.26</x:v>
      </x:c>
      <x:c r="F18" s="22" t="n">
        <x:f>'01_Historical+Segments'!F144</x:f>
        <x:v>2208.75</x:v>
      </x:c>
      <x:c r="G18" s="22" t="n">
        <x:f>'01_Historical+Segments'!G144</x:f>
        <x:v>2076.36</x:v>
      </x:c>
      <x:c r="H18" s="22" t="n">
        <x:f>'01_Historical+Segments'!H144</x:f>
        <x:v>2362.52</x:v>
      </x:c>
      <x:c r="I18" s="14" t="n">
        <x:f>SUM(I16:I17)</x:f>
        <x:v>3874.9675032029945</x:v>
      </x:c>
      <x:c r="J18" s="14" t="n">
        <x:f>SUM(J16:J17)</x:f>
        <x:v>2468.8879233390912</x:v>
      </x:c>
      <x:c r="K18" s="14" t="n">
        <x:f>SUM(K16:K17)</x:f>
        <x:v>3026.3509896794017</x:v>
      </x:c>
      <x:c r="L18" s="14" t="n">
        <x:f>SUM(L16:L17)</x:f>
        <x:v>3855.0956753425103</x:v>
      </x:c>
      <x:c r="M18" s="14" t="n">
        <x:f>SUM(M16:M17)</x:f>
        <x:v>4931.592643455506</x:v>
      </x:c>
      <x:c r="N18" s="2"/>
      <x:c r="O18" s="2"/>
    </x:row>
    <x:row r="19" ht="20" customHeight="1">
      <x:c r="A19" s="2"/>
      <x:c r="B19" s="2"/>
      <x:c r="C19" s="2" t="str">
        <x:v>Finance costs</x:v>
      </x:c>
      <x:c r="D19" s="22" t="n">
        <x:f>'01_Historical+Segments'!D152</x:f>
        <x:v>351.9</x:v>
      </x:c>
      <x:c r="E19" s="22" t="n">
        <x:f>'01_Historical+Segments'!E152</x:f>
        <x:v>597.57</x:v>
      </x:c>
      <x:c r="F19" s="22" t="n">
        <x:f>'01_Historical+Segments'!F152</x:f>
        <x:v>1083.4</x:v>
      </x:c>
      <x:c r="G19" s="22" t="n">
        <x:f>'01_Historical+Segments'!G152</x:f>
        <x:v>1689.28</x:v>
      </x:c>
      <x:c r="H19" s="22" t="n">
        <x:f>'01_Historical+Segments'!H152</x:f>
        <x:v>2430.36</x:v>
      </x:c>
      <x:c r="I19" s="22" t="n">
        <x:f>AVERAGE(H45+H46+H47,I45+I46+I47)*'02_Drivers+Scenarios'!I124</x:f>
        <x:v>3186.8197013371323</x:v>
      </x:c>
      <x:c r="J19" s="22" t="n">
        <x:f>AVERAGE(I45+I46+I47,J45+J46+J47)*'02_Drivers+Scenarios'!J124</x:f>
        <x:v>2967.764881619636</x:v>
      </x:c>
      <x:c r="K19" s="22" t="n">
        <x:f>AVERAGE(J45+J46+J47,K45+K46+K47)*'02_Drivers+Scenarios'!K124</x:f>
        <x:v>3456.785253803367</x:v>
      </x:c>
      <x:c r="L19" s="22" t="n">
        <x:f>AVERAGE(K45+K46+K47,L45+L46+L47)*'02_Drivers+Scenarios'!L124</x:f>
        <x:v>3983.692333259853</x:v>
      </x:c>
      <x:c r="M19" s="22" t="n">
        <x:f>AVERAGE(L45+L46+L47,M45+M46+M47)*'02_Drivers+Scenarios'!M124</x:f>
        <x:v>4533.351456964837</x:v>
      </x:c>
      <x:c r="N19" s="2"/>
      <x:c r="O19" s="2"/>
    </x:row>
    <x:row r="20" ht="20" customHeight="1">
      <x:c r="A20" s="2"/>
      <x:c r="B20" s="2"/>
      <x:c r="C20" s="47" t="str">
        <x:v>Profit before tax</x:v>
      </x:c>
      <x:c r="D20" s="56" t="n">
        <x:f>D15+D18-D19+D27</x:f>
        <x:v>11158.57999999999</x:v>
      </x:c>
      <x:c r="E20" s="56" t="n">
        <x:f>E15+E18-E19+E27</x:f>
        <x:v>17072.560000000005</x:v>
      </x:c>
      <x:c r="F20" s="56" t="n">
        <x:f>F15+F18-F19+F27</x:f>
        <x:v>23592.999999999993</x:v>
      </x:c>
      <x:c r="G20" s="56" t="n">
        <x:f>G15+G18-G19+G27</x:f>
        <x:v>27008.45000000002</x:v>
      </x:c>
      <x:c r="H20" s="56" t="n">
        <x:f>H15+H18-H19+H27</x:f>
        <x:v>36130.74999999995</x:v>
      </x:c>
      <x:c r="I20" s="56" t="n">
        <x:f>I15+I18-I19+I27</x:f>
        <x:v>42562.336386864765</x:v>
      </x:c>
      <x:c r="J20" s="56" t="n">
        <x:f>J15+J18-J19+J27</x:f>
        <x:v>47089.49531976708</x:v>
      </x:c>
      <x:c r="K20" s="56" t="n">
        <x:f>K15+K18-K19+K27</x:f>
        <x:v>53432.59694048934</x:v>
      </x:c>
      <x:c r="L20" s="56" t="n">
        <x:f>L15+L18-L19+L27</x:f>
        <x:v>60012.21809773055</x:v>
      </x:c>
      <x:c r="M20" s="56" t="n">
        <x:f>M15+M18-M19+M27</x:f>
        <x:v>69174.42395587153</x:v>
      </x:c>
      <x:c r="N20" s="2"/>
      <x:c r="O20" s="2"/>
    </x:row>
    <x:row r="21" ht="20" customHeight="1">
      <x:c r="A21" s="2"/>
      <x:c r="B21" s="2"/>
      <x:c r="C21" s="2" t="str">
        <x:v>Tax expense</x:v>
      </x:c>
      <x:c r="D21" s="22" t="n">
        <x:f>'01_Historical+Segments'!D121</x:f>
        <x:v>2706.27</x:v>
      </x:c>
      <x:c r="E21" s="22" t="n">
        <x:f>'01_Historical+Segments'!E121</x:f>
        <x:v>4241.7</x:v>
      </x:c>
      <x:c r="F21" s="22" t="n">
        <x:f>'01_Historical+Segments'!F121</x:f>
        <x:v>5563.83</x:v>
      </x:c>
      <x:c r="G21" s="22" t="n">
        <x:f>'01_Historical+Segments'!G121</x:f>
        <x:v>6553.08</x:v>
      </x:c>
      <x:c r="H21" s="22" t="n">
        <x:f>'01_Historical+Segments'!H121</x:f>
        <x:v>9046.48</x:v>
      </x:c>
      <x:c r="I21" s="22" t="n">
        <x:f>I20*'02_Drivers+Scenarios'!I114</x:f>
        <x:v>10656.831781157167</x:v>
      </x:c>
      <x:c r="J21" s="22" t="n">
        <x:f>J20*'02_Drivers+Scenarios'!J114</x:f>
        <x:v>11790.34970545495</x:v>
      </x:c>
      <x:c r="K21" s="22" t="n">
        <x:f>K20*'02_Drivers+Scenarios'!K114</x:f>
        <x:v>13378.54651703045</x:v>
      </x:c>
      <x:c r="L21" s="22" t="n">
        <x:f>L20*'02_Drivers+Scenarios'!L114</x:f>
        <x:v>15025.963501359849</x:v>
      </x:c>
      <x:c r="M21" s="22" t="n">
        <x:f>M20*'02_Drivers+Scenarios'!M114</x:f>
        <x:v>17320.01253304492</x:v>
      </x:c>
      <x:c r="N21" s="2"/>
      <x:c r="O21" s="2"/>
    </x:row>
    <x:row r="22" ht="20" customHeight="1">
      <x:c r="A22" s="2"/>
      <x:c r="B22" s="2"/>
      <x:c r="C22" s="47" t="str">
        <x:v>Total PAT</x:v>
      </x:c>
      <x:c r="D22" s="56" t="n">
        <x:f>D20-D21+D28</x:f>
        <x:v>9172.839999999991</x:v>
      </x:c>
      <x:c r="E22" s="56" t="n">
        <x:f>E20-E21+E28</x:f>
        <x:v>12830.860000000004</x:v>
      </x:c>
      <x:c r="F22" s="56" t="n">
        <x:f>F20-F21+F28</x:f>
        <x:v>18029.16999999999</x:v>
      </x:c>
      <x:c r="G22" s="56" t="n">
        <x:f>G20-G21+G28</x:f>
        <x:v>20455.370000000017</x:v>
      </x:c>
      <x:c r="H22" s="56" t="n">
        <x:f>H20-H21+H28</x:f>
        <x:v>27084.26999999995</x:v>
      </x:c>
      <x:c r="I22" s="56" t="n">
        <x:f>I20-I21+I28</x:f>
        <x:v>31905.504605707596</x:v>
      </x:c>
      <x:c r="J22" s="56" t="n">
        <x:f>J20-J21+J28</x:f>
        <x:v>35299.145614312125</x:v>
      </x:c>
      <x:c r="K22" s="56" t="n">
        <x:f>K20-K21+K28</x:f>
        <x:v>40054.05042345889</x:v>
      </x:c>
      <x:c r="L22" s="56" t="n">
        <x:f>L20-L21+L28</x:f>
        <x:v>44986.254596370694</x:v>
      </x:c>
      <x:c r="M22" s="56" t="n">
        <x:f>M20-M21+M28</x:f>
        <x:v>51854.41142282661</x:v>
      </x:c>
      <x:c r="N22" s="2"/>
      <x:c r="O22" s="2"/>
    </x:row>
    <x:row r="23" ht="20" customHeight="1">
      <x:c r="A23" s="2"/>
      <x:c r="B23" s="2"/>
      <x:c r="C23" s="2" t="str">
        <x:v>PAT attributable to NCI</x:v>
      </x:c>
      <x:c r="D23" s="22" t="n">
        <x:f>'01_Historical+Segments'!D161</x:f>
        <x:v>87.07</x:v>
      </x:c>
      <x:c r="E23" s="22" t="n">
        <x:f>'01_Historical+Segments'!E161</x:f>
        <x:v>123.03</x:v>
      </x:c>
      <x:c r="F23" s="22" t="n">
        <x:f>'01_Historical+Segments'!F161</x:f>
        <x:v>188.72</x:v>
      </x:c>
      <x:c r="G23" s="22" t="n">
        <x:f>'01_Historical+Segments'!G161</x:f>
        <x:v>255.47</x:v>
      </x:c>
      <x:c r="H23" s="22" t="n">
        <x:f>'01_Historical+Segments'!H161</x:f>
        <x:v>363.94</x:v>
      </x:c>
      <x:c r="I23" s="22" t="n">
        <x:f>I22*'02_Drivers+Scenarios'!I129</x:f>
        <x:v>428.724471665702</x:v>
      </x:c>
      <x:c r="J23" s="22" t="n">
        <x:f>J22*'02_Drivers+Scenarios'!J129</x:f>
        <x:v>474.32591149300885</x:v>
      </x:c>
      <x:c r="K23" s="22" t="n">
        <x:f>K22*'02_Drivers+Scenarios'!K129</x:f>
        <x:v>538.2190884640283</x:v>
      </x:c>
      <x:c r="L23" s="22" t="n">
        <x:f>L22*'02_Drivers+Scenarios'!L129</x:f>
        <x:v>604.4946937024018</x:v>
      </x:c>
      <x:c r="M23" s="22" t="n">
        <x:f>M22*'02_Drivers+Scenarios'!M129</x:f>
        <x:v>696.7843140399766</x:v>
      </x:c>
      <x:c r="N23" s="2"/>
      <x:c r="O23" s="2"/>
    </x:row>
    <x:row r="24" ht="20" customHeight="1">
      <x:c r="A24" s="2"/>
      <x:c r="B24" s="2"/>
      <x:c r="C24" s="47" t="str">
        <x:v>PAT attributable to shareholders</x:v>
      </x:c>
      <x:c r="D24" s="63" t="n">
        <x:f>'01_Historical+Segments'!D160</x:f>
        <x:v>9085.77</x:v>
      </x:c>
      <x:c r="E24" s="63" t="n">
        <x:f>'01_Historical+Segments'!E160</x:f>
        <x:v>12707.83</x:v>
      </x:c>
      <x:c r="F24" s="63" t="n">
        <x:f>'01_Historical+Segments'!F160</x:f>
        <x:v>17840.45</x:v>
      </x:c>
      <x:c r="G24" s="63" t="n">
        <x:f>'01_Historical+Segments'!G160</x:f>
        <x:v>20199.9</x:v>
      </x:c>
      <x:c r="H24" s="63" t="n">
        <x:f>'01_Historical+Segments'!H160</x:f>
        <x:v>26720.33</x:v>
      </x:c>
      <x:c r="I24" s="56" t="n">
        <x:f>I22-I23</x:f>
        <x:v>31476.780134041896</x:v>
      </x:c>
      <x:c r="J24" s="56" t="n">
        <x:f>J22-J23</x:f>
        <x:v>34824.81970281911</x:v>
      </x:c>
      <x:c r="K24" s="56" t="n">
        <x:f>K22-K23</x:f>
        <x:v>39515.83133499486</x:v>
      </x:c>
      <x:c r="L24" s="56" t="n">
        <x:f>L22-L23</x:f>
        <x:v>44381.759902668295</x:v>
      </x:c>
      <x:c r="M24" s="56" t="n">
        <x:f>M22-M23</x:f>
        <x:v>51157.62710878663</x:v>
      </x:c>
      <x:c r="N24" s="2"/>
      <x:c r="O24" s="2"/>
    </x:row>
    <x:row r="25" ht="20" customHeight="1">
      <x:c r="A25" s="2"/>
      <x:c r="B25" s="2"/>
      <x:c r="C25" s="2" t="str">
        <x:v>Diluted EPS (INR)</x:v>
      </x:c>
      <x:c r="D25" s="65" t="n">
        <x:f>'01_Historical+Segments'!D164</x:f>
        <x:v>60.6</x:v>
      </x:c>
      <x:c r="E25" s="65" t="n">
        <x:f>'01_Historical+Segments'!E164</x:f>
        <x:v>84.66</x:v>
      </x:c>
      <x:c r="F25" s="65" t="n">
        <x:f>'01_Historical+Segments'!F164</x:f>
        <x:v>118.49</x:v>
      </x:c>
      <x:c r="G25" s="65" t="n">
        <x:f>'01_Historical+Segments'!G164</x:f>
        <x:v>133.8</x:v>
      </x:c>
      <x:c r="H25" s="65" t="n">
        <x:f>'01_Historical+Segments'!H164</x:f>
        <x:v>176.95</x:v>
      </x:c>
      <x:c r="I25" s="65" t="n">
        <x:f>I24/'02_Drivers+Scenarios'!I144</x:f>
        <x:v>208.453527621576</x:v>
      </x:c>
      <x:c r="J25" s="65" t="n">
        <x:f>J24/'02_Drivers+Scenarios'!J144</x:f>
        <x:v>230.6257655619315</x:v>
      </x:c>
      <x:c r="K25" s="65" t="n">
        <x:f>K24/'02_Drivers+Scenarios'!K144</x:f>
        <x:v>261.69177417770265</x:v>
      </x:c>
      <x:c r="L25" s="65" t="n">
        <x:f>L24/'02_Drivers+Scenarios'!L144</x:f>
        <x:v>293.9161621477146</x:v>
      </x:c>
      <x:c r="M25" s="65" t="n">
        <x:f>M24/'02_Drivers+Scenarios'!M144</x:f>
        <x:v>338.7890308399975</x:v>
      </x:c>
      <x:c r="N25" s="2"/>
      <x:c r="O25" s="2"/>
    </x:row>
    <x:row r="26" ht="20" customHeight="1">
      <x:c r="A26" s="2"/>
      <x:c r="B26" s="2"/>
      <x:c r="C26" s="24" t="str">
        <x:v>EBITDA margin</x:v>
      </x:c>
      <x:c r="D26" s="66" t="n">
        <x:f>D13/D9</x:f>
        <x:v>0.10367287592734724</x:v>
      </x:c>
      <x:c r="E26" s="66" t="n">
        <x:f>E13/E9</x:f>
        <x:v>0.1312831829363916</x:v>
      </x:c>
      <x:c r="F26" s="66" t="n">
        <x:f>F13/F9</x:f>
        <x:v>0.13813092022126622</x:v>
      </x:c>
      <x:c r="G26" s="66" t="n">
        <x:f>G13/G9</x:f>
        <x:v>0.13210454530869867</x:v>
      </x:c>
      <x:c r="H26" s="66" t="n">
        <x:f>H13/H9</x:f>
        <x:v>0.13868428355944384</x:v>
      </x:c>
      <x:c r="I26" s="66" t="n">
        <x:f>I13/I9</x:f>
        <x:v>0.13265432504911553</x:v>
      </x:c>
      <x:c r="J26" s="66" t="n">
        <x:f>J13/J9</x:f>
        <x:v>0.1285179696793732</x:v>
      </x:c>
      <x:c r="K26" s="66" t="n">
        <x:f>K13/K9</x:f>
        <x:v>0.12442872353964325</x:v>
      </x:c>
      <x:c r="L26" s="66" t="n">
        <x:f>L13/L9</x:f>
        <x:v>0.12012311598164785</x:v>
      </x:c>
      <x:c r="M26" s="66" t="n">
        <x:f>M13/M9</x:f>
        <x:v>0.12019184363363147</x:v>
      </x:c>
      <x:c r="N26" s="2"/>
      <x:c r="O26" s="2"/>
    </x:row>
    <x:row r="27" ht="32" customHeight="1">
      <x:c r="A27" s="2"/>
      <x:c r="B27" s="2"/>
      <x:c r="C27" s="2" t="str">
        <x:v>JV result included in PBT</x:v>
      </x:c>
      <x:c r="D27" s="22" t="n">
        <x:f>'01_Historical+Segments'!D153</x:f>
        <x:v>-25.55</x:v>
      </x:c>
      <x:c r="E27" s="22" t="n">
        <x:f>'01_Historical+Segments'!E153</x:f>
        <x:v>-92.63</x:v>
      </x:c>
      <x:c r="F27" s="22" t="n">
        <x:f>'01_Historical+Segments'!F153</x:f>
        <x:v>0</x:v>
      </x:c>
      <x:c r="G27" s="22" t="n">
        <x:f>'01_Historical+Segments'!G153</x:f>
        <x:v>0</x:v>
      </x:c>
      <x:c r="H27" s="22" t="n">
        <x:f>'01_Historical+Segments'!H153</x:f>
        <x:v>0</x:v>
      </x:c>
      <x:c r="I27" s="22" t="n">
        <x:f>'01_Historical+Segments'!H153</x:f>
        <x:v>0</x:v>
      </x:c>
      <x:c r="J27" s="22" t="n">
        <x:f>'01_Historical+Segments'!H153</x:f>
        <x:v>0</x:v>
      </x:c>
      <x:c r="K27" s="22" t="n">
        <x:f>'01_Historical+Segments'!H153</x:f>
        <x:v>0</x:v>
      </x:c>
      <x:c r="L27" s="22" t="n">
        <x:f>'01_Historical+Segments'!H153</x:f>
        <x:v>0</x:v>
      </x:c>
      <x:c r="M27" s="22" t="n">
        <x:f>'01_Historical+Segments'!H153</x:f>
        <x:v>0</x:v>
      </x:c>
      <x:c r="N27" s="2"/>
      <x:c r="O27" s="16" t="str">
        <x:v>Historical JV losses are explicit; FY24–FY26 result is zero and no new JV earnings are forecast.</x:v>
      </x:c>
    </x:row>
    <x:row r="28" ht="32" customHeight="1">
      <x:c r="A28" s="2"/>
      <x:c r="B28" s="2"/>
      <x:c r="C28" s="2" t="str">
        <x:v>Discontinued PAT included in total PAT</x:v>
      </x:c>
      <x:c r="D28" s="22" t="n">
        <x:f>'01_Historical+Segments'!D158</x:f>
        <x:v>720.53</x:v>
      </x:c>
      <x:c r="E28" s="22" t="n">
        <x:f>'01_Historical+Segments'!E158</x:f>
        <x:v>0</x:v>
      </x:c>
      <x:c r="F28" s="22" t="n">
        <x:f>'01_Historical+Segments'!F158</x:f>
        <x:v>0</x:v>
      </x:c>
      <x:c r="G28" s="22" t="n">
        <x:f>'01_Historical+Segments'!G158</x:f>
        <x:v>0</x:v>
      </x:c>
      <x:c r="H28" s="22" t="n">
        <x:f>'01_Historical+Segments'!H158</x:f>
        <x:v>0</x:v>
      </x:c>
      <x:c r="I28" s="22" t="n">
        <x:f>'01_Historical+Segments'!H158</x:f>
        <x:v>0</x:v>
      </x:c>
      <x:c r="J28" s="22" t="n">
        <x:f>'01_Historical+Segments'!H158</x:f>
        <x:v>0</x:v>
      </x:c>
      <x:c r="K28" s="22" t="n">
        <x:f>'01_Historical+Segments'!H158</x:f>
        <x:v>0</x:v>
      </x:c>
      <x:c r="L28" s="22" t="n">
        <x:f>'01_Historical+Segments'!H158</x:f>
        <x:v>0</x:v>
      </x:c>
      <x:c r="M28" s="22" t="n">
        <x:f>'01_Historical+Segments'!H158</x:f>
        <x:v>0</x:v>
      </x:c>
      <x:c r="N28" s="2"/>
      <x:c r="O28" s="16" t="str">
        <x:v>FY22 copper-business discontinued PAT remains included in total PAT. No recurrence assumed after disposal.</x:v>
      </x:c>
    </x:row>
    <x:row r="29" ht="20" customHeight="1">
      <x:c r="A29" s="2"/>
      <x:c r="B29" s="2"/>
      <x:c r="C29" s="2"/>
      <x:c r="D29" s="3"/>
      <x:c r="E29" s="3"/>
      <x:c r="F29" s="3"/>
      <x:c r="G29" s="3"/>
      <x:c r="H29" s="3"/>
      <x:c r="I29" s="3"/>
      <x:c r="J29" s="3"/>
      <x:c r="K29" s="3"/>
      <x:c r="L29" s="3"/>
      <x:c r="M29" s="3"/>
      <x:c r="N29" s="2"/>
      <x:c r="O29" s="2"/>
    </x:row>
    <x:row r="30" ht="24" customHeight="1">
      <x:c r="A30" s="2"/>
      <x:c r="B30" s="2"/>
      <x:c r="C30" s="11" t="str">
        <x:v>Balance sheet</x:v>
      </x:c>
      <x:c r="D30" s="19"/>
      <x:c r="E30" s="19"/>
      <x:c r="F30" s="19"/>
      <x:c r="G30" s="19"/>
      <x:c r="H30" s="19"/>
      <x:c r="I30" s="19"/>
      <x:c r="J30" s="19"/>
      <x:c r="K30" s="19"/>
      <x:c r="L30" s="19"/>
      <x:c r="M30" s="19"/>
      <x:c r="N30" s="2"/>
      <x:c r="O30" s="2"/>
    </x:row>
    <x:row r="31" ht="20" customHeight="1">
      <x:c r="A31" s="2"/>
      <x:c r="B31" s="2"/>
      <x:c r="C31" s="2"/>
      <x:c r="D31" s="3"/>
      <x:c r="E31" s="3"/>
      <x:c r="F31" s="3"/>
      <x:c r="G31" s="3"/>
      <x:c r="H31" s="3"/>
      <x:c r="I31" s="3"/>
      <x:c r="J31" s="3"/>
      <x:c r="K31" s="3"/>
      <x:c r="L31" s="3"/>
      <x:c r="M31" s="3"/>
      <x:c r="N31" s="2"/>
      <x:c r="O31" s="2"/>
    </x:row>
    <x:row r="32" ht="20" customHeight="1">
      <x:c r="A32" s="2"/>
      <x:c r="B32" s="2"/>
      <x:c r="C32" s="2" t="str">
        <x:v>Net fixed assets including ROU</x:v>
      </x:c>
      <x:c r="D32" s="22" t="n">
        <x:f>'01_Historical+Segments'!D455</x:f>
        <x:v>20505.730000000003</x:v>
      </x:c>
      <x:c r="E32" s="22" t="n">
        <x:f>'01_Historical+Segments'!E455</x:f>
        <x:v>23177.07</x:v>
      </x:c>
      <x:c r="F32" s="22" t="n">
        <x:f>'01_Historical+Segments'!F455</x:f>
        <x:v>29159.659999999996</x:v>
      </x:c>
      <x:c r="G32" s="22" t="n">
        <x:f>'01_Historical+Segments'!G455</x:f>
        <x:v>37192.939999999995</x:v>
      </x:c>
      <x:c r="H32" s="22" t="n">
        <x:f>'01_Historical+Segments'!H455</x:f>
        <x:v>48793.56</x:v>
      </x:c>
      <x:c r="I32" s="14" t="n">
        <x:f>I199</x:f>
        <x:v>57683.25870410702</x:v>
      </x:c>
      <x:c r="J32" s="14" t="n">
        <x:f>J199</x:f>
        <x:v>65314.50957380314</x:v>
      </x:c>
      <x:c r="K32" s="14" t="n">
        <x:f>K199</x:f>
        <x:v>72080.07650632045</x:v>
      </x:c>
      <x:c r="L32" s="14" t="n">
        <x:f>L199</x:f>
        <x:v>78077.79477863906</x:v>
      </x:c>
      <x:c r="M32" s="14" t="n">
        <x:f>M199</x:f>
        <x:v>85162.64873225769</x:v>
      </x:c>
      <x:c r="N32" s="2"/>
      <x:c r="O32" s="2"/>
    </x:row>
    <x:row r="33" ht="20" customHeight="1">
      <x:c r="A33" s="2"/>
      <x:c r="B33" s="2"/>
      <x:c r="C33" s="2" t="str">
        <x:v>Current trade receivables</x:v>
      </x:c>
      <x:c r="D33" s="22" t="n">
        <x:f>'01_Historical+Segments'!D183</x:f>
        <x:v>12963.94</x:v>
      </x:c>
      <x:c r="E33" s="22" t="n">
        <x:f>'01_Historical+Segments'!E183</x:f>
        <x:v>12465.96</x:v>
      </x:c>
      <x:c r="F33" s="22" t="n">
        <x:f>'01_Historical+Segments'!F183</x:f>
        <x:v>20471.17</x:v>
      </x:c>
      <x:c r="G33" s="22" t="n">
        <x:f>'01_Historical+Segments'!G183</x:f>
        <x:v>25962.68</x:v>
      </x:c>
      <x:c r="H33" s="22" t="n">
        <x:f>'01_Historical+Segments'!H183</x:f>
        <x:v>37585.04</x:v>
      </x:c>
      <x:c r="I33" s="14" t="n">
        <x:f>I9*I125/365</x:f>
        <x:v>43897.81835316283</x:v>
      </x:c>
      <x:c r="J33" s="14" t="n">
        <x:f>J9*J125/365</x:f>
        <x:v>51999.537378511115</x:v>
      </x:c>
      <x:c r="K33" s="14" t="n">
        <x:f>K9*K125/365</x:f>
        <x:v>60783.322342920495</x:v>
      </x:c>
      <x:c r="L33" s="14" t="n">
        <x:f>L9*L125/365</x:f>
        <x:v>70193.24074645853</x:v>
      </x:c>
      <x:c r="M33" s="14" t="n">
        <x:f>M9*M125/365</x:f>
        <x:v>79762.63660928018</x:v>
      </x:c>
      <x:c r="N33" s="2"/>
      <x:c r="O33" s="2"/>
    </x:row>
    <x:row r="34" ht="20" customHeight="1">
      <x:c r="A34" s="2"/>
      <x:c r="B34" s="2"/>
      <x:c r="C34" s="2" t="str">
        <x:v>Non-current trade receivables</x:v>
      </x:c>
      <x:c r="D34" s="22" t="n">
        <x:f>'01_Historical+Segments'!D175</x:f>
        <x:v>799.31</x:v>
      </x:c>
      <x:c r="E34" s="22" t="n">
        <x:f>'01_Historical+Segments'!E175</x:f>
        <x:v>526.37</x:v>
      </x:c>
      <x:c r="F34" s="22" t="n">
        <x:f>'01_Historical+Segments'!F175</x:f>
        <x:v>1190.7</x:v>
      </x:c>
      <x:c r="G34" s="22" t="n">
        <x:f>'01_Historical+Segments'!G175</x:f>
        <x:v>2994.38</x:v>
      </x:c>
      <x:c r="H34" s="22" t="n">
        <x:f>'01_Historical+Segments'!H175</x:f>
        <x:v>4477.84</x:v>
      </x:c>
      <x:c r="I34" s="22" t="n">
        <x:f>I106*'02_Drivers+Scenarios'!I109</x:f>
        <x:v>4477.84</x:v>
      </x:c>
      <x:c r="J34" s="22" t="n">
        <x:f>J106*'02_Drivers+Scenarios'!J109</x:f>
        <x:v>4836.0672</x:v>
      </x:c>
      <x:c r="K34" s="22" t="n">
        <x:f>K106*'02_Drivers+Scenarios'!K109</x:f>
        <x:v>5222.952576000001</x:v>
      </x:c>
      <x:c r="L34" s="22" t="n">
        <x:f>L106*'02_Drivers+Scenarios'!L109</x:f>
        <x:v>5536.329730560001</x:v>
      </x:c>
      <x:c r="M34" s="22" t="n">
        <x:f>M106*'02_Drivers+Scenarios'!M109</x:f>
        <x:v>5813.146217088001</x:v>
      </x:c>
      <x:c r="N34" s="2"/>
      <x:c r="O34" s="2"/>
    </x:row>
    <x:row r="35" ht="20" customHeight="1">
      <x:c r="A35" s="2"/>
      <x:c r="B35" s="2"/>
      <x:c r="C35" s="2" t="str">
        <x:v>Inventories</x:v>
      </x:c>
      <x:c r="D35" s="22" t="n">
        <x:f>'01_Historical+Segments'!D181</x:f>
        <x:v>21996.47</x:v>
      </x:c>
      <x:c r="E35" s="22" t="n">
        <x:f>'01_Historical+Segments'!E181</x:f>
        <x:v>29513.84</x:v>
      </x:c>
      <x:c r="F35" s="22" t="n">
        <x:f>'01_Historical+Segments'!F181</x:f>
        <x:v>36751.14</x:v>
      </x:c>
      <x:c r="G35" s="22" t="n">
        <x:f>'01_Historical+Segments'!G181</x:f>
        <x:v>36613</x:v>
      </x:c>
      <x:c r="H35" s="22" t="n">
        <x:f>'01_Historical+Segments'!H181</x:f>
        <x:v>55595.98</x:v>
      </x:c>
      <x:c r="I35" s="14" t="n">
        <x:f>I10*I126/365</x:f>
        <x:v>66844.21549008887</x:v>
      </x:c>
      <x:c r="J35" s="14" t="n">
        <x:f>J10*J126/365</x:f>
        <x:v>79180.88898975302</x:v>
      </x:c>
      <x:c r="K35" s="14" t="n">
        <x:f>K10*K126/365</x:f>
        <x:v>92556.15994868621</x:v>
      </x:c>
      <x:c r="L35" s="14" t="n">
        <x:f>L10*L126/365</x:f>
        <x:v>106884.85866555375</x:v>
      </x:c>
      <x:c r="M35" s="14" t="n">
        <x:f>M10*M126/365</x:f>
        <x:v>121456.39736978477</x:v>
      </x:c>
      <x:c r="N35" s="2"/>
      <x:c r="O35" s="2"/>
    </x:row>
    <x:row r="36" ht="20" customHeight="1">
      <x:c r="A36" s="2"/>
      <x:c r="B36" s="2"/>
      <x:c r="C36" s="2" t="str">
        <x:v>Other operating assets</x:v>
      </x:c>
      <x:c r="D36" s="22" t="n">
        <x:f>'01_Historical+Segments'!D176-'01_Historical+Segments'!D269+'01_Historical+Segments'!D179+'01_Historical+Segments'!D186+'01_Historical+Segments'!D187+'01_Historical+Segments'!D188</x:f>
        <x:v>5443.51</x:v>
      </x:c>
      <x:c r="E36" s="22" t="n">
        <x:f>'01_Historical+Segments'!E176-'01_Historical+Segments'!E269+'01_Historical+Segments'!E179+'01_Historical+Segments'!E186+'01_Historical+Segments'!E187+'01_Historical+Segments'!E188</x:f>
        <x:v>7842.38</x:v>
      </x:c>
      <x:c r="F36" s="22" t="n">
        <x:f>'01_Historical+Segments'!F176-'01_Historical+Segments'!F269+'01_Historical+Segments'!F179+'01_Historical+Segments'!F186+'01_Historical+Segments'!F187+'01_Historical+Segments'!F188</x:f>
        <x:v>10484.310000000001</x:v>
      </x:c>
      <x:c r="G36" s="22" t="n">
        <x:f>'01_Historical+Segments'!G176-'01_Historical+Segments'!G269+'01_Historical+Segments'!G179+'01_Historical+Segments'!G186+'01_Historical+Segments'!G187+'01_Historical+Segments'!G188</x:f>
        <x:v>8558.41</x:v>
      </x:c>
      <x:c r="H36" s="22" t="n">
        <x:f>'01_Historical+Segments'!H176-'01_Historical+Segments'!H269+'01_Historical+Segments'!H179+'01_Historical+Segments'!H186+'01_Historical+Segments'!H187+'01_Historical+Segments'!H188</x:f>
        <x:v>14343.52</x:v>
      </x:c>
      <x:c r="I36" s="22" t="n">
        <x:f>I9*'02_Drivers+Scenarios'!I99</x:f>
        <x:v>15640.370131991816</x:v>
      </x:c>
      <x:c r="J36" s="22" t="n">
        <x:f>J9*'02_Drivers+Scenarios'!J99</x:f>
        <x:v>18526.93463600475</x:v>
      </x:c>
      <x:c r="K36" s="22" t="n">
        <x:f>K9*'02_Drivers+Scenarios'!K99</x:f>
        <x:v>21656.512668742882</x:v>
      </x:c>
      <x:c r="L36" s="22" t="n">
        <x:f>L9*'02_Drivers+Scenarios'!L99</x:f>
        <x:v>25009.176018869766</x:v>
      </x:c>
      <x:c r="M36" s="22" t="n">
        <x:f>M9*'02_Drivers+Scenarios'!M99</x:f>
        <x:v>28418.659652657185</x:v>
      </x:c>
      <x:c r="N36" s="2"/>
      <x:c r="O36" s="2"/>
    </x:row>
    <x:row r="37" ht="20" customHeight="1">
      <x:c r="A37" s="2"/>
      <x:c r="B37" s="2"/>
      <x:c r="C37" s="2" t="str">
        <x:v>Current/deferred tax assets</x:v>
      </x:c>
      <x:c r="D37" s="22" t="n">
        <x:f>'01_Historical+Segments'!D177+'01_Historical+Segments'!D178</x:f>
        <x:v>479.54999999999995</x:v>
      </x:c>
      <x:c r="E37" s="22" t="n">
        <x:f>'01_Historical+Segments'!E177+'01_Historical+Segments'!E178</x:f>
        <x:v>265.33</x:v>
      </x:c>
      <x:c r="F37" s="22" t="n">
        <x:f>'01_Historical+Segments'!F177+'01_Historical+Segments'!F178</x:f>
        <x:v>425.77</x:v>
      </x:c>
      <x:c r="G37" s="22" t="n">
        <x:f>'01_Historical+Segments'!G177+'01_Historical+Segments'!G178</x:f>
        <x:v>774.4300000000001</x:v>
      </x:c>
      <x:c r="H37" s="22" t="n">
        <x:f>'01_Historical+Segments'!H177+'01_Historical+Segments'!H178</x:f>
        <x:v>674.76</x:v>
      </x:c>
      <x:c r="I37" s="14" t="n">
        <x:f>H37</x:f>
        <x:v>674.76</x:v>
      </x:c>
      <x:c r="J37" s="14" t="n">
        <x:f>I37</x:f>
        <x:v>674.76</x:v>
      </x:c>
      <x:c r="K37" s="14" t="n">
        <x:f>J37</x:f>
        <x:v>674.76</x:v>
      </x:c>
      <x:c r="L37" s="14" t="n">
        <x:f>K37</x:f>
        <x:v>674.76</x:v>
      </x:c>
      <x:c r="M37" s="14" t="n">
        <x:f>L37</x:f>
        <x:v>674.76</x:v>
      </x:c>
      <x:c r="N37" s="2"/>
      <x:c r="O37" s="2"/>
    </x:row>
    <x:row r="38" ht="20" customHeight="1">
      <x:c r="A38" s="2"/>
      <x:c r="B38" s="2"/>
      <x:c r="C38" s="2" t="str">
        <x:v>Other non-operating assets</x:v>
      </x:c>
      <x:c r="D38" s="22" t="n">
        <x:f>'01_Historical+Segments'!D269+'01_Historical+Segments'!D174+'01_Historical+Segments'!D190</x:f>
        <x:v>218.86</x:v>
      </x:c>
      <x:c r="E38" s="22" t="n">
        <x:f>'01_Historical+Segments'!E269+'01_Historical+Segments'!E174+'01_Historical+Segments'!E190</x:f>
        <x:v>6.43</x:v>
      </x:c>
      <x:c r="F38" s="22" t="n">
        <x:f>'01_Historical+Segments'!F269+'01_Historical+Segments'!F174+'01_Historical+Segments'!F190</x:f>
        <x:v>58.34</x:v>
      </x:c>
      <x:c r="G38" s="22" t="n">
        <x:f>'01_Historical+Segments'!G269+'01_Historical+Segments'!G174+'01_Historical+Segments'!G190</x:f>
        <x:v>465.04</x:v>
      </x:c>
      <x:c r="H38" s="22" t="n">
        <x:f>'01_Historical+Segments'!H269+'01_Historical+Segments'!H174+'01_Historical+Segments'!H190</x:f>
        <x:v>418.27</x:v>
      </x:c>
      <x:c r="I38" s="14" t="n">
        <x:f>H38</x:f>
        <x:v>418.27</x:v>
      </x:c>
      <x:c r="J38" s="14" t="n">
        <x:f>I38</x:f>
        <x:v>418.27</x:v>
      </x:c>
      <x:c r="K38" s="14" t="n">
        <x:f>J38</x:f>
        <x:v>418.27</x:v>
      </x:c>
      <x:c r="L38" s="14" t="n">
        <x:f>K38</x:f>
        <x:v>418.27</x:v>
      </x:c>
      <x:c r="M38" s="14" t="n">
        <x:f>L38</x:f>
        <x:v>418.27</x:v>
      </x:c>
      <x:c r="N38" s="2"/>
      <x:c r="O38" s="2"/>
    </x:row>
    <x:row r="39" ht="44" customHeight="1">
      <x:c r="A39" s="2"/>
      <x:c r="B39" s="2"/>
      <x:c r="C39" s="2" t="str">
        <x:v>Treasury assets: cash, bank and investments</x:v>
      </x:c>
      <x:c r="D39" s="22" t="n">
        <x:f>'01_Historical+Segments'!D184+'01_Historical+Segments'!D185+'01_Historical+Segments'!D182</x:f>
        <x:v>11711.69</x:v>
      </x:c>
      <x:c r="E39" s="22" t="n">
        <x:f>'01_Historical+Segments'!E184+'01_Historical+Segments'!E185+'01_Historical+Segments'!E182</x:f>
        <x:v>20457.38</x:v>
      </x:c>
      <x:c r="F39" s="22" t="n">
        <x:f>'01_Historical+Segments'!F184+'01_Historical+Segments'!F185+'01_Historical+Segments'!F182</x:f>
        <x:v>22247.75</x:v>
      </x:c>
      <x:c r="G39" s="22" t="n">
        <x:f>'01_Historical+Segments'!G184+'01_Historical+Segments'!G185+'01_Historical+Segments'!G182</x:f>
        <x:v>25196.78</x:v>
      </x:c>
      <x:c r="H39" s="22" t="n">
        <x:f>'01_Historical+Segments'!H184+'01_Historical+Segments'!H185+'01_Historical+Segments'!H182</x:f>
        <x:v>42872.93000000001</x:v>
      </x:c>
      <x:c r="I39" s="14" t="n">
        <x:f>I83</x:f>
        <x:v>24756.165475716476</x:v>
      </x:c>
      <x:c r="J39" s="14" t="n">
        <x:f>J83</x:f>
        <x:v>30661.024912115445</x:v>
      </x:c>
      <x:c r="K39" s="14" t="n">
        <x:f>K83</x:f>
        <x:v>39828.03516045959</x:v>
      </x:c>
      <x:c r="L39" s="14" t="n">
        <x:f>L83</x:f>
        <x:v>52018.18126243949</x:v>
      </x:c>
      <x:c r="M39" s="14" t="n">
        <x:f>M83</x:f>
        <x:v>67709.70126856246</x:v>
      </x:c>
      <x:c r="N39" s="2"/>
      <x:c r="O39" s="16" t="str">
        <x:v>Treasury pool aggregates cash, other bank balances and current investments. Forecast cash flow reconciles this pool; statutory historical cash flows are preserved on Historical.</x:v>
      </x:c>
    </x:row>
    <x:row r="40" ht="20" customHeight="1">
      <x:c r="A40" s="2"/>
      <x:c r="B40" s="2"/>
      <x:c r="C40" s="47" t="str">
        <x:v>Total assets</x:v>
      </x:c>
      <x:c r="D40" s="56" t="n">
        <x:f>SUM(D32:D39)</x:f>
        <x:v>74119.06000000001</x:v>
      </x:c>
      <x:c r="E40" s="56" t="n">
        <x:f>SUM(E32:E39)</x:f>
        <x:v>94254.76000000001</x:v>
      </x:c>
      <x:c r="F40" s="56" t="n">
        <x:f>SUM(F32:F39)</x:f>
        <x:v>120788.83999999998</x:v>
      </x:c>
      <x:c r="G40" s="56" t="n">
        <x:f>SUM(G32:G39)</x:f>
        <x:v>137757.65999999997</x:v>
      </x:c>
      <x:c r="H40" s="56" t="n">
        <x:f>SUM(H32:H39)</x:f>
        <x:v>204761.90000000002</x:v>
      </x:c>
      <x:c r="I40" s="56" t="n">
        <x:f>SUM(I32:I39)</x:f>
        <x:v>214392.698155067</x:v>
      </x:c>
      <x:c r="J40" s="56" t="n">
        <x:f>SUM(J32:J39)</x:f>
        <x:v>251611.99269018747</x:v>
      </x:c>
      <x:c r="K40" s="56" t="n">
        <x:f>SUM(K32:K39)</x:f>
        <x:v>293220.08920312964</x:v>
      </x:c>
      <x:c r="L40" s="56" t="n">
        <x:f>SUM(L32:L39)</x:f>
        <x:v>338812.61120252055</x:v>
      </x:c>
      <x:c r="M40" s="56" t="n">
        <x:f>SUM(M32:M39)</x:f>
        <x:v>389416.2198496303</x:v>
      </x:c>
      <x:c r="N40" s="2"/>
      <x:c r="O40" s="2"/>
    </x:row>
    <x:row r="41" ht="20" customHeight="1">
      <x:c r="A41" s="2"/>
      <x:c r="B41" s="2"/>
      <x:c r="C41" s="2"/>
      <x:c r="D41" s="3"/>
      <x:c r="E41" s="3"/>
      <x:c r="F41" s="3"/>
      <x:c r="G41" s="3"/>
      <x:c r="H41" s="3"/>
      <x:c r="I41" s="3"/>
      <x:c r="J41" s="3"/>
      <x:c r="K41" s="3"/>
      <x:c r="L41" s="3"/>
      <x:c r="M41" s="3"/>
      <x:c r="N41" s="2"/>
      <x:c r="O41" s="2"/>
    </x:row>
    <x:row r="42" ht="20" customHeight="1">
      <x:c r="A42" s="2"/>
      <x:c r="B42" s="2"/>
      <x:c r="C42" s="2"/>
      <x:c r="D42" s="3"/>
      <x:c r="E42" s="3"/>
      <x:c r="F42" s="3"/>
      <x:c r="G42" s="3"/>
      <x:c r="H42" s="3"/>
      <x:c r="I42" s="3"/>
      <x:c r="J42" s="3"/>
      <x:c r="K42" s="3"/>
      <x:c r="L42" s="3"/>
      <x:c r="M42" s="3"/>
      <x:c r="N42" s="2"/>
      <x:c r="O42" s="2"/>
    </x:row>
    <x:row r="43" ht="20" customHeight="1">
      <x:c r="A43" s="2"/>
      <x:c r="B43" s="2"/>
      <x:c r="C43" s="2" t="str">
        <x:v>Equity attributable to shareholders</x:v>
      </x:c>
      <x:c r="D43" s="22" t="n">
        <x:f>'01_Historical+Segments'!D136</x:f>
        <x:v>55437.41</x:v>
      </x:c>
      <x:c r="E43" s="22" t="n">
        <x:f>'01_Historical+Segments'!E136</x:f>
        <x:v>66372.06999999999</x:v>
      </x:c>
      <x:c r="F43" s="22" t="n">
        <x:f>'01_Historical+Segments'!F136</x:f>
        <x:v>81871.34</x:v>
      </x:c>
      <x:c r="G43" s="22" t="n">
        <x:f>'01_Historical+Segments'!G136</x:f>
        <x:v>98280.54999999999</x:v>
      </x:c>
      <x:c r="H43" s="22" t="n">
        <x:f>'01_Historical+Segments'!H136</x:f>
        <x:v>120085.76</x:v>
      </x:c>
      <x:c r="I43" s="14" t="n">
        <x:f>H43+I24+I78+I79</x:f>
        <x:v>142119.50609382932</x:v>
      </x:c>
      <x:c r="J43" s="14" t="n">
        <x:f>I43+J24+J78+J79</x:f>
        <x:v>166496.8798858027</x:v>
      </x:c>
      <x:c r="K43" s="14" t="n">
        <x:f>J43+K24+K78+K79</x:f>
        <x:v>194157.9618202991</x:v>
      </x:c>
      <x:c r="L43" s="14" t="n">
        <x:f>K43+L24+L78+L79</x:f>
        <x:v>224781.3761531402</x:v>
      </x:c>
      <x:c r="M43" s="14" t="n">
        <x:f>L43+M24+M78+M79</x:f>
        <x:v>260080.13885820296</x:v>
      </x:c>
      <x:c r="N43" s="2"/>
      <x:c r="O43" s="2"/>
    </x:row>
    <x:row r="44" ht="20" customHeight="1">
      <x:c r="A44" s="2"/>
      <x:c r="B44" s="2"/>
      <x:c r="C44" s="2" t="str">
        <x:v>Non-controlling interests</x:v>
      </x:c>
      <x:c r="D44" s="22" t="n">
        <x:f>'01_Historical+Segments'!D194</x:f>
        <x:v>250.7</x:v>
      </x:c>
      <x:c r="E44" s="22" t="n">
        <x:f>'01_Historical+Segments'!E194</x:f>
        <x:v>373.77</x:v>
      </x:c>
      <x:c r="F44" s="22" t="n">
        <x:f>'01_Historical+Segments'!F194</x:f>
        <x:v>562.07</x:v>
      </x:c>
      <x:c r="G44" s="22" t="n">
        <x:f>'01_Historical+Segments'!G194</x:f>
        <x:v>817.69</x:v>
      </x:c>
      <x:c r="H44" s="22" t="n">
        <x:f>'01_Historical+Segments'!H194</x:f>
        <x:v>1181.93</x:v>
      </x:c>
      <x:c r="I44" s="14" t="n">
        <x:f>H44+I23</x:f>
        <x:v>1610.6544716657022</x:v>
      </x:c>
      <x:c r="J44" s="14" t="n">
        <x:f>I44+J23</x:f>
        <x:v>2084.980383158711</x:v>
      </x:c>
      <x:c r="K44" s="14" t="n">
        <x:f>J44+K23</x:f>
        <x:v>2623.199471622739</x:v>
      </x:c>
      <x:c r="L44" s="14" t="n">
        <x:f>K44+L23</x:f>
        <x:v>3227.694165325141</x:v>
      </x:c>
      <x:c r="M44" s="14" t="n">
        <x:f>L44+M23</x:f>
        <x:v>3924.478479365118</x:v>
      </x:c>
      <x:c r="N44" s="2"/>
      <x:c r="O44" s="2"/>
    </x:row>
    <x:row r="45" ht="20" customHeight="1">
      <x:c r="A45" s="2"/>
      <x:c r="B45" s="2"/>
      <x:c r="C45" s="2" t="str">
        <x:v>Conventional borrowings</x:v>
      </x:c>
      <x:c r="D45" s="22" t="n">
        <x:f>'01_Historical+Segments'!D133</x:f>
        <x:v>831.35</x:v>
      </x:c>
      <x:c r="E45" s="22" t="n">
        <x:f>'01_Historical+Segments'!E133</x:f>
        <x:v>730.1800000000001</x:v>
      </x:c>
      <x:c r="F45" s="22" t="n">
        <x:f>'01_Historical+Segments'!F133</x:f>
        <x:v>897.74</x:v>
      </x:c>
      <x:c r="G45" s="22" t="n">
        <x:f>'01_Historical+Segments'!G133</x:f>
        <x:v>1090.04</x:v>
      </x:c>
      <x:c r="H45" s="22" t="n">
        <x:f>'01_Historical+Segments'!H133</x:f>
        <x:v>1324.9</x:v>
      </x:c>
      <x:c r="I45" s="22" t="n">
        <x:f>H45+'02_Drivers+Scenarios'!I149</x:f>
        <x:v>1324.9</x:v>
      </x:c>
      <x:c r="J45" s="22" t="n">
        <x:f>I45+'02_Drivers+Scenarios'!J149</x:f>
        <x:v>1324.9</x:v>
      </x:c>
      <x:c r="K45" s="22" t="n">
        <x:f>J45+'02_Drivers+Scenarios'!K149</x:f>
        <x:v>1324.9</x:v>
      </x:c>
      <x:c r="L45" s="22" t="n">
        <x:f>K45+'02_Drivers+Scenarios'!L149</x:f>
        <x:v>1324.9</x:v>
      </x:c>
      <x:c r="M45" s="22" t="n">
        <x:f>L45+'02_Drivers+Scenarios'!M149</x:f>
        <x:v>1324.9</x:v>
      </x:c>
      <x:c r="N45" s="2"/>
      <x:c r="O45" s="2"/>
    </x:row>
    <x:row r="46" ht="20" customHeight="1">
      <x:c r="A46" s="2"/>
      <x:c r="B46" s="2"/>
      <x:c r="C46" s="2" t="str">
        <x:v>Lease liabilities</x:v>
      </x:c>
      <x:c r="D46" s="22" t="n">
        <x:f>'01_Historical+Segments'!D196+'01_Historical+Segments'!D203</x:f>
        <x:v>350.13</x:v>
      </x:c>
      <x:c r="E46" s="22" t="n">
        <x:f>'01_Historical+Segments'!E196+'01_Historical+Segments'!E203</x:f>
        <x:v>363.29</x:v>
      </x:c>
      <x:c r="F46" s="22" t="n">
        <x:f>'01_Historical+Segments'!F196+'01_Historical+Segments'!F203</x:f>
        <x:v>713.19</x:v>
      </x:c>
      <x:c r="G46" s="22" t="n">
        <x:f>'01_Historical+Segments'!G196+'01_Historical+Segments'!G203</x:f>
        <x:v>934.33</x:v>
      </x:c>
      <x:c r="H46" s="22" t="n">
        <x:f>'01_Historical+Segments'!H196+'01_Historical+Segments'!H203</x:f>
        <x:v>1030.27</x:v>
      </x:c>
      <x:c r="I46" s="14" t="n">
        <x:f>H46+I137+I76</x:f>
        <x:v>1030.27</x:v>
      </x:c>
      <x:c r="J46" s="14" t="n">
        <x:f>I46+J137+J76</x:f>
        <x:v>1030.27</x:v>
      </x:c>
      <x:c r="K46" s="14" t="n">
        <x:f>J46+K137+K76</x:f>
        <x:v>1030.27</x:v>
      </x:c>
      <x:c r="L46" s="14" t="n">
        <x:f>K46+L137+L76</x:f>
        <x:v>1030.27</x:v>
      </x:c>
      <x:c r="M46" s="14" t="n">
        <x:f>L46+M137+M76</x:f>
        <x:v>1030.27</x:v>
      </x:c>
      <x:c r="N46" s="2"/>
      <x:c r="O46" s="2"/>
    </x:row>
    <x:row r="47" ht="44" customHeight="1">
      <x:c r="A47" s="2"/>
      <x:c r="B47" s="2"/>
      <x:c r="C47" s="2" t="str">
        <x:v>Supplier acceptances (financing)</x:v>
      </x:c>
      <x:c r="D47" s="22" t="n">
        <x:f>'01_Historical+Segments'!D204</x:f>
        <x:v>6364.55</x:v>
      </x:c>
      <x:c r="E47" s="22" t="n">
        <x:f>'01_Historical+Segments'!E204</x:f>
        <x:v>12257.56</x:v>
      </x:c>
      <x:c r="F47" s="22" t="n">
        <x:f>'01_Historical+Segments'!F204</x:f>
        <x:v>18619.66</x:v>
      </x:c>
      <x:c r="G47" s="22" t="n">
        <x:f>'01_Historical+Segments'!G204</x:f>
        <x:v>13062.37</x:v>
      </x:c>
      <x:c r="H47" s="22" t="n">
        <x:f>'01_Historical+Segments'!H204</x:f>
        <x:v>42656.19</x:v>
      </x:c>
      <x:c r="I47" s="14" t="n">
        <x:f>I10*I129/365</x:f>
        <x:v>31437.354647924225</x:v>
      </x:c>
      <x:c r="J47" s="14" t="n">
        <x:f>J10*J129/365</x:f>
        <x:v>37239.38818427555</x:v>
      </x:c>
      <x:c r="K47" s="14" t="n">
        <x:f>K10*K129/365</x:f>
        <x:v>43529.88218686295</x:v>
      </x:c>
      <x:c r="L47" s="14" t="n">
        <x:f>L10*L129/365</x:f>
        <x:v>50268.78068245846</x:v>
      </x:c>
      <x:c r="M47" s="14" t="n">
        <x:f>M10*M129/365</x:f>
        <x:v>57121.8887136057</x:v>
      </x:c>
      <x:c r="N47" s="2"/>
      <x:c r="O47" s="16" t="str">
        <x:v>Analytical treatment as financing because acceptances fund procurement and incur finance costs. Excluded from operating NWC and deducted in EV-to-equity bridge.</x:v>
      </x:c>
    </x:row>
    <x:row r="48" ht="20" customHeight="1">
      <x:c r="A48" s="2"/>
      <x:c r="B48" s="2"/>
      <x:c r="C48" s="2" t="str">
        <x:v>Trade payables excluding acceptances</x:v>
      </x:c>
      <x:c r="D48" s="22" t="n">
        <x:f>'01_Historical+Segments'!D205+'01_Historical+Segments'!D206</x:f>
        <x:v>5810.75</x:v>
      </x:c>
      <x:c r="E48" s="22" t="n">
        <x:f>'01_Historical+Segments'!E205+'01_Historical+Segments'!E206</x:f>
        <x:v>8068.88</x:v>
      </x:c>
      <x:c r="F48" s="22" t="n">
        <x:f>'01_Historical+Segments'!F205+'01_Historical+Segments'!F206</x:f>
        <x:v>10013.59</x:v>
      </x:c>
      <x:c r="G48" s="22" t="n">
        <x:f>'01_Historical+Segments'!G205+'01_Historical+Segments'!G206</x:f>
        <x:v>14295.19</x:v>
      </x:c>
      <x:c r="H48" s="22" t="n">
        <x:f>'01_Historical+Segments'!H205+'01_Historical+Segments'!H206</x:f>
        <x:v>17988.14</x:v>
      </x:c>
      <x:c r="I48" s="14" t="n">
        <x:f>I10*I127/365</x:f>
        <x:v>21797.02679024637</x:v>
      </x:c>
      <x:c r="J48" s="14" t="n">
        <x:f>J10*J127/365</x:f>
        <x:v>25819.855105354243</x:v>
      </x:c>
      <x:c r="K48" s="14" t="n">
        <x:f>K10*K127/365</x:f>
        <x:v>30181.356505006373</x:v>
      </x:c>
      <x:c r="L48" s="14" t="n">
        <x:f>L10*L127/365</x:f>
        <x:v>34853.758260506664</x:v>
      </x:c>
      <x:c r="M48" s="14" t="n">
        <x:f>M10*M127/365</x:f>
        <x:v>39605.34696840808</x:v>
      </x:c>
      <x:c r="N48" s="2"/>
      <x:c r="O48" s="2"/>
    </x:row>
    <x:row r="49" ht="20" customHeight="1">
      <x:c r="A49" s="2"/>
      <x:c r="B49" s="2"/>
      <x:c r="C49" s="2" t="str">
        <x:v>Other operating liabilities</x:v>
      </x:c>
      <x:c r="D49" s="22" t="n">
        <x:f>'01_Historical+Segments'!D197+'01_Historical+Segments'!D198+'01_Historical+Segments'!D200+'01_Historical+Segments'!D207+'01_Historical+Segments'!D208+'01_Historical+Segments'!D209</x:f>
        <x:v>4642.81</x:v>
      </x:c>
      <x:c r="E49" s="22" t="n">
        <x:f>'01_Historical+Segments'!E197+'01_Historical+Segments'!E198+'01_Historical+Segments'!E200+'01_Historical+Segments'!E207+'01_Historical+Segments'!E208+'01_Historical+Segments'!E209</x:f>
        <x:v>5378.16</x:v>
      </x:c>
      <x:c r="F49" s="22" t="n">
        <x:f>'01_Historical+Segments'!F197+'01_Historical+Segments'!F198+'01_Historical+Segments'!F200+'01_Historical+Segments'!F207+'01_Historical+Segments'!F208+'01_Historical+Segments'!F209</x:f>
        <x:v>7442.099999999999</x:v>
      </x:c>
      <x:c r="G49" s="22" t="n">
        <x:f>'01_Historical+Segments'!G197+'01_Historical+Segments'!G198+'01_Historical+Segments'!G200+'01_Historical+Segments'!G207+'01_Historical+Segments'!G208+'01_Historical+Segments'!G209</x:f>
        <x:v>8096.87</x:v>
      </x:c>
      <x:c r="H49" s="22" t="n">
        <x:f>'01_Historical+Segments'!H197+'01_Historical+Segments'!H198+'01_Historical+Segments'!H200+'01_Historical+Segments'!H207+'01_Historical+Segments'!H208+'01_Historical+Segments'!H209</x:f>
        <x:v>19199.100000000002</x:v>
      </x:c>
      <x:c r="I49" s="22" t="n">
        <x:f>I9*'02_Drivers+Scenarios'!I104</x:f>
        <x:v>13777.376151401375</x:v>
      </x:c>
      <x:c r="J49" s="22" t="n">
        <x:f>J9*'02_Drivers+Scenarios'!J104</x:f>
        <x:v>16320.10913159619</x:v>
      </x:c>
      <x:c r="K49" s="22" t="n">
        <x:f>K9*'02_Drivers+Scenarios'!K104</x:f>
        <x:v>19076.909219338417</x:v>
      </x:c>
      <x:c r="L49" s="22" t="n">
        <x:f>L9*'02_Drivers+Scenarios'!L104</x:f>
        <x:v>22030.221941090043</x:v>
      </x:c>
      <x:c r="M49" s="22" t="n">
        <x:f>M9*'02_Drivers+Scenarios'!M104</x:f>
        <x:v>25033.586830048327</x:v>
      </x:c>
      <x:c r="N49" s="2"/>
      <x:c r="O49" s="2"/>
    </x:row>
    <x:row r="50" ht="20" customHeight="1">
      <x:c r="A50" s="2"/>
      <x:c r="B50" s="2"/>
      <x:c r="C50" s="2" t="str">
        <x:v>Current/deferred tax liabilities</x:v>
      </x:c>
      <x:c r="D50" s="22" t="n">
        <x:f>'01_Historical+Segments'!D199+'01_Historical+Segments'!D210</x:f>
        <x:v>431.36</x:v>
      </x:c>
      <x:c r="E50" s="22" t="n">
        <x:f>'01_Historical+Segments'!E199+'01_Historical+Segments'!E210</x:f>
        <x:v>710.85</x:v>
      </x:c>
      <x:c r="F50" s="22" t="n">
        <x:f>'01_Historical+Segments'!F199+'01_Historical+Segments'!F210</x:f>
        <x:v>669.1500000000001</x:v>
      </x:c>
      <x:c r="G50" s="22" t="n">
        <x:f>'01_Historical+Segments'!G199+'01_Historical+Segments'!G210</x:f>
        <x:v>1180.62</x:v>
      </x:c>
      <x:c r="H50" s="22" t="n">
        <x:f>'01_Historical+Segments'!H199+'01_Historical+Segments'!H210</x:f>
        <x:v>1295.61</x:v>
      </x:c>
      <x:c r="I50" s="14" t="n">
        <x:f>H50</x:f>
        <x:v>1295.61</x:v>
      </x:c>
      <x:c r="J50" s="14" t="n">
        <x:f>I50</x:f>
        <x:v>1295.61</x:v>
      </x:c>
      <x:c r="K50" s="14" t="n">
        <x:f>J50</x:f>
        <x:v>1295.61</x:v>
      </x:c>
      <x:c r="L50" s="14" t="n">
        <x:f>K50</x:f>
        <x:v>1295.61</x:v>
      </x:c>
      <x:c r="M50" s="14" t="n">
        <x:f>L50</x:f>
        <x:v>1295.61</x:v>
      </x:c>
      <x:c r="N50" s="2"/>
      <x:c r="O50" s="2"/>
    </x:row>
    <x:row r="51" ht="20" customHeight="1">
      <x:c r="A51" s="2"/>
      <x:c r="B51" s="2"/>
      <x:c r="C51" s="47" t="str">
        <x:v>Total equity and liabilities</x:v>
      </x:c>
      <x:c r="D51" s="56" t="n">
        <x:f>SUM(D43:D50)</x:f>
        <x:v>74119.06</x:v>
      </x:c>
      <x:c r="E51" s="56" t="n">
        <x:f>SUM(E43:E50)</x:f>
        <x:v>94254.76</x:v>
      </x:c>
      <x:c r="F51" s="56" t="n">
        <x:f>SUM(F43:F50)</x:f>
        <x:v>120788.84000000001</x:v>
      </x:c>
      <x:c r="G51" s="56" t="n">
        <x:f>SUM(G43:G50)</x:f>
        <x:v>137757.65999999997</x:v>
      </x:c>
      <x:c r="H51" s="56" t="n">
        <x:f>SUM(H43:H50)</x:f>
        <x:v>204761.9</x:v>
      </x:c>
      <x:c r="I51" s="56" t="n">
        <x:f>SUM(I43:I50)</x:f>
        <x:v>214392.69815506696</x:v>
      </x:c>
      <x:c r="J51" s="56" t="n">
        <x:f>SUM(J43:J50)</x:f>
        <x:v>251611.99269018736</x:v>
      </x:c>
      <x:c r="K51" s="56" t="n">
        <x:f>SUM(K43:K50)</x:f>
        <x:v>293220.0892031296</x:v>
      </x:c>
      <x:c r="L51" s="56" t="n">
        <x:f>SUM(L43:L50)</x:f>
        <x:v>338812.61120252055</x:v>
      </x:c>
      <x:c r="M51" s="56" t="n">
        <x:f>SUM(M43:M50)</x:f>
        <x:v>389416.21984963026</x:v>
      </x:c>
      <x:c r="N51" s="2"/>
      <x:c r="O51" s="2"/>
    </x:row>
    <x:row r="52" ht="20" customHeight="1">
      <x:c r="A52" s="2"/>
      <x:c r="B52" s="2"/>
      <x:c r="C52" s="2" t="str">
        <x:v>Balance-sheet difference</x:v>
      </x:c>
      <x:c r="D52" s="67" t="n">
        <x:f>D40-D51</x:f>
        <x:v>1.4551915228366852e-11</x:v>
      </x:c>
      <x:c r="E52" s="67" t="n">
        <x:f>E40-E51</x:f>
        <x:v>1.4551915228366852e-11</x:v>
      </x:c>
      <x:c r="F52" s="67" t="n">
        <x:f>F40-F51</x:f>
        <x:v>-2.9103830456733704e-11</x:v>
      </x:c>
      <x:c r="G52" s="67" t="n">
        <x:f>G40-G51</x:f>
        <x:v>0</x:v>
      </x:c>
      <x:c r="H52" s="67" t="n">
        <x:f>H40-H51</x:f>
        <x:v>2.9103830456733704e-11</x:v>
      </x:c>
      <x:c r="I52" s="67" t="n">
        <x:f>I40-I51</x:f>
        <x:v>2.9103830456733704e-11</x:v>
      </x:c>
      <x:c r="J52" s="67" t="n">
        <x:f>J40-J51</x:f>
        <x:v>1.1641532182693481e-10</x:v>
      </x:c>
      <x:c r="K52" s="67" t="n">
        <x:f>K40-K51</x:f>
        <x:v>5.820766091346741e-11</x:v>
      </x:c>
      <x:c r="L52" s="67" t="n">
        <x:f>L40-L51</x:f>
        <x:v>0</x:v>
      </x:c>
      <x:c r="M52" s="67" t="n">
        <x:f>M40-M51</x:f>
        <x:v>5.820766091346741e-11</x:v>
      </x:c>
      <x:c r="N52" s="2"/>
      <x:c r="O52" s="2"/>
    </x:row>
    <x:row r="53" ht="20" customHeight="1">
      <x:c r="A53" s="2"/>
      <x:c r="B53" s="2"/>
      <x:c r="C53" s="2"/>
      <x:c r="D53" s="3"/>
      <x:c r="E53" s="3"/>
      <x:c r="F53" s="3"/>
      <x:c r="G53" s="3"/>
      <x:c r="H53" s="3"/>
      <x:c r="I53" s="3"/>
      <x:c r="J53" s="3"/>
      <x:c r="K53" s="3"/>
      <x:c r="L53" s="3"/>
      <x:c r="M53" s="3"/>
      <x:c r="N53" s="2"/>
      <x:c r="O53" s="2"/>
    </x:row>
    <x:row r="54" ht="20" customHeight="1">
      <x:c r="A54" s="2"/>
      <x:c r="B54" s="2"/>
      <x:c r="C54" s="2"/>
      <x:c r="D54" s="3"/>
      <x:c r="E54" s="3"/>
      <x:c r="F54" s="3"/>
      <x:c r="G54" s="3"/>
      <x:c r="H54" s="3"/>
      <x:c r="I54" s="3"/>
      <x:c r="J54" s="3"/>
      <x:c r="K54" s="3"/>
      <x:c r="L54" s="3"/>
      <x:c r="M54" s="3"/>
      <x:c r="N54" s="2"/>
      <x:c r="O54" s="2"/>
    </x:row>
    <x:row r="55" ht="20" customHeight="1">
      <x:c r="A55" s="2"/>
      <x:c r="B55" s="2"/>
      <x:c r="C55" s="2"/>
      <x:c r="D55" s="3"/>
      <x:c r="E55" s="3"/>
      <x:c r="F55" s="3"/>
      <x:c r="G55" s="3"/>
      <x:c r="H55" s="3"/>
      <x:c r="I55" s="3"/>
      <x:c r="J55" s="3"/>
      <x:c r="K55" s="3"/>
      <x:c r="L55" s="3"/>
      <x:c r="M55" s="3"/>
      <x:c r="N55" s="2"/>
      <x:c r="O55" s="2"/>
    </x:row>
    <x:row r="56" ht="24" customHeight="1">
      <x:c r="A56" s="2"/>
      <x:c r="B56" s="2"/>
      <x:c r="C56" s="11" t="str">
        <x:v>Cash flow on an analytical treasury basis</x:v>
      </x:c>
      <x:c r="D56" s="19"/>
      <x:c r="E56" s="19"/>
      <x:c r="F56" s="19"/>
      <x:c r="G56" s="19"/>
      <x:c r="H56" s="19"/>
      <x:c r="I56" s="19"/>
      <x:c r="J56" s="19"/>
      <x:c r="K56" s="19"/>
      <x:c r="L56" s="19"/>
      <x:c r="M56" s="19"/>
      <x:c r="N56" s="2"/>
      <x:c r="O56" s="2"/>
    </x:row>
    <x:row r="57" ht="20" customHeight="1">
      <x:c r="A57" s="2"/>
      <x:c r="B57" s="2"/>
      <x:c r="C57" s="2"/>
      <x:c r="D57" s="3"/>
      <x:c r="E57" s="3"/>
      <x:c r="F57" s="3"/>
      <x:c r="G57" s="3"/>
      <x:c r="H57" s="3"/>
      <x:c r="I57" s="3"/>
      <x:c r="J57" s="3"/>
      <x:c r="K57" s="3"/>
      <x:c r="L57" s="3"/>
      <x:c r="M57" s="3"/>
      <x:c r="N57" s="2"/>
      <x:c r="O57" s="2"/>
    </x:row>
    <x:row r="58" ht="20" customHeight="1">
      <x:c r="A58" s="2"/>
      <x:c r="B58" s="2"/>
      <x:c r="C58" s="2" t="str">
        <x:v>Opening treasury assets</x:v>
      </x:c>
      <x:c r="D58" s="3" t="str">
        <x:v>n.a.</x:v>
      </x:c>
      <x:c r="E58" s="14" t="n">
        <x:f>D39</x:f>
        <x:v>11711.69</x:v>
      </x:c>
      <x:c r="F58" s="14" t="n">
        <x:f>E39</x:f>
        <x:v>20457.38</x:v>
      </x:c>
      <x:c r="G58" s="14" t="n">
        <x:f>F39</x:f>
        <x:v>22247.75</x:v>
      </x:c>
      <x:c r="H58" s="14" t="n">
        <x:f>G39</x:f>
        <x:v>25196.78</x:v>
      </x:c>
      <x:c r="I58" s="14" t="n">
        <x:f>H39</x:f>
        <x:v>42872.93000000001</x:v>
      </x:c>
      <x:c r="J58" s="14" t="n">
        <x:f>I39</x:f>
        <x:v>24756.165475716476</x:v>
      </x:c>
      <x:c r="K58" s="14" t="n">
        <x:f>J39</x:f>
        <x:v>30661.024912115445</x:v>
      </x:c>
      <x:c r="L58" s="14" t="n">
        <x:f>K39</x:f>
        <x:v>39828.03516045959</x:v>
      </x:c>
      <x:c r="M58" s="14" t="n">
        <x:f>L39</x:f>
        <x:v>52018.18126243949</x:v>
      </x:c>
      <x:c r="N58" s="2"/>
      <x:c r="O58" s="2"/>
    </x:row>
    <x:row r="59" ht="20" customHeight="1">
      <x:c r="A59" s="2"/>
      <x:c r="B59" s="2"/>
      <x:c r="C59" s="2" t="str">
        <x:v>Profit before tax</x:v>
      </x:c>
      <x:c r="D59" s="14" t="n">
        <x:f>D20</x:f>
        <x:v>11158.57999999999</x:v>
      </x:c>
      <x:c r="E59" s="14" t="n">
        <x:f>E20</x:f>
        <x:v>17072.560000000005</x:v>
      </x:c>
      <x:c r="F59" s="14" t="n">
        <x:f>F20</x:f>
        <x:v>23592.999999999993</x:v>
      </x:c>
      <x:c r="G59" s="14" t="n">
        <x:f>G20</x:f>
        <x:v>27008.45000000002</x:v>
      </x:c>
      <x:c r="H59" s="14" t="n">
        <x:f>H20</x:f>
        <x:v>36130.74999999995</x:v>
      </x:c>
      <x:c r="I59" s="14" t="n">
        <x:f>I20</x:f>
        <x:v>42562.336386864765</x:v>
      </x:c>
      <x:c r="J59" s="14" t="n">
        <x:f>J20</x:f>
        <x:v>47089.49531976708</x:v>
      </x:c>
      <x:c r="K59" s="14" t="n">
        <x:f>K20</x:f>
        <x:v>53432.59694048934</x:v>
      </x:c>
      <x:c r="L59" s="14" t="n">
        <x:f>L20</x:f>
        <x:v>60012.21809773055</x:v>
      </x:c>
      <x:c r="M59" s="14" t="n">
        <x:f>M20</x:f>
        <x:v>69174.42395587153</x:v>
      </x:c>
      <x:c r="N59" s="2"/>
      <x:c r="O59" s="2"/>
    </x:row>
    <x:row r="60" ht="20" customHeight="1">
      <x:c r="A60" s="2"/>
      <x:c r="B60" s="2"/>
      <x:c r="C60" s="2" t="str">
        <x:v>Add: D&amp;A</x:v>
      </x:c>
      <x:c r="D60" s="14" t="n">
        <x:f>D14</x:f>
        <x:v>2015.19</x:v>
      </x:c>
      <x:c r="E60" s="14" t="n">
        <x:f>E14</x:f>
        <x:v>2091.64</x:v>
      </x:c>
      <x:c r="F60" s="14" t="n">
        <x:f>F14</x:f>
        <x:v>2450.4</x:v>
      </x:c>
      <x:c r="G60" s="14" t="n">
        <x:f>G14</x:f>
        <x:v>2981.03</x:v>
      </x:c>
      <x:c r="H60" s="14" t="n">
        <x:f>H14</x:f>
        <x:v>3858.69</x:v>
      </x:c>
      <x:c r="I60" s="14" t="n">
        <x:f>I14</x:f>
        <x:v>5358.721295892978</x:v>
      </x:c>
      <x:c r="J60" s="14" t="n">
        <x:f>J14</x:f>
        <x:v>6617.169130303889</x:v>
      </x:c>
      <x:c r="K60" s="14" t="n">
        <x:f>K14</x:f>
        <x:v>7482.853067482698</x:v>
      </x:c>
      <x:c r="L60" s="14" t="n">
        <x:f>L14</x:f>
        <x:v>8250.70172768138</x:v>
      </x:c>
      <x:c r="M60" s="14" t="n">
        <x:f>M14</x:f>
        <x:v>8983.566046381382</x:v>
      </x:c>
      <x:c r="N60" s="2"/>
      <x:c r="O60" s="2"/>
    </x:row>
    <x:row r="61" ht="20" customHeight="1">
      <x:c r="A61" s="2"/>
      <x:c r="B61" s="2"/>
      <x:c r="C61" s="2" t="str">
        <x:v>Add: finance costs</x:v>
      </x:c>
      <x:c r="D61" s="14" t="n">
        <x:f>D19</x:f>
        <x:v>351.9</x:v>
      </x:c>
      <x:c r="E61" s="14" t="n">
        <x:f>E19</x:f>
        <x:v>597.57</x:v>
      </x:c>
      <x:c r="F61" s="14" t="n">
        <x:f>F19</x:f>
        <x:v>1083.4</x:v>
      </x:c>
      <x:c r="G61" s="14" t="n">
        <x:f>G19</x:f>
        <x:v>1689.28</x:v>
      </x:c>
      <x:c r="H61" s="14" t="n">
        <x:f>H19</x:f>
        <x:v>2430.36</x:v>
      </x:c>
      <x:c r="I61" s="14" t="n">
        <x:f>I19</x:f>
        <x:v>3186.8197013371323</x:v>
      </x:c>
      <x:c r="J61" s="14" t="n">
        <x:f>J19</x:f>
        <x:v>2967.764881619636</x:v>
      </x:c>
      <x:c r="K61" s="14" t="n">
        <x:f>K19</x:f>
        <x:v>3456.785253803367</x:v>
      </x:c>
      <x:c r="L61" s="14" t="n">
        <x:f>L19</x:f>
        <x:v>3983.692333259853</x:v>
      </x:c>
      <x:c r="M61" s="14" t="n">
        <x:f>M19</x:f>
        <x:v>4533.351456964837</x:v>
      </x:c>
      <x:c r="N61" s="2"/>
      <x:c r="O61" s="2"/>
    </x:row>
    <x:row r="62" ht="20" customHeight="1">
      <x:c r="A62" s="2"/>
      <x:c r="B62" s="2"/>
      <x:c r="C62" s="2" t="str">
        <x:v>Less: finance income</x:v>
      </x:c>
      <x:c r="D62" s="14" t="n">
        <x:f>-D16</x:f>
        <x:v>-496.92</x:v>
      </x:c>
      <x:c r="E62" s="14" t="n">
        <x:f>-E16</x:f>
        <x:v>-946.21</x:v>
      </x:c>
      <x:c r="F62" s="14" t="n">
        <x:f>-F16</x:f>
        <x:v>-1211.06</x:v>
      </x:c>
      <x:c r="G62" s="14" t="n">
        <x:f>-G16</x:f>
        <x:v>-1550.65</x:v>
      </x:c>
      <x:c r="H62" s="14" t="n">
        <x:f>-H16</x:f>
        <x:v>-2053.39</x:v>
      </x:c>
      <x:c r="I62" s="14" t="n">
        <x:f>-I16</x:f>
        <x:v>-3493.8927010792654</x:v>
      </x:c>
      <x:c r="J62" s="14" t="n">
        <x:f>-J16</x:f>
        <x:v>-2017.482496818302</x:v>
      </x:c>
      <x:c r="K62" s="14" t="n">
        <x:f>-K16</x:f>
        <x:v>-2498.693957890204</x:v>
      </x:c>
      <x:c r="L62" s="14" t="n">
        <x:f>-L16</x:f>
        <x:v>-3245.751604694573</x:v>
      </x:c>
      <x:c r="M62" s="14" t="n">
        <x:f>-M16</x:f>
        <x:v>-4239.177117968273</x:v>
      </x:c>
      <x:c r="N62" s="2"/>
      <x:c r="O62" s="2"/>
    </x:row>
    <x:row r="63" ht="20" customHeight="1">
      <x:c r="A63" s="2"/>
      <x:c r="B63" s="2"/>
      <x:c r="C63" s="2" t="str">
        <x:v>Operating cash impact before acceptances</x:v>
      </x:c>
      <x:c r="D63" s="3" t="str">
        <x:v>n.a.</x:v>
      </x:c>
      <x:c r="E63" s="14" t="n">
        <x:f>-E131</x:f>
        <x:v>-6151.839999999993</x:v>
      </x:c>
      <x:c r="F63" s="14" t="n">
        <x:f>-F131</x:f>
        <x:v>-14540.120000000003</x:v>
      </x:c>
      <x:c r="G63" s="14" t="n">
        <x:f>-G131</x:f>
        <x:v>-294.77999999999884</x:v>
      </x:c>
      <x:c r="H63" s="14" t="n">
        <x:f>-H131</x:f>
        <x:v>-23078.730000000018</x:v>
      </x:c>
      <x:c r="I63" s="14" t="n">
        <x:f>-I131</x:f>
        <x:v>-20470.70103359576</x:v>
      </x:c>
      <x:c r="J63" s="14" t="n">
        <x:f>-J131</x:f>
        <x:v>-17117.62293372264</x:v>
      </x:c>
      <x:c r="K63" s="14" t="n">
        <x:f>-K131</x:f>
        <x:v>-18557.217844686384</x:v>
      </x:c>
      <x:c r="L63" s="14" t="n">
        <x:f>-L131</x:f>
        <x:v>-19778.94314784053</x:v>
      </x:c>
      <x:c r="M63" s="14" t="n">
        <x:f>-M131</x:f>
        <x:v>-20072.28109050842</x:v>
      </x:c>
      <x:c r="N63" s="2"/>
      <x:c r="O63" s="2"/>
    </x:row>
    <x:row r="64" ht="20" customHeight="1">
      <x:c r="A64" s="2"/>
      <x:c r="B64" s="2"/>
      <x:c r="C64" s="2" t="str">
        <x:v>Less: cash taxes</x:v>
      </x:c>
      <x:c r="D64" s="22" t="n">
        <x:f>'01_Historical+Segments'!D224</x:f>
        <x:v>-3339.56</x:v>
      </x:c>
      <x:c r="E64" s="22" t="n">
        <x:f>'01_Historical+Segments'!E224</x:f>
        <x:v>-3704.28</x:v>
      </x:c>
      <x:c r="F64" s="22" t="n">
        <x:f>'01_Historical+Segments'!F224</x:f>
        <x:v>-5743.17</x:v>
      </x:c>
      <x:c r="G64" s="22" t="n">
        <x:f>'01_Historical+Segments'!G224</x:f>
        <x:v>-6331.48</x:v>
      </x:c>
      <x:c r="H64" s="22" t="n">
        <x:f>'01_Historical+Segments'!H224</x:f>
        <x:v>-8829.63</x:v>
      </x:c>
      <x:c r="I64" s="14" t="n">
        <x:f>-I21</x:f>
        <x:v>-10656.831781157167</x:v>
      </x:c>
      <x:c r="J64" s="14" t="n">
        <x:f>-J21</x:f>
        <x:v>-11790.34970545495</x:v>
      </x:c>
      <x:c r="K64" s="14" t="n">
        <x:f>-K21</x:f>
        <x:v>-13378.54651703045</x:v>
      </x:c>
      <x:c r="L64" s="14" t="n">
        <x:f>-L21</x:f>
        <x:v>-15025.963501359849</x:v>
      </x:c>
      <x:c r="M64" s="14" t="n">
        <x:f>-M21</x:f>
        <x:v>-17320.01253304492</x:v>
      </x:c>
      <x:c r="N64" s="2"/>
      <x:c r="O64" s="2"/>
    </x:row>
    <x:row r="65" ht="20" customHeight="1">
      <x:c r="A65" s="2"/>
      <x:c r="B65" s="2"/>
      <x:c r="C65" s="2" t="str">
        <x:v>Other operating non-cash adjustments</x:v>
      </x:c>
      <x:c r="D65" s="3" t="str">
        <x:v>n.a.</x:v>
      </x:c>
      <x:c r="E65" s="14" t="n">
        <x:f>E66-SUM(E59:E64)</x:f>
        <x:v>-577.2400000000125</x:v>
      </x:c>
      <x:c r="F65" s="14" t="n">
        <x:f>F66-SUM(F59:F64)</x:f>
        <x:v>967.8500000000076</x:v>
      </x:c>
      <x:c r="G65" s="14" t="n">
        <x:f>G66-SUM(G59:G64)</x:f>
        <x:v>140.77999999998428</x:v>
      </x:c>
      <x:c r="H65" s="14" t="n">
        <x:f>H66-SUM(H59:H64)</x:f>
        <x:v>54.80000000006294</x:v>
      </x:c>
      <x:c r="I65" s="17" t="n">
        <x:v>0</x:v>
      </x:c>
      <x:c r="J65" s="17" t="n">
        <x:v>0</x:v>
      </x:c>
      <x:c r="K65" s="17" t="n">
        <x:v>0</x:v>
      </x:c>
      <x:c r="L65" s="17" t="n">
        <x:v>0</x:v>
      </x:c>
      <x:c r="M65" s="17" t="n">
        <x:v>0</x:v>
      </x:c>
      <x:c r="N65" s="2"/>
      <x:c r="O65" s="2"/>
    </x:row>
    <x:row r="66" ht="32" customHeight="1">
      <x:c r="A66" s="2"/>
      <x:c r="B66" s="2"/>
      <x:c r="C66" s="47" t="str">
        <x:v>Analytical operating cash flow</x:v>
      </x:c>
      <x:c r="D66" s="54" t="str">
        <x:v>n.a.</x:v>
      </x:c>
      <x:c r="E66" s="63" t="n">
        <x:f>'01_Historical+Segments'!E225-'01_Historical+Segments'!E218</x:f>
        <x:v>8382.199999999999</x:v>
      </x:c>
      <x:c r="F66" s="63" t="n">
        <x:f>'01_Historical+Segments'!F225-'01_Historical+Segments'!F218</x:f>
        <x:v>6600.299999999999</x:v>
      </x:c>
      <x:c r="G66" s="63" t="n">
        <x:f>'01_Historical+Segments'!G225-'01_Historical+Segments'!G218</x:f>
        <x:v>23642.63</x:v>
      </x:c>
      <x:c r="H66" s="63" t="n">
        <x:f>'01_Historical+Segments'!H225-'01_Historical+Segments'!H218</x:f>
        <x:v>8512.849999999999</x:v>
      </x:c>
      <x:c r="I66" s="56" t="n">
        <x:f>SUM(I59:I65)</x:f>
        <x:v>16486.45186826268</x:v>
      </x:c>
      <x:c r="J66" s="56" t="n">
        <x:f>SUM(J59:J65)</x:f>
        <x:v>25748.97419569471</x:v>
      </x:c>
      <x:c r="K66" s="56" t="n">
        <x:f>SUM(K59:K65)</x:f>
        <x:v>29937.77694216837</x:v>
      </x:c>
      <x:c r="L66" s="56" t="n">
        <x:f>SUM(L59:L65)</x:f>
        <x:v>34195.953904776834</x:v>
      </x:c>
      <x:c r="M66" s="56" t="n">
        <x:f>SUM(M59:M65)</x:f>
        <x:v>41059.87071769615</x:v>
      </x:c>
      <x:c r="N66" s="2"/>
      <x:c r="O66" s="16" t="str">
        <x:v>Analytical CFO reclassifies acceptance funding to financing. Forecast cash taxes equal accrual taxes; tax balances held flat.</x:v>
      </x:c>
    </x:row>
    <x:row r="67" ht="20" customHeight="1">
      <x:c r="A67" s="2"/>
      <x:c r="B67" s="2"/>
      <x:c r="C67" s="2"/>
      <x:c r="D67" s="3"/>
      <x:c r="E67" s="3"/>
      <x:c r="F67" s="3"/>
      <x:c r="G67" s="3"/>
      <x:c r="H67" s="3"/>
      <x:c r="I67" s="3"/>
      <x:c r="J67" s="3"/>
      <x:c r="K67" s="3"/>
      <x:c r="L67" s="3"/>
      <x:c r="M67" s="3"/>
      <x:c r="N67" s="2"/>
      <x:c r="O67" s="2"/>
    </x:row>
    <x:row r="68" ht="20" customHeight="1">
      <x:c r="A68" s="2"/>
      <x:c r="B68" s="2"/>
      <x:c r="C68" s="2" t="str">
        <x:v>Gross cash capex</x:v>
      </x:c>
      <x:c r="D68" s="22" t="n">
        <x:f>-'01_Historical+Segments'!D128</x:f>
        <x:v>-5266.929999999999</x:v>
      </x:c>
      <x:c r="E68" s="22" t="n">
        <x:f>-'01_Historical+Segments'!E128</x:f>
        <x:v>-4794.53</x:v>
      </x:c>
      <x:c r="F68" s="22" t="n">
        <x:f>-'01_Historical+Segments'!F128</x:f>
        <x:v>-8585.189999999999</x:v>
      </x:c>
      <x:c r="G68" s="22" t="n">
        <x:f>-'01_Historical+Segments'!G128</x:f>
        <x:v>-9724.44</x:v>
      </x:c>
      <x:c r="H68" s="22" t="n">
        <x:f>-'01_Historical+Segments'!H128</x:f>
        <x:v>-14898.080000000002</x:v>
      </x:c>
      <x:c r="I68" s="14" t="n">
        <x:f>-I136</x:f>
        <x:v>-14000</x:v>
      </x:c>
      <x:c r="J68" s="14" t="n">
        <x:f>-J136</x:f>
        <x:v>-14000</x:v>
      </x:c>
      <x:c r="K68" s="14" t="n">
        <x:f>-K136</x:f>
        <x:v>-14000</x:v>
      </x:c>
      <x:c r="L68" s="14" t="n">
        <x:f>-L136</x:f>
        <x:v>-14000</x:v>
      </x:c>
      <x:c r="M68" s="14" t="n">
        <x:f>-M136</x:f>
        <x:v>-15819.999999999998</x:v>
      </x:c>
      <x:c r="N68" s="2"/>
      <x:c r="O68" s="2"/>
    </x:row>
    <x:row r="69" ht="20" customHeight="1">
      <x:c r="A69" s="2"/>
      <x:c r="B69" s="2"/>
      <x:c r="C69" s="2" t="str">
        <x:v>Disposal proceeds</x:v>
      </x:c>
      <x:c r="D69" s="22" t="n">
        <x:f>'01_Historical+Segments'!D229</x:f>
        <x:v>66.9</x:v>
      </x:c>
      <x:c r="E69" s="22" t="n">
        <x:f>'01_Historical+Segments'!E229</x:f>
        <x:v>210.35</x:v>
      </x:c>
      <x:c r="F69" s="22" t="n">
        <x:f>'01_Historical+Segments'!F229</x:f>
        <x:v>5.47</x:v>
      </x:c>
      <x:c r="G69" s="22" t="n">
        <x:f>'01_Historical+Segments'!G229</x:f>
        <x:v>141.07</x:v>
      </x:c>
      <x:c r="H69" s="22" t="n">
        <x:f>'01_Historical+Segments'!H229</x:f>
        <x:v>98.74</x:v>
      </x:c>
      <x:c r="I69" s="22" t="n">
        <x:f>'02_Drivers+Scenarios'!I154</x:f>
        <x:v>0</x:v>
      </x:c>
      <x:c r="J69" s="22" t="n">
        <x:f>'02_Drivers+Scenarios'!J154</x:f>
        <x:v>0</x:v>
      </x:c>
      <x:c r="K69" s="22" t="n">
        <x:f>'02_Drivers+Scenarios'!K154</x:f>
        <x:v>0</x:v>
      </x:c>
      <x:c r="L69" s="22" t="n">
        <x:f>'02_Drivers+Scenarios'!L154</x:f>
        <x:v>0</x:v>
      </x:c>
      <x:c r="M69" s="22" t="n">
        <x:f>'02_Drivers+Scenarios'!M154</x:f>
        <x:v>0</x:v>
      </x:c>
      <x:c r="N69" s="2"/>
      <x:c r="O69" s="2"/>
    </x:row>
    <x:row r="70" ht="20" customHeight="1">
      <x:c r="A70" s="2"/>
      <x:c r="B70" s="2"/>
      <x:c r="C70" s="2" t="str">
        <x:v>Finance income received</x:v>
      </x:c>
      <x:c r="D70" s="22" t="n">
        <x:f>'01_Historical+Segments'!D259</x:f>
        <x:v>496.92</x:v>
      </x:c>
      <x:c r="E70" s="22" t="n">
        <x:f>'01_Historical+Segments'!E259</x:f>
        <x:v>946.21</x:v>
      </x:c>
      <x:c r="F70" s="22" t="n">
        <x:f>'01_Historical+Segments'!F259</x:f>
        <x:v>1211.06</x:v>
      </x:c>
      <x:c r="G70" s="22" t="n">
        <x:f>'01_Historical+Segments'!G259</x:f>
        <x:v>1550.65</x:v>
      </x:c>
      <x:c r="H70" s="22" t="n">
        <x:f>'01_Historical+Segments'!H259</x:f>
        <x:v>2053.39</x:v>
      </x:c>
      <x:c r="I70" s="14" t="n">
        <x:f>I16</x:f>
        <x:v>3493.8927010792654</x:v>
      </x:c>
      <x:c r="J70" s="14" t="n">
        <x:f>J16</x:f>
        <x:v>2017.482496818302</x:v>
      </x:c>
      <x:c r="K70" s="14" t="n">
        <x:f>K16</x:f>
        <x:v>2498.693957890204</x:v>
      </x:c>
      <x:c r="L70" s="14" t="n">
        <x:f>L16</x:f>
        <x:v>3245.751604694573</x:v>
      </x:c>
      <x:c r="M70" s="14" t="n">
        <x:f>M16</x:f>
        <x:v>4239.177117968273</x:v>
      </x:c>
      <x:c r="N70" s="2"/>
      <x:c r="O70" s="2"/>
    </x:row>
    <x:row r="71" ht="32" customHeight="1">
      <x:c r="A71" s="2"/>
      <x:c r="B71" s="2"/>
      <x:c r="C71" s="2" t="str">
        <x:v>Other investing / treasury adjustments</x:v>
      </x:c>
      <x:c r="D71" s="3" t="str">
        <x:v>n.a.</x:v>
      </x:c>
      <x:c r="E71" s="14" t="n">
        <x:f>E72-SUM(E68:E70)</x:f>
        <x:v>812.0100000000016</x:v>
      </x:c>
      <x:c r="F71" s="14" t="n">
        <x:f>F72-SUM(F68:F70)</x:f>
        <x:v>97.46000000000004</x:v>
      </x:c>
      <x:c r="G71" s="14" t="n">
        <x:f>G72-SUM(G68:G70)</x:f>
        <x:v>-514.9500000000025</x:v>
      </x:c>
      <x:c r="H71" s="14" t="n">
        <x:f>H72-SUM(H68:H70)</x:f>
        <x:v>195.46000000000822</x:v>
      </x:c>
      <x:c r="I71" s="17" t="n">
        <x:v>0</x:v>
      </x:c>
      <x:c r="J71" s="17" t="n">
        <x:v>0</x:v>
      </x:c>
      <x:c r="K71" s="17" t="n">
        <x:v>0</x:v>
      </x:c>
      <x:c r="L71" s="17" t="n">
        <x:v>0</x:v>
      </x:c>
      <x:c r="M71" s="17" t="n">
        <x:v>0</x:v>
      </x:c>
      <x:c r="N71" s="2"/>
      <x:c r="O71" s="16" t="str">
        <x:v>Historical residual identifies non-cash treasury valuation/classification effects. Forecast assumes no unannounced transactions or fair-value gains.</x:v>
      </x:c>
    </x:row>
    <x:row r="72" ht="20" customHeight="1">
      <x:c r="A72" s="2"/>
      <x:c r="B72" s="2"/>
      <x:c r="C72" s="47" t="str">
        <x:v>Analytical investing cash flow</x:v>
      </x:c>
      <x:c r="D72" s="54" t="str">
        <x:v>n.a.</x:v>
      </x:c>
      <x:c r="E72" s="56" t="n">
        <x:f>E82-E66-E80</x:f>
        <x:v>-2825.9599999999978</x:v>
      </x:c>
      <x:c r="F72" s="56" t="n">
        <x:f>F82-F66-F80</x:f>
        <x:v>-7271.2</x:v>
      </x:c>
      <x:c r="G72" s="56" t="n">
        <x:f>G82-G66-G80</x:f>
        <x:v>-8547.670000000004</x:v>
      </x:c>
      <x:c r="H72" s="56" t="n">
        <x:f>H82-H66-H80</x:f>
        <x:v>-12550.489999999994</x:v>
      </x:c>
      <x:c r="I72" s="56" t="n">
        <x:f>SUM(I68:I71)</x:f>
        <x:v>-10506.107298920735</x:v>
      </x:c>
      <x:c r="J72" s="56" t="n">
        <x:f>SUM(J68:J71)</x:f>
        <x:v>-11982.517503181698</x:v>
      </x:c>
      <x:c r="K72" s="56" t="n">
        <x:f>SUM(K68:K71)</x:f>
        <x:v>-11501.306042109796</x:v>
      </x:c>
      <x:c r="L72" s="56" t="n">
        <x:f>SUM(L68:L71)</x:f>
        <x:v>-10754.248395305427</x:v>
      </x:c>
      <x:c r="M72" s="56" t="n">
        <x:f>SUM(M68:M71)</x:f>
        <x:v>-11580.822882031725</x:v>
      </x:c>
      <x:c r="N72" s="2"/>
      <x:c r="O72" s="2"/>
    </x:row>
    <x:row r="73" ht="20" customHeight="1">
      <x:c r="A73" s="2"/>
      <x:c r="B73" s="2"/>
      <x:c r="C73" s="2"/>
      <x:c r="D73" s="3"/>
      <x:c r="E73" s="3"/>
      <x:c r="F73" s="3"/>
      <x:c r="G73" s="3"/>
      <x:c r="H73" s="3"/>
      <x:c r="I73" s="3"/>
      <x:c r="J73" s="3"/>
      <x:c r="K73" s="3"/>
      <x:c r="L73" s="3"/>
      <x:c r="M73" s="3"/>
      <x:c r="N73" s="2"/>
      <x:c r="O73" s="2"/>
    </x:row>
    <x:row r="74" ht="20" customHeight="1">
      <x:c r="A74" s="2"/>
      <x:c r="B74" s="2"/>
      <x:c r="C74" s="2" t="str">
        <x:v>Net conventional debt issued</x:v>
      </x:c>
      <x:c r="D74" s="3" t="str">
        <x:v>n.a.</x:v>
      </x:c>
      <x:c r="E74" s="14" t="n">
        <x:f>E45-D45</x:f>
        <x:v>-101.16999999999996</x:v>
      </x:c>
      <x:c r="F74" s="14" t="n">
        <x:f>F45-E45</x:f>
        <x:v>167.55999999999995</x:v>
      </x:c>
      <x:c r="G74" s="14" t="n">
        <x:f>G45-F45</x:f>
        <x:v>192.29999999999995</x:v>
      </x:c>
      <x:c r="H74" s="14" t="n">
        <x:f>H45-G45</x:f>
        <x:v>234.86000000000013</x:v>
      </x:c>
      <x:c r="I74" s="22" t="n">
        <x:f>'02_Drivers+Scenarios'!I149</x:f>
        <x:v>0</x:v>
      </x:c>
      <x:c r="J74" s="22" t="n">
        <x:f>'02_Drivers+Scenarios'!J149</x:f>
        <x:v>0</x:v>
      </x:c>
      <x:c r="K74" s="22" t="n">
        <x:f>'02_Drivers+Scenarios'!K149</x:f>
        <x:v>0</x:v>
      </x:c>
      <x:c r="L74" s="22" t="n">
        <x:f>'02_Drivers+Scenarios'!L149</x:f>
        <x:v>0</x:v>
      </x:c>
      <x:c r="M74" s="22" t="n">
        <x:f>'02_Drivers+Scenarios'!M149</x:f>
        <x:v>0</x:v>
      </x:c>
      <x:c r="N74" s="2"/>
      <x:c r="O74" s="2"/>
    </x:row>
    <x:row r="75" ht="20" customHeight="1">
      <x:c r="A75" s="2"/>
      <x:c r="B75" s="2"/>
      <x:c r="C75" s="2" t="str">
        <x:v>Increase / (repayment) in acceptances</x:v>
      </x:c>
      <x:c r="D75" s="3" t="str">
        <x:v>n.a.</x:v>
      </x:c>
      <x:c r="E75" s="14" t="n">
        <x:f>E47-D47</x:f>
        <x:v>5893.009999999999</x:v>
      </x:c>
      <x:c r="F75" s="14" t="n">
        <x:f>F47-E47</x:f>
        <x:v>6362.1</x:v>
      </x:c>
      <x:c r="G75" s="14" t="n">
        <x:f>G47-F47</x:f>
        <x:v>-5557.289999999999</x:v>
      </x:c>
      <x:c r="H75" s="14" t="n">
        <x:f>H47-G47</x:f>
        <x:v>29593.82</x:v>
      </x:c>
      <x:c r="I75" s="14" t="n">
        <x:f>I47-H47</x:f>
        <x:v>-11218.835352075777</x:v>
      </x:c>
      <x:c r="J75" s="14" t="n">
        <x:f>J47-I47</x:f>
        <x:v>5802.033536351326</x:v>
      </x:c>
      <x:c r="K75" s="14" t="n">
        <x:f>K47-J47</x:f>
        <x:v>6290.494002587402</x:v>
      </x:c>
      <x:c r="L75" s="14" t="n">
        <x:f>L47-K47</x:f>
        <x:v>6738.898495595509</x:v>
      </x:c>
      <x:c r="M75" s="14" t="n">
        <x:f>M47-L47</x:f>
        <x:v>6853.10803114724</x:v>
      </x:c>
      <x:c r="N75" s="2"/>
      <x:c r="O75" s="2"/>
    </x:row>
    <x:row r="76" ht="20" customHeight="1">
      <x:c r="A76" s="2"/>
      <x:c r="B76" s="2"/>
      <x:c r="C76" s="2" t="str">
        <x:v>Lease principal paid</x:v>
      </x:c>
      <x:c r="D76" s="22" t="n">
        <x:f>'01_Historical+Segments'!D242</x:f>
        <x:v>-137.66</x:v>
      </x:c>
      <x:c r="E76" s="22" t="n">
        <x:f>'01_Historical+Segments'!E242</x:f>
        <x:v>-126.84</x:v>
      </x:c>
      <x:c r="F76" s="22" t="n">
        <x:f>'01_Historical+Segments'!F242</x:f>
        <x:v>-206.04</x:v>
      </x:c>
      <x:c r="G76" s="22" t="n">
        <x:f>'01_Historical+Segments'!G242</x:f>
        <x:v>-588.78</x:v>
      </x:c>
      <x:c r="H76" s="22" t="n">
        <x:f>'01_Historical+Segments'!H242</x:f>
        <x:v>-248.42</x:v>
      </x:c>
      <x:c r="I76" s="22" t="n">
        <x:f>-'02_Drivers+Scenarios'!I139</x:f>
        <x:v>-248.42</x:v>
      </x:c>
      <x:c r="J76" s="22" t="n">
        <x:f>-'02_Drivers+Scenarios'!J139</x:f>
        <x:v>-248.42</x:v>
      </x:c>
      <x:c r="K76" s="22" t="n">
        <x:f>-'02_Drivers+Scenarios'!K139</x:f>
        <x:v>-248.42</x:v>
      </x:c>
      <x:c r="L76" s="22" t="n">
        <x:f>-'02_Drivers+Scenarios'!L139</x:f>
        <x:v>-248.42</x:v>
      </x:c>
      <x:c r="M76" s="22" t="n">
        <x:f>-'02_Drivers+Scenarios'!M139</x:f>
        <x:v>-248.42</x:v>
      </x:c>
      <x:c r="N76" s="2"/>
      <x:c r="O76" s="2"/>
    </x:row>
    <x:row r="77" ht="20" customHeight="1">
      <x:c r="A77" s="2"/>
      <x:c r="B77" s="2"/>
      <x:c r="C77" s="2" t="str">
        <x:v>Finance costs paid</x:v>
      </x:c>
      <x:c r="D77" s="22" t="n">
        <x:f>'01_Historical+Segments'!D247+'01_Historical+Segments'!D243</x:f>
        <x:v>-342.34999999999997</x:v>
      </x:c>
      <x:c r="E77" s="22" t="n">
        <x:f>'01_Historical+Segments'!E247+'01_Historical+Segments'!E243</x:f>
        <x:v>-508.71000000000004</x:v>
      </x:c>
      <x:c r="F77" s="22" t="n">
        <x:f>'01_Historical+Segments'!F247+'01_Historical+Segments'!F243</x:f>
        <x:v>-1059</x:v>
      </x:c>
      <x:c r="G77" s="22" t="n">
        <x:f>'01_Historical+Segments'!G247+'01_Historical+Segments'!G243</x:f>
        <x:v>-1754.02</x:v>
      </x:c>
      <x:c r="H77" s="22" t="n">
        <x:f>'01_Historical+Segments'!H247+'01_Historical+Segments'!H243</x:f>
        <x:v>-2446.32</x:v>
      </x:c>
      <x:c r="I77" s="14" t="n">
        <x:f>-I19</x:f>
        <x:v>-3186.8197013371323</x:v>
      </x:c>
      <x:c r="J77" s="14" t="n">
        <x:f>-J19</x:f>
        <x:v>-2967.764881619636</x:v>
      </x:c>
      <x:c r="K77" s="14" t="n">
        <x:f>-K19</x:f>
        <x:v>-3456.785253803367</x:v>
      </x:c>
      <x:c r="L77" s="14" t="n">
        <x:f>-L19</x:f>
        <x:v>-3983.692333259853</x:v>
      </x:c>
      <x:c r="M77" s="14" t="n">
        <x:f>-M19</x:f>
        <x:v>-4533.351456964837</x:v>
      </x:c>
      <x:c r="N77" s="2"/>
      <x:c r="O77" s="2"/>
    </x:row>
    <x:row r="78" ht="20" customHeight="1">
      <x:c r="A78" s="2"/>
      <x:c r="B78" s="2"/>
      <x:c r="C78" s="2" t="str">
        <x:v>Dividends paid</x:v>
      </x:c>
      <x:c r="D78" s="22" t="n">
        <x:f>'01_Historical+Segments'!D248</x:f>
        <x:v>-1491.6</x:v>
      </x:c>
      <x:c r="E78" s="22" t="n">
        <x:f>'01_Historical+Segments'!E248</x:f>
        <x:v>-2094.49</x:v>
      </x:c>
      <x:c r="F78" s="22" t="n">
        <x:f>'01_Historical+Segments'!F248</x:f>
        <x:v>-2997.3</x:v>
      </x:c>
      <x:c r="G78" s="22" t="n">
        <x:f>'01_Historical+Segments'!G248</x:f>
        <x:v>-4510.84</x:v>
      </x:c>
      <x:c r="H78" s="22" t="n">
        <x:f>'01_Historical+Segments'!H248</x:f>
        <x:v>-5472.71</x:v>
      </x:c>
      <x:c r="I78" s="22" t="n">
        <x:f>-I24*'02_Drivers+Scenarios'!I134</x:f>
        <x:v>-9443.034040212568</x:v>
      </x:c>
      <x:c r="J78" s="22" t="n">
        <x:f>-J24*'02_Drivers+Scenarios'!J134</x:f>
        <x:v>-10447.445910845734</x:v>
      </x:c>
      <x:c r="K78" s="22" t="n">
        <x:f>-K24*'02_Drivers+Scenarios'!K134</x:f>
        <x:v>-11854.749400498456</x:v>
      </x:c>
      <x:c r="L78" s="22" t="n">
        <x:f>-L24*'02_Drivers+Scenarios'!L134</x:f>
        <x:v>-13758.345569827172</x:v>
      </x:c>
      <x:c r="M78" s="22" t="n">
        <x:f>-M24*'02_Drivers+Scenarios'!M134</x:f>
        <x:v>-15858.864403723856</x:v>
      </x:c>
      <x:c r="N78" s="2"/>
      <x:c r="O78" s="2"/>
    </x:row>
    <x:row r="79" ht="20" customHeight="1">
      <x:c r="A79" s="2"/>
      <x:c r="B79" s="2"/>
      <x:c r="C79" s="2" t="str">
        <x:v>Cash share issues</x:v>
      </x:c>
      <x:c r="D79" s="22" t="n">
        <x:f>'01_Historical+Segments'!D241</x:f>
        <x:v>132.88</x:v>
      </x:c>
      <x:c r="E79" s="22" t="n">
        <x:f>'01_Historical+Segments'!E241</x:f>
        <x:v>127.65</x:v>
      </x:c>
      <x:c r="F79" s="22" t="n">
        <x:f>'01_Historical+Segments'!F241</x:f>
        <x:v>193.95</x:v>
      </x:c>
      <x:c r="G79" s="22" t="n">
        <x:f>'01_Historical+Segments'!G241</x:f>
        <x:v>72.7</x:v>
      </x:c>
      <x:c r="H79" s="22" t="n">
        <x:f>'01_Historical+Segments'!H241</x:f>
        <x:v>52.56</x:v>
      </x:c>
      <x:c r="I79" s="17" t="n">
        <x:v>0</x:v>
      </x:c>
      <x:c r="J79" s="17" t="n">
        <x:v>0</x:v>
      </x:c>
      <x:c r="K79" s="17" t="n">
        <x:v>0</x:v>
      </x:c>
      <x:c r="L79" s="17" t="n">
        <x:v>0</x:v>
      </x:c>
      <x:c r="M79" s="17" t="n">
        <x:v>0</x:v>
      </x:c>
      <x:c r="N79" s="2"/>
      <x:c r="O79" s="2"/>
    </x:row>
    <x:row r="80" ht="20" customHeight="1">
      <x:c r="A80" s="2"/>
      <x:c r="B80" s="2"/>
      <x:c r="C80" s="47" t="str">
        <x:v>Analytical financing cash flow</x:v>
      </x:c>
      <x:c r="D80" s="54" t="str">
        <x:v>n.a.</x:v>
      </x:c>
      <x:c r="E80" s="56" t="n">
        <x:f>SUM(E74:E79)</x:f>
        <x:v>3189.4499999999994</x:v>
      </x:c>
      <x:c r="F80" s="56" t="n">
        <x:f>SUM(F74:F79)</x:f>
        <x:v>2461.2699999999995</x:v>
      </x:c>
      <x:c r="G80" s="56" t="n">
        <x:f>SUM(G74:G79)</x:f>
        <x:v>-12145.929999999998</x:v>
      </x:c>
      <x:c r="H80" s="56" t="n">
        <x:f>SUM(H74:H79)</x:f>
        <x:v>21713.790000000005</x:v>
      </x:c>
      <x:c r="I80" s="56" t="n">
        <x:f>SUM(I74:I79)</x:f>
        <x:v>-24097.109093625477</x:v>
      </x:c>
      <x:c r="J80" s="56" t="n">
        <x:f>SUM(J74:J79)</x:f>
        <x:v>-7861.597256114044</x:v>
      </x:c>
      <x:c r="K80" s="56" t="n">
        <x:f>SUM(K74:K79)</x:f>
        <x:v>-9269.460651714422</x:v>
      </x:c>
      <x:c r="L80" s="56" t="n">
        <x:f>SUM(L74:L79)</x:f>
        <x:v>-11251.559407491515</x:v>
      </x:c>
      <x:c r="M80" s="56" t="n">
        <x:f>SUM(M74:M79)</x:f>
        <x:v>-13787.527829541454</x:v>
      </x:c>
      <x:c r="N80" s="2"/>
      <x:c r="O80" s="2"/>
    </x:row>
    <x:row r="81" ht="20" customHeight="1">
      <x:c r="A81" s="2"/>
      <x:c r="B81" s="2"/>
      <x:c r="C81" s="2"/>
      <x:c r="D81" s="3"/>
      <x:c r="E81" s="3"/>
      <x:c r="F81" s="3"/>
      <x:c r="G81" s="3"/>
      <x:c r="H81" s="3"/>
      <x:c r="I81" s="3"/>
      <x:c r="J81" s="3"/>
      <x:c r="K81" s="3"/>
      <x:c r="L81" s="3"/>
      <x:c r="M81" s="3"/>
      <x:c r="N81" s="2"/>
      <x:c r="O81" s="2"/>
    </x:row>
    <x:row r="82" ht="20" customHeight="1">
      <x:c r="A82" s="2"/>
      <x:c r="B82" s="2"/>
      <x:c r="C82" s="2" t="str">
        <x:v>Change in treasury assets</x:v>
      </x:c>
      <x:c r="D82" s="3" t="str">
        <x:v>n.a.</x:v>
      </x:c>
      <x:c r="E82" s="14" t="n">
        <x:f>E39-D39</x:f>
        <x:v>8745.69</x:v>
      </x:c>
      <x:c r="F82" s="14" t="n">
        <x:f>F39-E39</x:f>
        <x:v>1790.369999999999</x:v>
      </x:c>
      <x:c r="G82" s="14" t="n">
        <x:f>G39-F39</x:f>
        <x:v>2949.029999999999</x:v>
      </x:c>
      <x:c r="H82" s="14" t="n">
        <x:f>H39-G39</x:f>
        <x:v>17676.15000000001</x:v>
      </x:c>
      <x:c r="I82" s="14" t="n">
        <x:f>I66+I72+I80</x:f>
        <x:v>-18116.76452428353</x:v>
      </x:c>
      <x:c r="J82" s="14" t="n">
        <x:f>J66+J72+J80</x:f>
        <x:v>5904.859436398969</x:v>
      </x:c>
      <x:c r="K82" s="14" t="n">
        <x:f>K66+K72+K80</x:f>
        <x:v>9167.01024834415</x:v>
      </x:c>
      <x:c r="L82" s="14" t="n">
        <x:f>L66+L72+L80</x:f>
        <x:v>12190.146101979894</x:v>
      </x:c>
      <x:c r="M82" s="14" t="n">
        <x:f>M66+M72+M80</x:f>
        <x:v>15691.52000612297</x:v>
      </x:c>
      <x:c r="N82" s="2"/>
      <x:c r="O82" s="2"/>
    </x:row>
    <x:row r="83" ht="20" customHeight="1">
      <x:c r="A83" s="2"/>
      <x:c r="B83" s="2"/>
      <x:c r="C83" s="47" t="str">
        <x:v>Closing treasury assets</x:v>
      </x:c>
      <x:c r="D83" s="54" t="str">
        <x:v>n.a.</x:v>
      </x:c>
      <x:c r="E83" s="56" t="n">
        <x:f>E58+E82</x:f>
        <x:v>20457.38</x:v>
      </x:c>
      <x:c r="F83" s="56" t="n">
        <x:f>F58+F82</x:f>
        <x:v>22247.75</x:v>
      </x:c>
      <x:c r="G83" s="56" t="n">
        <x:f>G58+G82</x:f>
        <x:v>25196.78</x:v>
      </x:c>
      <x:c r="H83" s="56" t="n">
        <x:f>H58+H82</x:f>
        <x:v>42872.93000000001</x:v>
      </x:c>
      <x:c r="I83" s="56" t="n">
        <x:f>I58+I82</x:f>
        <x:v>24756.165475716476</x:v>
      </x:c>
      <x:c r="J83" s="56" t="n">
        <x:f>J58+J82</x:f>
        <x:v>30661.024912115445</x:v>
      </x:c>
      <x:c r="K83" s="56" t="n">
        <x:f>K58+K82</x:f>
        <x:v>39828.03516045959</x:v>
      </x:c>
      <x:c r="L83" s="56" t="n">
        <x:f>L58+L82</x:f>
        <x:v>52018.18126243949</x:v>
      </x:c>
      <x:c r="M83" s="56" t="n">
        <x:f>M58+M82</x:f>
        <x:v>67709.70126856246</x:v>
      </x:c>
      <x:c r="N83" s="2"/>
      <x:c r="O83" s="2"/>
    </x:row>
    <x:row r="84" ht="20" customHeight="1">
      <x:c r="A84" s="2"/>
      <x:c r="B84" s="2"/>
      <x:c r="C84" s="2" t="str">
        <x:v>Cash-flow / treasury balance difference</x:v>
      </x:c>
      <x:c r="D84" s="67" t="str">
        <x:v>n.a.</x:v>
      </x:c>
      <x:c r="E84" s="67" t="n">
        <x:f>E83-E39</x:f>
        <x:v>0</x:v>
      </x:c>
      <x:c r="F84" s="67" t="n">
        <x:f>F83-F39</x:f>
        <x:v>0</x:v>
      </x:c>
      <x:c r="G84" s="67" t="n">
        <x:f>G83-G39</x:f>
        <x:v>0</x:v>
      </x:c>
      <x:c r="H84" s="67" t="n">
        <x:f>H83-H39</x:f>
        <x:v>0</x:v>
      </x:c>
      <x:c r="I84" s="67" t="n">
        <x:f>I83-I39</x:f>
        <x:v>0</x:v>
      </x:c>
      <x:c r="J84" s="67" t="n">
        <x:f>J83-J39</x:f>
        <x:v>0</x:v>
      </x:c>
      <x:c r="K84" s="67" t="n">
        <x:f>K83-K39</x:f>
        <x:v>0</x:v>
      </x:c>
      <x:c r="L84" s="67" t="n">
        <x:f>L83-L39</x:f>
        <x:v>0</x:v>
      </x:c>
      <x:c r="M84" s="67" t="n">
        <x:f>M83-M39</x:f>
        <x:v>0</x:v>
      </x:c>
      <x:c r="N84" s="2"/>
      <x:c r="O84" s="2"/>
    </x:row>
    <x:row r="85" ht="20" customHeight="1">
      <x:c r="A85" s="2"/>
      <x:c r="B85" s="2"/>
      <x:c r="C85" s="2" t="str">
        <x:v>Treasury funding shortfall</x:v>
      </x:c>
      <x:c r="D85" s="14" t="n">
        <x:f>MAX(0,-D39)</x:f>
        <x:v>0</x:v>
      </x:c>
      <x:c r="E85" s="14" t="n">
        <x:f>MAX(0,-E39)</x:f>
        <x:v>0</x:v>
      </x:c>
      <x:c r="F85" s="14" t="n">
        <x:f>MAX(0,-F39)</x:f>
        <x:v>0</x:v>
      </x:c>
      <x:c r="G85" s="14" t="n">
        <x:f>MAX(0,-G39)</x:f>
        <x:v>0</x:v>
      </x:c>
      <x:c r="H85" s="14" t="n">
        <x:f>MAX(0,-H39)</x:f>
        <x:v>0</x:v>
      </x:c>
      <x:c r="I85" s="14" t="n">
        <x:f>MAX(0,-I39)</x:f>
        <x:v>0</x:v>
      </x:c>
      <x:c r="J85" s="14" t="n">
        <x:f>MAX(0,-J39)</x:f>
        <x:v>0</x:v>
      </x:c>
      <x:c r="K85" s="14" t="n">
        <x:f>MAX(0,-K39)</x:f>
        <x:v>0</x:v>
      </x:c>
      <x:c r="L85" s="14" t="n">
        <x:f>MAX(0,-L39)</x:f>
        <x:v>0</x:v>
      </x:c>
      <x:c r="M85" s="14" t="n">
        <x:f>MAX(0,-M39)</x:f>
        <x:v>0</x:v>
      </x:c>
      <x:c r="N85" s="2"/>
      <x:c r="O85" s="2"/>
    </x:row>
    <x:row r="86" ht="20" customHeight="1">
      <x:c r="A86" s="2"/>
      <x:c r="B86" s="2"/>
      <x:c r="C86" s="2"/>
      <x:c r="D86" s="3"/>
      <x:c r="E86" s="3"/>
      <x:c r="F86" s="3"/>
      <x:c r="G86" s="3"/>
      <x:c r="H86" s="3"/>
      <x:c r="I86" s="3"/>
      <x:c r="J86" s="3"/>
      <x:c r="K86" s="3"/>
      <x:c r="L86" s="3"/>
      <x:c r="M86" s="3"/>
      <x:c r="N86" s="2"/>
      <x:c r="O86" s="2"/>
    </x:row>
    <x:row r="87" ht="20" customHeight="1">
      <x:c r="A87" s="2"/>
      <x:c r="B87" s="2"/>
      <x:c r="C87" s="2"/>
      <x:c r="D87" s="3"/>
      <x:c r="E87" s="3"/>
      <x:c r="F87" s="3"/>
      <x:c r="G87" s="3"/>
      <x:c r="H87" s="3"/>
      <x:c r="I87" s="3"/>
      <x:c r="J87" s="3"/>
      <x:c r="K87" s="3"/>
      <x:c r="L87" s="3"/>
      <x:c r="M87" s="3"/>
      <x:c r="N87" s="2"/>
      <x:c r="O87" s="2"/>
    </x:row>
    <x:row r="88" ht="20" customHeight="1">
      <x:c r="A88" s="2"/>
      <x:c r="B88" s="2"/>
      <x:c r="C88" s="2"/>
      <x:c r="D88" s="3"/>
      <x:c r="E88" s="3"/>
      <x:c r="F88" s="3"/>
      <x:c r="G88" s="3"/>
      <x:c r="H88" s="3"/>
      <x:c r="I88" s="3"/>
      <x:c r="J88" s="3"/>
      <x:c r="K88" s="3"/>
      <x:c r="L88" s="3"/>
      <x:c r="M88" s="3"/>
      <x:c r="N88" s="2"/>
      <x:c r="O88" s="2"/>
    </x:row>
    <x:row r="89" ht="20" customHeight="1">
      <x:c r="A89" s="2"/>
      <x:c r="B89" s="2"/>
      <x:c r="C89" s="2" t="str">
        <x:v>Net cash capex</x:v>
      </x:c>
      <x:c r="D89" s="22" t="n">
        <x:f>'01_Historical+Segments'!D129</x:f>
        <x:v>5200.03</x:v>
      </x:c>
      <x:c r="E89" s="22" t="n">
        <x:f>'01_Historical+Segments'!E129</x:f>
        <x:v>4584.179999999999</x:v>
      </x:c>
      <x:c r="F89" s="22" t="n">
        <x:f>'01_Historical+Segments'!F129</x:f>
        <x:v>8579.72</x:v>
      </x:c>
      <x:c r="G89" s="22" t="n">
        <x:f>'01_Historical+Segments'!G129</x:f>
        <x:v>9583.37</x:v>
      </x:c>
      <x:c r="H89" s="22" t="n">
        <x:f>'01_Historical+Segments'!H129</x:f>
        <x:v>14799.340000000002</x:v>
      </x:c>
      <x:c r="I89" s="22" t="n">
        <x:f>'02_Drivers+Scenarios'!I49</x:f>
        <x:v>14000</x:v>
      </x:c>
      <x:c r="J89" s="22" t="n">
        <x:f>'02_Drivers+Scenarios'!J49</x:f>
        <x:v>14000</x:v>
      </x:c>
      <x:c r="K89" s="22" t="n">
        <x:f>'02_Drivers+Scenarios'!K49</x:f>
        <x:v>14000</x:v>
      </x:c>
      <x:c r="L89" s="22" t="n">
        <x:f>'02_Drivers+Scenarios'!L49</x:f>
        <x:v>14000</x:v>
      </x:c>
      <x:c r="M89" s="22" t="n">
        <x:f>'02_Drivers+Scenarios'!M49</x:f>
        <x:v>15819.999999999998</x:v>
      </x:c>
      <x:c r="N89" s="2"/>
      <x:c r="O89" s="2"/>
    </x:row>
    <x:row r="90" ht="20" customHeight="1">
      <x:c r="A90" s="2"/>
      <x:c r="B90" s="2"/>
      <x:c r="C90" s="24" t="str">
        <x:v>Capital intensity</x:v>
      </x:c>
      <x:c r="D90" s="66" t="n">
        <x:f>D89/D9</x:f>
        <x:v>0.04261006094760459</x:v>
      </x:c>
      <x:c r="E90" s="66" t="n">
        <x:f>E89/E9</x:f>
        <x:v>0.0324939901946288</x:v>
      </x:c>
      <x:c r="F90" s="66" t="n">
        <x:f>F89/F9</x:f>
        <x:v>0.04756088934891785</x:v>
      </x:c>
      <x:c r="G90" s="66" t="n">
        <x:f>G89/G9</x:f>
        <x:v>0.04276703025345996</x:v>
      </x:c>
      <x:c r="H90" s="66" t="n">
        <x:f>H89/H9</x:f>
        <x:v>0.051237524491244094</x:v>
      </x:c>
      <x:c r="I90" s="66" t="n">
        <x:f>I89/I9</x:f>
        <x:v>0.03931920678549881</x:v>
      </x:c>
      <x:c r="J90" s="66" t="n">
        <x:f>J89/J9</x:f>
        <x:v>0.0331931298676045</x:v>
      </x:c>
      <x:c r="K90" s="66" t="n">
        <x:f>K89/K9</x:f>
        <x:v>0.02839639774085673</x:v>
      </x:c>
      <x:c r="L90" s="66" t="n">
        <x:f>L89/L9</x:f>
        <x:v>0.024589652492250227</x:v>
      </x:c>
      <x:c r="M90" s="66" t="n">
        <x:f>M89/M9</x:f>
        <x:v>0.024452689151416344</x:v>
      </x:c>
      <x:c r="N90" s="2"/>
      <x:c r="O90" s="2"/>
    </x:row>
    <x:row r="91" ht="20" customHeight="1">
      <x:c r="A91" s="2"/>
      <x:c r="B91" s="2"/>
      <x:c r="C91" s="24" t="str">
        <x:v>Parent payout ratio</x:v>
      </x:c>
      <x:c r="D91" s="66" t="n">
        <x:f>-D78/D24</x:f>
        <x:v>0.16416880462525463</x:v>
      </x:c>
      <x:c r="E91" s="66" t="n">
        <x:f>-E78/E24</x:f>
        <x:v>0.16481885577632058</x:v>
      </x:c>
      <x:c r="F91" s="66" t="n">
        <x:f>-F78/F24</x:f>
        <x:v>0.16800585187032838</x:v>
      </x:c>
      <x:c r="G91" s="66" t="n">
        <x:f>-G78/G24</x:f>
        <x:v>0.22331001638621972</x:v>
      </x:c>
      <x:c r="H91" s="66" t="n">
        <x:f>-H78/H24</x:f>
        <x:v>0.20481446149804286</x:v>
      </x:c>
      <x:c r="I91" s="66" t="n">
        <x:f>-I78/I24</x:f>
        <x:v>0.3</x:v>
      </x:c>
      <x:c r="J91" s="66" t="n">
        <x:f>-J78/J24</x:f>
        <x:v>0.3</x:v>
      </x:c>
      <x:c r="K91" s="66" t="n">
        <x:f>-K78/K24</x:f>
        <x:v>0.3</x:v>
      </x:c>
      <x:c r="L91" s="66" t="n">
        <x:f>-L78/L24</x:f>
        <x:v>0.31</x:v>
      </x:c>
      <x:c r="M91" s="66" t="n">
        <x:f>-M78/M24</x:f>
        <x:v>0.31</x:v>
      </x:c>
      <x:c r="N91" s="2"/>
      <x:c r="O91" s="2"/>
    </x:row>
    <x:row r="92" ht="32" customHeight="1">
      <x:c r="A92" s="2"/>
      <x:c r="B92" s="2"/>
      <x:c r="C92" s="24" t="str">
        <x:v>Return on opening operating capital</x:v>
      </x:c>
      <x:c r="D92" s="25" t="str">
        <x:v>n.a.</x:v>
      </x:c>
      <x:c r="E92" s="66" t="n">
        <x:f>E15*(1-E21/E20)/D132</x:f>
        <x:v>0.24090279469648493</x:v>
      </x:c>
      <x:c r="F92" s="66" t="n">
        <x:f>F15*(1-F21/F20)/E132</x:f>
        <x:v>0.28577916085401833</x:v>
      </x:c>
      <x:c r="G92" s="66" t="n">
        <x:f>G15*(1-G21/G20)/F132</x:f>
        <x:v>0.2501474542632392</x:v>
      </x:c>
      <x:c r="H92" s="66" t="n">
        <x:f>H15*(1-H21/H20)/G132</x:f>
        <x:v>0.3051312542243583</x:v>
      </x:c>
      <x:c r="I92" s="66" t="n">
        <x:f>I15*(1-I21/I20)/H132</x:f>
        <x:v>0.2539437470570443</x:v>
      </x:c>
      <x:c r="J92" s="66" t="n">
        <x:f>J15*(1-J21/J20)/I132</x:f>
        <x:v>0.23320469920805176</x:v>
      </x:c>
      <x:c r="K92" s="66" t="n">
        <x:f>K15*(1-K21/K20)/J132</x:f>
        <x:v>0.2271954321989765</x:v>
      </x:c>
      <x:c r="L92" s="66" t="n">
        <x:f>L15*(1-L21/L20)/K132</x:f>
        <x:v>0.2220374538240606</x:v>
      </x:c>
      <x:c r="M92" s="66" t="n">
        <x:f>M15*(1-M21/M20)/L132</x:f>
        <x:v>0.2253145001630282</x:v>
      </x:c>
      <x:c r="N92" s="2"/>
      <x:c r="O92" s="16" t="str">
        <x:v>NOPAT / opening operating capital. Excludes surplus treasury and supplier financing. Different from company-reported ROCE.</x:v>
      </x:c>
    </x:row>
    <x:row r="93" ht="20" customHeight="1">
      <x:c r="A93" s="2"/>
      <x:c r="B93" s="2"/>
      <x:c r="C93" s="24" t="str">
        <x:v>Analytical CFO / PAT</x:v>
      </x:c>
      <x:c r="D93" s="25" t="str">
        <x:v>n.a.</x:v>
      </x:c>
      <x:c r="E93" s="66" t="n">
        <x:f>E66/E22</x:f>
        <x:v>0.6532843472690059</x:v>
      </x:c>
      <x:c r="F93" s="66" t="n">
        <x:f>F66/F22</x:f>
        <x:v>0.3660900640462097</x:v>
      </x:c>
      <x:c r="G93" s="66" t="n">
        <x:f>G66/G22</x:f>
        <x:v>1.1558153189113656</x:v>
      </x:c>
      <x:c r="H93" s="66" t="n">
        <x:f>H66/H22</x:f>
        <x:v>0.3143097451029699</x:v>
      </x:c>
      <x:c r="I93" s="66" t="n">
        <x:f>I66/I22</x:f>
        <x:v>0.5167275074318495</x:v>
      </x:c>
      <x:c r="J93" s="66" t="n">
        <x:f>J66/J22</x:f>
        <x:v>0.7294503520576636</x:v>
      </x:c>
      <x:c r="K93" s="66" t="n">
        <x:f>K66/K22</x:f>
        <x:v>0.7474344448479145</x:v>
      </x:c>
      <x:c r="L93" s="66" t="n">
        <x:f>L66/L22</x:f>
        <x:v>0.760142274825778</x:v>
      </x:c>
      <x:c r="M93" s="66" t="n">
        <x:f>M66/M22</x:f>
        <x:v>0.7918298480507168</x:v>
      </x:c>
      <x:c r="N93" s="2"/>
      <x:c r="O93" s="2"/>
    </x:row>
    <x:row r="94" ht="20" customHeight="1">
      <x:c r="A94" s="2"/>
      <x:c r="B94" s="2"/>
      <x:c r="C94" s="2"/>
      <x:c r="D94" s="3"/>
      <x:c r="E94" s="3"/>
      <x:c r="F94" s="3"/>
      <x:c r="G94" s="3"/>
      <x:c r="H94" s="3"/>
      <x:c r="I94" s="3"/>
      <x:c r="J94" s="3"/>
      <x:c r="K94" s="3"/>
      <x:c r="L94" s="3"/>
      <x:c r="M94" s="3"/>
      <x:c r="N94" s="2"/>
      <x:c r="O94" s="2"/>
    </x:row>
    <x:row r="95" ht="20" customHeight="1">
      <x:c r="A95" s="2"/>
      <x:c r="B95" s="2"/>
      <x:c r="C95" s="2"/>
      <x:c r="D95" s="3"/>
      <x:c r="E95" s="3"/>
      <x:c r="F95" s="3"/>
      <x:c r="G95" s="3"/>
      <x:c r="H95" s="3"/>
      <x:c r="I95" s="3"/>
      <x:c r="J95" s="3"/>
      <x:c r="K95" s="3"/>
      <x:c r="L95" s="3"/>
      <x:c r="M95" s="3"/>
      <x:c r="N95" s="2"/>
      <x:c r="O95" s="2"/>
    </x:row>
    <x:row r="96" ht="20" customHeight="1">
      <x:c r="A96" s="2"/>
      <x:c r="B96" s="2"/>
      <x:c r="C96" s="2"/>
      <x:c r="D96" s="3"/>
      <x:c r="E96" s="3"/>
      <x:c r="F96" s="3"/>
      <x:c r="G96" s="3"/>
      <x:c r="H96" s="3"/>
      <x:c r="I96" s="3"/>
      <x:c r="J96" s="3"/>
      <x:c r="K96" s="3"/>
      <x:c r="L96" s="3"/>
      <x:c r="M96" s="3"/>
      <x:c r="N96" s="2"/>
      <x:c r="O96" s="2"/>
    </x:row>
    <x:row r="97" ht="20" customHeight="1">
      <x:c r="A97" s="2"/>
      <x:c r="B97" s="2"/>
      <x:c r="C97" s="2"/>
      <x:c r="D97" s="3"/>
      <x:c r="E97" s="3"/>
      <x:c r="F97" s="3"/>
      <x:c r="G97" s="3"/>
      <x:c r="H97" s="3"/>
      <x:c r="I97" s="3"/>
      <x:c r="J97" s="3"/>
      <x:c r="K97" s="3"/>
      <x:c r="L97" s="3"/>
      <x:c r="M97" s="3"/>
      <x:c r="N97" s="2"/>
      <x:c r="O97" s="2"/>
    </x:row>
    <x:row r="98" ht="24" customHeight="1">
      <x:c r="A98" s="2"/>
      <x:c r="B98" s="2"/>
      <x:c r="C98" s="11" t="str">
        <x:v>Segment revenue and profitability</x:v>
      </x:c>
      <x:c r="D98" s="19"/>
      <x:c r="E98" s="19"/>
      <x:c r="F98" s="19"/>
      <x:c r="G98" s="19"/>
      <x:c r="H98" s="19"/>
      <x:c r="I98" s="19"/>
      <x:c r="J98" s="19"/>
      <x:c r="K98" s="19"/>
      <x:c r="L98" s="19"/>
      <x:c r="M98" s="19"/>
      <x:c r="N98" s="2"/>
      <x:c r="O98" s="2"/>
    </x:row>
    <x:row r="99" ht="20" customHeight="1">
      <x:c r="A99" s="2"/>
      <x:c r="B99" s="2"/>
      <x:c r="C99" s="2"/>
      <x:c r="D99" s="3"/>
      <x:c r="E99" s="3"/>
      <x:c r="F99" s="3"/>
      <x:c r="G99" s="3"/>
      <x:c r="H99" s="3"/>
      <x:c r="I99" s="3"/>
      <x:c r="J99" s="3"/>
      <x:c r="K99" s="3"/>
      <x:c r="L99" s="3"/>
      <x:c r="M99" s="3"/>
      <x:c r="N99" s="2"/>
      <x:c r="O99" s="2"/>
    </x:row>
    <x:row r="100" ht="20" customHeight="1">
      <x:c r="A100" s="2"/>
      <x:c r="B100" s="2"/>
      <x:c r="C100" s="24" t="str">
        <x:v>Domestic W&amp;C nominal growth</x:v>
      </x:c>
      <x:c r="D100" s="26" t="str">
        <x:f>'01_Historical+Segments'!D328</x:f>
        <x:v>n.a.</x:v>
      </x:c>
      <x:c r="E100" s="26" t="n">
        <x:f>'01_Historical+Segments'!E328</x:f>
        <x:v>0.14131272100498493</x:v>
      </x:c>
      <x:c r="F100" s="26" t="n">
        <x:f>'01_Historical+Segments'!F328</x:f>
        <x:v>0.2961329442251932</x:v>
      </x:c>
      <x:c r="G100" s="26" t="n">
        <x:f>'01_Historical+Segments'!G328</x:f>
        <x:v>0.21351790495584289</x:v>
      </x:c>
      <x:c r="H100" s="26" t="n">
        <x:f>'01_Historical+Segments'!H328</x:f>
        <x:v>0.3458089666615878</x:v>
      </x:c>
      <x:c r="I100" s="26" t="n">
        <x:f>'02_Drivers+Scenarios'!I9*'02_Drivers+Scenarios'!I14</x:f>
        <x:v>0.24</x:v>
      </x:c>
      <x:c r="J100" s="26" t="n">
        <x:f>'02_Drivers+Scenarios'!J9*'02_Drivers+Scenarios'!J14</x:f>
        <x:v>0.18</x:v>
      </x:c>
      <x:c r="K100" s="26" t="n">
        <x:f>'02_Drivers+Scenarios'!K9*'02_Drivers+Scenarios'!K14</x:f>
        <x:v>0.165</x:v>
      </x:c>
      <x:c r="L100" s="26" t="n">
        <x:f>'02_Drivers+Scenarios'!L9*'02_Drivers+Scenarios'!L14</x:f>
        <x:v>0.15000000000000002</x:v>
      </x:c>
      <x:c r="M100" s="26" t="n">
        <x:f>'02_Drivers+Scenarios'!M9*'02_Drivers+Scenarios'!M14</x:f>
        <x:v>0.13</x:v>
      </x:c>
      <x:c r="N100" s="2"/>
      <x:c r="O100" s="2"/>
    </x:row>
    <x:row r="101" ht="20" customHeight="1">
      <x:c r="A101" s="2"/>
      <x:c r="B101" s="2"/>
      <x:c r="C101" s="2" t="str">
        <x:v>Domestic W&amp;C income proxy</x:v>
      </x:c>
      <x:c r="D101" s="22" t="n">
        <x:f>'01_Historical+Segments'!D313</x:f>
        <x:v>97724.04000000001</x:v>
      </x:c>
      <x:c r="E101" s="22" t="n">
        <x:f>'01_Historical+Segments'!E313</x:f>
        <x:v>111533.69</x:v>
      </x:c>
      <x:c r="F101" s="22" t="n">
        <x:f>'01_Historical+Segments'!F313</x:f>
        <x:v>144562.49</x:v>
      </x:c>
      <x:c r="G101" s="22" t="n">
        <x:f>'01_Historical+Segments'!G313</x:f>
        <x:v>175429.16999999998</x:v>
      </x:c>
      <x:c r="H101" s="22" t="n">
        <x:f>'01_Historical+Segments'!H313</x:f>
        <x:v>236094.15</x:v>
      </x:c>
      <x:c r="I101" s="14" t="n">
        <x:f>H101*(1+I100)</x:f>
        <x:v>292756.746</x:v>
      </x:c>
      <x:c r="J101" s="14" t="n">
        <x:f>I101*(1+J100)</x:f>
        <x:v>345452.96027999994</x:v>
      </x:c>
      <x:c r="K101" s="14" t="n">
        <x:f>J101*(1+K100)</x:f>
        <x:v>402452.6987261999</x:v>
      </x:c>
      <x:c r="L101" s="14" t="n">
        <x:f>K101*(1+L100)</x:f>
        <x:v>462820.60353512986</x:v>
      </x:c>
      <x:c r="M101" s="14" t="n">
        <x:f>L101*(1+M100)</x:f>
        <x:v>522987.2819946967</x:v>
      </x:c>
      <x:c r="N101" s="2"/>
      <x:c r="O101" s="2"/>
    </x:row>
    <x:row r="102" ht="20" customHeight="1">
      <x:c r="A102" s="2"/>
      <x:c r="B102" s="2"/>
      <x:c r="C102" s="24" t="str">
        <x:v>Export growth</x:v>
      </x:c>
      <x:c r="D102" s="26" t="str">
        <x:f>'01_Historical+Segments'!D327</x:f>
        <x:v>n.a.</x:v>
      </x:c>
      <x:c r="E102" s="26" t="n">
        <x:f>'01_Historical+Segments'!E327</x:f>
        <x:v>0.4990616799179999</x:v>
      </x:c>
      <x:c r="F102" s="26" t="n">
        <x:f>'01_Historical+Segments'!F327</x:f>
        <x:v>0.0379017912965669</x:v>
      </x:c>
      <x:c r="G102" s="26" t="n">
        <x:f>'01_Historical+Segments'!G327</x:f>
        <x:v>-0.06321550515647711</x:v>
      </x:c>
      <x:c r="H102" s="26" t="n">
        <x:f>'01_Historical+Segments'!H327</x:f>
        <x:v>0.16672787257672916</x:v>
      </x:c>
      <x:c r="I102" s="26" t="n">
        <x:f>'02_Drivers+Scenarios'!I19</x:f>
        <x:v>0.15</x:v>
      </x:c>
      <x:c r="J102" s="26" t="n">
        <x:f>'02_Drivers+Scenarios'!J19</x:f>
        <x:v>0.25</x:v>
      </x:c>
      <x:c r="K102" s="26" t="n">
        <x:f>'02_Drivers+Scenarios'!K19</x:f>
        <x:v>0.25</x:v>
      </x:c>
      <x:c r="L102" s="26" t="n">
        <x:f>'02_Drivers+Scenarios'!L19</x:f>
        <x:v>0.25</x:v>
      </x:c>
      <x:c r="M102" s="26" t="n">
        <x:f>'02_Drivers+Scenarios'!M19</x:f>
        <x:v>0.25</x:v>
      </x:c>
      <x:c r="N102" s="2"/>
      <x:c r="O102" s="2"/>
    </x:row>
    <x:row r="103" ht="20" customHeight="1">
      <x:c r="A103" s="2"/>
      <x:c r="B103" s="2"/>
      <x:c r="C103" s="2" t="str">
        <x:v>Export income</x:v>
      </x:c>
      <x:c r="D103" s="22" t="n">
        <x:f>'01_Historical+Segments'!D362</x:f>
        <x:v>9229.26</x:v>
      </x:c>
      <x:c r="E103" s="22" t="n">
        <x:f>'01_Historical+Segments'!E362</x:f>
        <x:v>13835.23</x:v>
      </x:c>
      <x:c r="F103" s="22" t="n">
        <x:f>'01_Historical+Segments'!F362</x:f>
        <x:v>14359.61</x:v>
      </x:c>
      <x:c r="G103" s="22" t="n">
        <x:f>'01_Historical+Segments'!G362</x:f>
        <x:v>13451.86</x:v>
      </x:c>
      <x:c r="H103" s="22" t="n">
        <x:f>'01_Historical+Segments'!H362</x:f>
        <x:v>15694.66</x:v>
      </x:c>
      <x:c r="I103" s="14" t="n">
        <x:f>H103*(1+I102)</x:f>
        <x:v>18048.858999999997</x:v>
      </x:c>
      <x:c r="J103" s="14" t="n">
        <x:f>I103*(1+J102)</x:f>
        <x:v>22561.073749999996</x:v>
      </x:c>
      <x:c r="K103" s="14" t="n">
        <x:f>J103*(1+K102)</x:f>
        <x:v>28201.342187499995</x:v>
      </x:c>
      <x:c r="L103" s="14" t="n">
        <x:f>K103*(1+L102)</x:f>
        <x:v>35251.67773437499</x:v>
      </x:c>
      <x:c r="M103" s="14" t="n">
        <x:f>L103*(1+M102)</x:f>
        <x:v>44064.59716796874</x:v>
      </x:c>
      <x:c r="N103" s="2"/>
      <x:c r="O103" s="2"/>
    </x:row>
    <x:row r="104" ht="20" customHeight="1">
      <x:c r="A104" s="2"/>
      <x:c r="B104" s="2"/>
      <x:c r="C104" s="47" t="str">
        <x:v>W&amp;C external income</x:v>
      </x:c>
      <x:c r="D104" s="63" t="n">
        <x:f>'01_Historical+Segments'!D341</x:f>
        <x:v>106953.3</x:v>
      </x:c>
      <x:c r="E104" s="63" t="n">
        <x:f>'01_Historical+Segments'!E341</x:f>
        <x:v>125368.92</x:v>
      </x:c>
      <x:c r="F104" s="63" t="n">
        <x:f>'01_Historical+Segments'!F341</x:f>
        <x:v>158922.1</x:v>
      </x:c>
      <x:c r="G104" s="63" t="n">
        <x:f>'01_Historical+Segments'!G341</x:f>
        <x:v>188881.03</x:v>
      </x:c>
      <x:c r="H104" s="63" t="n">
        <x:f>'01_Historical+Segments'!H341</x:f>
        <x:v>251788.81</x:v>
      </x:c>
      <x:c r="I104" s="56" t="n">
        <x:f>SUM(I101,I103)</x:f>
        <x:v>310805.605</x:v>
      </x:c>
      <x:c r="J104" s="56" t="n">
        <x:f>SUM(J101,J103)</x:f>
        <x:v>368014.0340299999</x:v>
      </x:c>
      <x:c r="K104" s="56" t="n">
        <x:f>SUM(K101,K103)</x:f>
        <x:v>430654.0409136999</x:v>
      </x:c>
      <x:c r="L104" s="56" t="n">
        <x:f>SUM(L101,L103)</x:f>
        <x:v>498072.28126950486</x:v>
      </x:c>
      <x:c r="M104" s="56" t="n">
        <x:f>SUM(M101,M103)</x:f>
        <x:v>567051.8791626655</x:v>
      </x:c>
      <x:c r="N104" s="2"/>
      <x:c r="O104" s="2"/>
    </x:row>
    <x:row r="105" ht="20" customHeight="1">
      <x:c r="A105" s="2"/>
      <x:c r="B105" s="2"/>
      <x:c r="C105" s="2" t="str">
        <x:v>FMEG income</x:v>
      </x:c>
      <x:c r="D105" s="22" t="n">
        <x:f>'01_Historical+Segments'!D342</x:f>
        <x:v>12543.83</x:v>
      </x:c>
      <x:c r="E105" s="22" t="n">
        <x:f>'01_Historical+Segments'!E342</x:f>
        <x:v>12511.57</x:v>
      </x:c>
      <x:c r="F105" s="22" t="n">
        <x:f>'01_Historical+Segments'!F342</x:f>
        <x:v>12827.58</x:v>
      </x:c>
      <x:c r="G105" s="22" t="n">
        <x:f>'01_Historical+Segments'!G342</x:f>
        <x:v>16535.42</x:v>
      </x:c>
      <x:c r="H105" s="22" t="n">
        <x:f>'01_Historical+Segments'!H342</x:f>
        <x:v>20693.28</x:v>
      </x:c>
      <x:c r="I105" s="22" t="n">
        <x:f>H105*(1+'02_Drivers+Scenarios'!I24)</x:f>
        <x:v>28970.591999999997</x:v>
      </x:c>
      <x:c r="J105" s="22" t="n">
        <x:f>I105*(1+'02_Drivers+Scenarios'!J24)</x:f>
        <x:v>36213.24</x:v>
      </x:c>
      <x:c r="K105" s="22" t="n">
        <x:f>J105*(1+'02_Drivers+Scenarios'!K24)</x:f>
        <x:v>43455.888</x:v>
      </x:c>
      <x:c r="L105" s="22" t="n">
        <x:f>K105*(1+'02_Drivers+Scenarios'!L24)</x:f>
        <x:v>51277.94783999999</x:v>
      </x:c>
      <x:c r="M105" s="22" t="n">
        <x:f>L105*(1+'02_Drivers+Scenarios'!M24)</x:f>
        <x:v>58969.64001599999</x:v>
      </x:c>
      <x:c r="N105" s="2"/>
      <x:c r="O105" s="2"/>
    </x:row>
    <x:row r="106" ht="20" customHeight="1">
      <x:c r="A106" s="2"/>
      <x:c r="B106" s="2"/>
      <x:c r="C106" s="2" t="str">
        <x:v>EPC income</x:v>
      </x:c>
      <x:c r="D106" s="22" t="n">
        <x:f>'01_Historical+Segments'!D343</x:f>
        <x:v>2942.79</x:v>
      </x:c>
      <x:c r="E106" s="22" t="n">
        <x:f>'01_Historical+Segments'!E343</x:f>
        <x:v>3584.34</x:v>
      </x:c>
      <x:c r="F106" s="22" t="n">
        <x:f>'01_Historical+Segments'!F343</x:f>
        <x:v>9642.45</x:v>
      </x:c>
      <x:c r="G106" s="22" t="n">
        <x:f>'01_Historical+Segments'!G343</x:f>
        <x:v>19192.39</x:v>
      </x:c>
      <x:c r="H106" s="22" t="n">
        <x:f>'01_Historical+Segments'!H343</x:f>
        <x:v>16664.96</x:v>
      </x:c>
      <x:c r="I106" s="22" t="n">
        <x:f>H106*(1+'02_Drivers+Scenarios'!I39)</x:f>
        <x:v>16664.96</x:v>
      </x:c>
      <x:c r="J106" s="22" t="n">
        <x:f>I106*(1+'02_Drivers+Scenarios'!J39)</x:f>
        <x:v>17998.1568</x:v>
      </x:c>
      <x:c r="K106" s="22" t="n">
        <x:f>J106*(1+'02_Drivers+Scenarios'!K39)</x:f>
        <x:v>19438.009344000002</x:v>
      </x:c>
      <x:c r="L106" s="22" t="n">
        <x:f>K106*(1+'02_Drivers+Scenarios'!L39)</x:f>
        <x:v>20604.28990464</x:v>
      </x:c>
      <x:c r="M106" s="22" t="n">
        <x:f>L106*(1+'02_Drivers+Scenarios'!M39)</x:f>
        <x:v>21634.504399872003</x:v>
      </x:c>
      <x:c r="N106" s="2"/>
      <x:c r="O106" s="2"/>
    </x:row>
    <x:row r="107" ht="20" customHeight="1">
      <x:c r="A107" s="2"/>
      <x:c r="B107" s="2"/>
      <x:c r="C107" s="47" t="str">
        <x:v>Total external segment income</x:v>
      </x:c>
      <x:c r="D107" s="63" t="n">
        <x:f>'01_Historical+Segments'!D308</x:f>
        <x:v>122439.92</x:v>
      </x:c>
      <x:c r="E107" s="63" t="n">
        <x:f>'01_Historical+Segments'!E308</x:f>
        <x:v>141464.83</x:v>
      </x:c>
      <x:c r="F107" s="63" t="n">
        <x:f>'01_Historical+Segments'!F308</x:f>
        <x:v>181392.13</x:v>
      </x:c>
      <x:c r="G107" s="63" t="n">
        <x:f>'01_Historical+Segments'!G308</x:f>
        <x:v>224608.84000000003</x:v>
      </x:c>
      <x:c r="H107" s="63" t="n">
        <x:f>'01_Historical+Segments'!H308</x:f>
        <x:v>289147.05</x:v>
      </x:c>
      <x:c r="I107" s="56" t="n">
        <x:f>SUM(I104:I106)</x:f>
        <x:v>356441.157</x:v>
      </x:c>
      <x:c r="J107" s="56" t="n">
        <x:f>SUM(J104:J106)</x:f>
        <x:v>422225.4308299999</x:v>
      </x:c>
      <x:c r="K107" s="56" t="n">
        <x:f>SUM(K104:K106)</x:f>
        <x:v>493547.9382576999</x:v>
      </x:c>
      <x:c r="L107" s="56" t="n">
        <x:f>SUM(L104:L106)</x:f>
        <x:v>569954.5190141449</x:v>
      </x:c>
      <x:c r="M107" s="56" t="n">
        <x:f>SUM(M104:M106)</x:f>
        <x:v>647656.0235785375</x:v>
      </x:c>
      <x:c r="N107" s="2"/>
      <x:c r="O107" s="2"/>
    </x:row>
    <x:row r="108" ht="20" customHeight="1">
      <x:c r="A108" s="2"/>
      <x:c r="B108" s="2"/>
      <x:c r="C108" s="2" t="str">
        <x:v>Less: non-finance other income</x:v>
      </x:c>
      <x:c r="D108" s="22" t="n">
        <x:f>'01_Historical+Segments'!D309</x:f>
        <x:v>402.31</x:v>
      </x:c>
      <x:c r="E108" s="22" t="n">
        <x:f>'01_Historical+Segments'!E309</x:f>
        <x:v>387.04999999999995</x:v>
      </x:c>
      <x:c r="F108" s="22" t="n">
        <x:f>'01_Historical+Segments'!F309</x:f>
        <x:v>997.69</x:v>
      </x:c>
      <x:c r="G108" s="22" t="n">
        <x:f>'01_Historical+Segments'!G309</x:f>
        <x:v>525.71</x:v>
      </x:c>
      <x:c r="H108" s="22" t="n">
        <x:f>'01_Historical+Segments'!H309</x:f>
        <x:v>309.1300000000001</x:v>
      </x:c>
      <x:c r="I108" s="22" t="n">
        <x:f>I107*'02_Drivers+Scenarios'!I79</x:f>
        <x:v>381.0748021237292</x:v>
      </x:c>
      <x:c r="J108" s="22" t="n">
        <x:f>J107*'02_Drivers+Scenarios'!J79</x:f>
        <x:v>451.40542652078904</x:v>
      </x:c>
      <x:c r="K108" s="22" t="n">
        <x:f>K107*'02_Drivers+Scenarios'!K79</x:f>
        <x:v>527.657031789198</x:v>
      </x:c>
      <x:c r="L108" s="22" t="n">
        <x:f>L107*'02_Drivers+Scenarios'!L79</x:f>
        <x:v>609.3440706479373</x:v>
      </x:c>
      <x:c r="M108" s="22" t="n">
        <x:f>M107*'02_Drivers+Scenarios'!M79</x:f>
        <x:v>692.4155254872335</x:v>
      </x:c>
      <x:c r="N108" s="2"/>
      <x:c r="O108" s="2"/>
    </x:row>
    <x:row r="109" ht="20" customHeight="1">
      <x:c r="A109" s="2"/>
      <x:c r="B109" s="2"/>
      <x:c r="C109" s="2"/>
      <x:c r="D109" s="3"/>
      <x:c r="E109" s="3"/>
      <x:c r="F109" s="3"/>
      <x:c r="G109" s="3"/>
      <x:c r="H109" s="3"/>
      <x:c r="I109" s="3"/>
      <x:c r="J109" s="3"/>
      <x:c r="K109" s="3"/>
      <x:c r="L109" s="3"/>
      <x:c r="M109" s="3"/>
      <x:c r="N109" s="2"/>
      <x:c r="O109" s="2"/>
    </x:row>
    <x:row r="110" ht="20" customHeight="1">
      <x:c r="A110" s="2"/>
      <x:c r="B110" s="2"/>
      <x:c r="C110" s="24" t="str">
        <x:v>W&amp;C EBITDA margin</x:v>
      </x:c>
      <x:c r="D110" s="66" t="n">
        <x:f>D111/D104</x:f>
        <x:v>0.11387212923771403</x:v>
      </x:c>
      <x:c r="E110" s="66" t="n">
        <x:f>E111/E104</x:f>
        <x:v>0.14581907541358735</x:v>
      </x:c>
      <x:c r="F110" s="66" t="n">
        <x:f>F111/F104</x:f>
        <x:v>0.15973266147376608</x:v>
      </x:c>
      <x:c r="G110" s="66" t="n">
        <x:f>G111/G104</x:f>
        <x:v>0.15008600916672257</x:v>
      </x:c>
      <x:c r="H110" s="66" t="n">
        <x:f>H111/H104</x:f>
        <x:v>0.1496725767916374</x:v>
      </x:c>
      <x:c r="I110" s="26" t="n">
        <x:f>'02_Drivers+Scenarios'!I29</x:f>
        <x:v>0.14</x:v>
      </x:c>
      <x:c r="J110" s="26" t="n">
        <x:f>'02_Drivers+Scenarios'!J29</x:f>
        <x:v>0.135</x:v>
      </x:c>
      <x:c r="K110" s="26" t="n">
        <x:f>'02_Drivers+Scenarios'!K29</x:f>
        <x:v>0.13</x:v>
      </x:c>
      <x:c r="L110" s="26" t="n">
        <x:f>'02_Drivers+Scenarios'!L29</x:f>
        <x:v>0.125</x:v>
      </x:c>
      <x:c r="M110" s="26" t="n">
        <x:f>'02_Drivers+Scenarios'!M29</x:f>
        <x:v>0.125</x:v>
      </x:c>
      <x:c r="N110" s="2"/>
      <x:c r="O110" s="2"/>
    </x:row>
    <x:row r="111" ht="20" customHeight="1">
      <x:c r="A111" s="2"/>
      <x:c r="B111" s="2"/>
      <x:c r="C111" s="2" t="str">
        <x:v>W&amp;C EBITDA</x:v>
      </x:c>
      <x:c r="D111" s="22" t="n">
        <x:f>'01_Historical+Segments'!D347+'01_Historical+Segments'!D350</x:f>
        <x:v>12179</x:v>
      </x:c>
      <x:c r="E111" s="22" t="n">
        <x:f>'01_Historical+Segments'!E347+'01_Historical+Segments'!E350</x:f>
        <x:v>18281.18</x:v>
      </x:c>
      <x:c r="F111" s="22" t="n">
        <x:f>'01_Historical+Segments'!F347+'01_Historical+Segments'!F350</x:f>
        <x:v>25385.05</x:v>
      </x:c>
      <x:c r="G111" s="22" t="n">
        <x:f>'01_Historical+Segments'!G347+'01_Historical+Segments'!G350</x:f>
        <x:v>28348.4</x:v>
      </x:c>
      <x:c r="H111" s="22" t="n">
        <x:f>'01_Historical+Segments'!H347+'01_Historical+Segments'!H350</x:f>
        <x:v>37685.88</x:v>
      </x:c>
      <x:c r="I111" s="14" t="n">
        <x:f>I104*I110</x:f>
        <x:v>43512.784700000004</x:v>
      </x:c>
      <x:c r="J111" s="14" t="n">
        <x:f>J104*J110</x:f>
        <x:v>49681.89459404999</x:v>
      </x:c>
      <x:c r="K111" s="14" t="n">
        <x:f>K104*K110</x:f>
        <x:v>55985.02531878099</x:v>
      </x:c>
      <x:c r="L111" s="14" t="n">
        <x:f>L104*L110</x:f>
        <x:v>62259.03515868811</x:v>
      </x:c>
      <x:c r="M111" s="14" t="n">
        <x:f>M104*M110</x:f>
        <x:v>70881.48489533318</x:v>
      </x:c>
      <x:c r="N111" s="2"/>
      <x:c r="O111" s="2"/>
    </x:row>
    <x:row r="112" ht="20" customHeight="1">
      <x:c r="A112" s="2"/>
      <x:c r="B112" s="2"/>
      <x:c r="C112" s="2" t="str">
        <x:v>W&amp;C depreciation</x:v>
      </x:c>
      <x:c r="D112" s="22" t="n">
        <x:f>'01_Historical+Segments'!D350</x:f>
        <x:v>1773.78</x:v>
      </x:c>
      <x:c r="E112" s="22" t="n">
        <x:f>'01_Historical+Segments'!E350</x:f>
        <x:v>1834.52</x:v>
      </x:c>
      <x:c r="F112" s="22" t="n">
        <x:f>'01_Historical+Segments'!F350</x:f>
        <x:v>2085.78</x:v>
      </x:c>
      <x:c r="G112" s="22" t="n">
        <x:f>'01_Historical+Segments'!G350</x:f>
        <x:v>2625.92</x:v>
      </x:c>
      <x:c r="H112" s="22" t="n">
        <x:f>'01_Historical+Segments'!H350</x:f>
        <x:v>3382.04</x:v>
      </x:c>
      <x:c r="I112" s="22" t="n">
        <x:f>I200*'01_Historical+Segments'!H350/'01_Historical+Segments'!H151</x:f>
        <x:v>4696.77786283995</x:v>
      </x:c>
      <x:c r="J112" s="22" t="n">
        <x:f>J200*'01_Historical+Segments'!H350/'01_Historical+Segments'!H151</x:f>
        <x:v>5799.774194209165</x:v>
      </x:c>
      <x:c r="K112" s="22" t="n">
        <x:f>K200*'01_Historical+Segments'!H350/'01_Historical+Segments'!H151</x:f>
        <x:v>6558.523330028891</x:v>
      </x:c>
      <x:c r="L112" s="22" t="n">
        <x:f>L200*'01_Historical+Segments'!H350/'01_Historical+Segments'!H151</x:f>
        <x:v>7231.52242628652</x:v>
      </x:c>
      <x:c r="M112" s="22" t="n">
        <x:f>M200*'01_Historical+Segments'!H350/'01_Historical+Segments'!H151</x:f>
        <x:v>7873.858670041825</x:v>
      </x:c>
      <x:c r="N112" s="2"/>
      <x:c r="O112" s="2"/>
    </x:row>
    <x:row r="113" ht="20" customHeight="1">
      <x:c r="A113" s="2"/>
      <x:c r="B113" s="2"/>
      <x:c r="C113" s="2" t="str">
        <x:v>W&amp;C EBIT</x:v>
      </x:c>
      <x:c r="D113" s="22" t="n">
        <x:f>'01_Historical+Segments'!D347</x:f>
        <x:v>10405.22</x:v>
      </x:c>
      <x:c r="E113" s="22" t="n">
        <x:f>'01_Historical+Segments'!E347</x:f>
        <x:v>16446.66</x:v>
      </x:c>
      <x:c r="F113" s="22" t="n">
        <x:f>'01_Historical+Segments'!F347</x:f>
        <x:v>23299.27</x:v>
      </x:c>
      <x:c r="G113" s="22" t="n">
        <x:f>'01_Historical+Segments'!G347</x:f>
        <x:v>25722.48</x:v>
      </x:c>
      <x:c r="H113" s="22" t="n">
        <x:f>'01_Historical+Segments'!H347</x:f>
        <x:v>34303.84</x:v>
      </x:c>
      <x:c r="I113" s="14" t="n">
        <x:f>I111-I112</x:f>
        <x:v>38816.00683716005</x:v>
      </x:c>
      <x:c r="J113" s="14" t="n">
        <x:f>J111-J112</x:f>
        <x:v>43882.120399840824</x:v>
      </x:c>
      <x:c r="K113" s="14" t="n">
        <x:f>K111-K112</x:f>
        <x:v>49426.5019887521</x:v>
      </x:c>
      <x:c r="L113" s="14" t="n">
        <x:f>L111-L112</x:f>
        <x:v>55027.512732401585</x:v>
      </x:c>
      <x:c r="M113" s="14" t="n">
        <x:f>M111-M112</x:f>
        <x:v>63007.62622529136</x:v>
      </x:c>
      <x:c r="N113" s="2"/>
      <x:c r="O113" s="2"/>
    </x:row>
    <x:row r="114" ht="20" customHeight="1">
      <x:c r="A114" s="2"/>
      <x:c r="B114" s="2"/>
      <x:c r="C114" s="24" t="str">
        <x:v>FMEG EBITDA margin</x:v>
      </x:c>
      <x:c r="D114" s="66" t="n">
        <x:f>D115/D105</x:f>
        <x:v>0.03259929383609312</x:v>
      </x:c>
      <x:c r="E114" s="66" t="n">
        <x:f>E115/E105</x:f>
        <x:v>0.013073499169169016</x:v>
      </x:c>
      <x:c r="F114" s="66" t="n">
        <x:f>F115/F105</x:f>
        <x:v>-0.04784378659107954</x:v>
      </x:c>
      <x:c r="G114" s="66" t="n">
        <x:f>G115/G105</x:f>
        <x:v>-0.0024414257394127278</x:v>
      </x:c>
      <x:c r="H114" s="66" t="n">
        <x:f>H115/H105</x:f>
        <x:v>0.046843709648736215</x:v>
      </x:c>
      <x:c r="I114" s="26" t="n">
        <x:f>'02_Drivers+Scenarios'!I34</x:f>
        <x:v>0.09</x:v>
      </x:c>
      <x:c r="J114" s="26" t="n">
        <x:f>'02_Drivers+Scenarios'!J34</x:f>
        <x:v>0.0925</x:v>
      </x:c>
      <x:c r="K114" s="26" t="n">
        <x:f>'02_Drivers+Scenarios'!K34</x:f>
        <x:v>0.095</x:v>
      </x:c>
      <x:c r="L114" s="26" t="n">
        <x:f>'02_Drivers+Scenarios'!L34</x:f>
        <x:v>0.095</x:v>
      </x:c>
      <x:c r="M114" s="26" t="n">
        <x:f>'02_Drivers+Scenarios'!M34</x:f>
        <x:v>0.095</x:v>
      </x:c>
      <x:c r="N114" s="2"/>
      <x:c r="O114" s="2"/>
    </x:row>
    <x:row r="115" ht="20" customHeight="1">
      <x:c r="A115" s="2"/>
      <x:c r="B115" s="2"/>
      <x:c r="C115" s="2" t="str">
        <x:v>FMEG EBITDA</x:v>
      </x:c>
      <x:c r="D115" s="22" t="n">
        <x:f>'01_Historical+Segments'!D348+'01_Historical+Segments'!D351</x:f>
        <x:v>408.91999999999996</x:v>
      </x:c>
      <x:c r="E115" s="22" t="n">
        <x:f>'01_Historical+Segments'!E348+'01_Historical+Segments'!E351</x:f>
        <x:v>163.57</x:v>
      </x:c>
      <x:c r="F115" s="22" t="n">
        <x:f>'01_Historical+Segments'!F348+'01_Historical+Segments'!F351</x:f>
        <x:v>-613.72</x:v>
      </x:c>
      <x:c r="G115" s="22" t="n">
        <x:f>'01_Historical+Segments'!G348+'01_Historical+Segments'!G351</x:f>
        <x:v>-40.370000000000005</x:v>
      </x:c>
      <x:c r="H115" s="22" t="n">
        <x:f>'01_Historical+Segments'!H348+'01_Historical+Segments'!H351</x:f>
        <x:v>969.35</x:v>
      </x:c>
      <x:c r="I115" s="14" t="n">
        <x:f>I105*I114</x:f>
        <x:v>2607.35328</x:v>
      </x:c>
      <x:c r="J115" s="14" t="n">
        <x:f>J105*J114</x:f>
        <x:v>3349.7246999999998</x:v>
      </x:c>
      <x:c r="K115" s="14" t="n">
        <x:f>K105*K114</x:f>
        <x:v>4128.30936</x:v>
      </x:c>
      <x:c r="L115" s="14" t="n">
        <x:f>L105*L114</x:f>
        <x:v>4871.4050448</x:v>
      </x:c>
      <x:c r="M115" s="14" t="n">
        <x:f>M105*M114</x:f>
        <x:v>5602.115801519999</x:v>
      </x:c>
      <x:c r="N115" s="2"/>
      <x:c r="O115" s="2"/>
    </x:row>
    <x:row r="116" ht="20" customHeight="1">
      <x:c r="A116" s="2"/>
      <x:c r="B116" s="2"/>
      <x:c r="C116" s="2" t="str">
        <x:v>FMEG depreciation</x:v>
      </x:c>
      <x:c r="D116" s="22" t="n">
        <x:f>'01_Historical+Segments'!D351</x:f>
        <x:v>212.7</x:v>
      </x:c>
      <x:c r="E116" s="22" t="n">
        <x:f>'01_Historical+Segments'!E351</x:f>
        <x:v>225.94</x:v>
      </x:c>
      <x:c r="F116" s="22" t="n">
        <x:f>'01_Historical+Segments'!F351</x:f>
        <x:v>325.14</x:v>
      </x:c>
      <x:c r="G116" s="22" t="n">
        <x:f>'01_Historical+Segments'!G351</x:f>
        <x:v>341.43</x:v>
      </x:c>
      <x:c r="H116" s="22" t="n">
        <x:f>'01_Historical+Segments'!H351</x:f>
        <x:v>420.97</x:v>
      </x:c>
      <x:c r="I116" s="22" t="n">
        <x:f>I200*'01_Historical+Segments'!H351/'01_Historical+Segments'!H151</x:f>
        <x:v>584.6183300374134</x:v>
      </x:c>
      <x:c r="J116" s="22" t="n">
        <x:f>J200*'01_Historical+Segments'!H351/'01_Historical+Segments'!H151</x:f>
        <x:v>721.9107232724133</x:v>
      </x:c>
      <x:c r="K116" s="22" t="n">
        <x:f>K200*'01_Historical+Segments'!H351/'01_Historical+Segments'!H151</x:f>
        <x:v>816.3539065895916</x:v>
      </x:c>
      <x:c r="L116" s="22" t="n">
        <x:f>L200*'01_Historical+Segments'!H351/'01_Historical+Segments'!H151</x:f>
        <x:v>900.1235928001553</x:v>
      </x:c>
      <x:c r="M116" s="22" t="n">
        <x:f>M200*'01_Historical+Segments'!H351/'01_Historical+Segments'!H151</x:f>
        <x:v>980.0766059323684</x:v>
      </x:c>
      <x:c r="N116" s="2"/>
      <x:c r="O116" s="2"/>
    </x:row>
    <x:row r="117" ht="20" customHeight="1">
      <x:c r="A117" s="2"/>
      <x:c r="B117" s="2"/>
      <x:c r="C117" s="2" t="str">
        <x:v>FMEG EBIT</x:v>
      </x:c>
      <x:c r="D117" s="22" t="n">
        <x:f>'01_Historical+Segments'!D348</x:f>
        <x:v>196.22</x:v>
      </x:c>
      <x:c r="E117" s="22" t="n">
        <x:f>'01_Historical+Segments'!E348</x:f>
        <x:v>-62.37</x:v>
      </x:c>
      <x:c r="F117" s="22" t="n">
        <x:f>'01_Historical+Segments'!F348</x:f>
        <x:v>-938.86</x:v>
      </x:c>
      <x:c r="G117" s="22" t="n">
        <x:f>'01_Historical+Segments'!G348</x:f>
        <x:v>-381.8</x:v>
      </x:c>
      <x:c r="H117" s="22" t="n">
        <x:f>'01_Historical+Segments'!H348</x:f>
        <x:v>548.38</x:v>
      </x:c>
      <x:c r="I117" s="14" t="n">
        <x:f>I115-I116</x:f>
        <x:v>2022.7349499625864</x:v>
      </x:c>
      <x:c r="J117" s="14" t="n">
        <x:f>J115-J116</x:f>
        <x:v>2627.8139767275866</x:v>
      </x:c>
      <x:c r="K117" s="14" t="n">
        <x:f>K115-K116</x:f>
        <x:v>3311.9554534104086</x:v>
      </x:c>
      <x:c r="L117" s="14" t="n">
        <x:f>L115-L116</x:f>
        <x:v>3971.2814519998446</x:v>
      </x:c>
      <x:c r="M117" s="14" t="n">
        <x:f>M115-M116</x:f>
        <x:v>4622.03919558763</x:v>
      </x:c>
      <x:c r="N117" s="2"/>
      <x:c r="O117" s="2"/>
    </x:row>
    <x:row r="118" ht="20" customHeight="1">
      <x:c r="A118" s="2"/>
      <x:c r="B118" s="2"/>
      <x:c r="C118" s="24" t="str">
        <x:v>EPC EBIT margin</x:v>
      </x:c>
      <x:c r="D118" s="66" t="n">
        <x:f>D119/D106</x:f>
        <x:v>0.1487228106660686</x:v>
      </x:c>
      <x:c r="E118" s="66" t="n">
        <x:f>E119/E106</x:f>
        <x:v>0.12059960829608797</x:v>
      </x:c>
      <x:c r="F118" s="66" t="n">
        <x:f>F119/F106</x:f>
        <x:v>0.11459017158502248</x:v>
      </x:c>
      <x:c r="G118" s="66" t="n">
        <x:f>G119/G106</x:f>
        <x:v>0.09412063844054858</x:v>
      </x:c>
      <x:c r="H118" s="66" t="n">
        <x:f>H119/H106</x:f>
        <x:v>0.09934017243365721</x:v>
      </x:c>
      <x:c r="I118" s="26" t="n">
        <x:f>'02_Drivers+Scenarios'!I44</x:f>
        <x:v>0.085</x:v>
      </x:c>
      <x:c r="J118" s="26" t="n">
        <x:f>'02_Drivers+Scenarios'!J44</x:f>
        <x:v>0.085</x:v>
      </x:c>
      <x:c r="K118" s="26" t="n">
        <x:f>'02_Drivers+Scenarios'!K44</x:f>
        <x:v>0.085</x:v>
      </x:c>
      <x:c r="L118" s="26" t="n">
        <x:f>'02_Drivers+Scenarios'!L44</x:f>
        <x:v>0.085</x:v>
      </x:c>
      <x:c r="M118" s="26" t="n">
        <x:f>'02_Drivers+Scenarios'!M44</x:f>
        <x:v>0.085</x:v>
      </x:c>
      <x:c r="N118" s="2"/>
      <x:c r="O118" s="2"/>
    </x:row>
    <x:row r="119" ht="20" customHeight="1">
      <x:c r="A119" s="2"/>
      <x:c r="B119" s="2"/>
      <x:c r="C119" s="2" t="str">
        <x:v>EPC EBIT</x:v>
      </x:c>
      <x:c r="D119" s="22" t="n">
        <x:f>'01_Historical+Segments'!D349</x:f>
        <x:v>437.66</x:v>
      </x:c>
      <x:c r="E119" s="22" t="n">
        <x:f>'01_Historical+Segments'!E349</x:f>
        <x:v>432.27</x:v>
      </x:c>
      <x:c r="F119" s="22" t="n">
        <x:f>'01_Historical+Segments'!F349</x:f>
        <x:v>1104.93</x:v>
      </x:c>
      <x:c r="G119" s="22" t="n">
        <x:f>'01_Historical+Segments'!G349</x:f>
        <x:v>1806.4</x:v>
      </x:c>
      <x:c r="H119" s="22" t="n">
        <x:f>'01_Historical+Segments'!H349</x:f>
        <x:v>1655.5</x:v>
      </x:c>
      <x:c r="I119" s="14" t="n">
        <x:f>I106*I118</x:f>
        <x:v>1416.5216</x:v>
      </x:c>
      <x:c r="J119" s="14" t="n">
        <x:f>J106*J118</x:f>
        <x:v>1529.8433280000002</x:v>
      </x:c>
      <x:c r="K119" s="14" t="n">
        <x:f>K106*K118</x:f>
        <x:v>1652.2307942400003</x:v>
      </x:c>
      <x:c r="L119" s="14" t="n">
        <x:f>L106*L118</x:f>
        <x:v>1751.3646418944002</x:v>
      </x:c>
      <x:c r="M119" s="14" t="n">
        <x:f>M106*M118</x:f>
        <x:v>1838.9328739891205</x:v>
      </x:c>
      <x:c r="N119" s="2"/>
      <x:c r="O119" s="2"/>
    </x:row>
    <x:row r="120" ht="20" customHeight="1">
      <x:c r="A120" s="2"/>
      <x:c r="B120" s="2"/>
      <x:c r="C120" s="2" t="str">
        <x:v>EPC depreciation</x:v>
      </x:c>
      <x:c r="D120" s="22" t="n">
        <x:f>'01_Historical+Segments'!D352</x:f>
        <x:v>28.71</x:v>
      </x:c>
      <x:c r="E120" s="22" t="n">
        <x:f>'01_Historical+Segments'!E352</x:f>
        <x:v>31.18</x:v>
      </x:c>
      <x:c r="F120" s="22" t="n">
        <x:f>'01_Historical+Segments'!F352</x:f>
        <x:v>39.48</x:v>
      </x:c>
      <x:c r="G120" s="22" t="n">
        <x:f>'01_Historical+Segments'!G352</x:f>
        <x:v>13.68</x:v>
      </x:c>
      <x:c r="H120" s="22" t="n">
        <x:f>'01_Historical+Segments'!H352</x:f>
        <x:v>55.68</x:v>
      </x:c>
      <x:c r="I120" s="22" t="n">
        <x:f>I200*'01_Historical+Segments'!H352/'01_Historical+Segments'!H151</x:f>
        <x:v>77.32510301561436</x:v>
      </x:c>
      <x:c r="J120" s="22" t="n">
        <x:f>J200*'01_Historical+Segments'!H352/'01_Historical+Segments'!H151</x:f>
        <x:v>95.48421282231028</x:v>
      </x:c>
      <x:c r="K120" s="22" t="n">
        <x:f>K200*'01_Historical+Segments'!H352/'01_Historical+Segments'!H151</x:f>
        <x:v>107.9758308642147</x:v>
      </x:c>
      <x:c r="L120" s="22" t="n">
        <x:f>L200*'01_Historical+Segments'!H352/'01_Historical+Segments'!H151</x:f>
        <x:v>119.05570859470423</x:v>
      </x:c>
      <x:c r="M120" s="22" t="n">
        <x:f>M200*'01_Historical+Segments'!H352/'01_Historical+Segments'!H151</x:f>
        <x:v>129.6307704071888</x:v>
      </x:c>
      <x:c r="N120" s="2"/>
      <x:c r="O120" s="2"/>
    </x:row>
    <x:row r="121" ht="20" customHeight="1">
      <x:c r="A121" s="2"/>
      <x:c r="B121" s="2"/>
      <x:c r="C121" s="47" t="str">
        <x:v>Segment EBIT less non-finance income</x:v>
      </x:c>
      <x:c r="D121" s="56" t="n">
        <x:f>D113+D117+D119-D108</x:f>
        <x:v>10636.789999999999</x:v>
      </x:c>
      <x:c r="E121" s="56" t="n">
        <x:f>E113+E117+E119-E108</x:f>
        <x:v>16429.510000000002</x:v>
      </x:c>
      <x:c r="F121" s="56" t="n">
        <x:f>F113+F117+F119-F108</x:f>
        <x:v>22467.65</x:v>
      </x:c>
      <x:c r="G121" s="56" t="n">
        <x:f>G113+G117+G119-G108</x:f>
        <x:v>26621.370000000003</x:v>
      </x:c>
      <x:c r="H121" s="56" t="n">
        <x:f>H113+H117+H119-H108</x:f>
        <x:v>36198.59</x:v>
      </x:c>
      <x:c r="I121" s="56" t="n">
        <x:f>I113+I117+I119-I108</x:f>
        <x:v>41874.188584998905</x:v>
      </x:c>
      <x:c r="J121" s="56" t="n">
        <x:f>J113+J117+J119-J108</x:f>
        <x:v>47588.372278047624</x:v>
      </x:c>
      <x:c r="K121" s="56" t="n">
        <x:f>K113+K117+K119-K108</x:f>
        <x:v>53863.03120461331</x:v>
      </x:c>
      <x:c r="L121" s="56" t="n">
        <x:f>L113+L117+L119-L108</x:f>
        <x:v>60140.81475564789</x:v>
      </x:c>
      <x:c r="M121" s="56" t="n">
        <x:f>M113+M117+M119-M108</x:f>
        <x:v>68776.18276938087</x:v>
      </x:c>
      <x:c r="N121" s="2"/>
      <x:c r="O121" s="2"/>
    </x:row>
    <x:row r="122" ht="20" customHeight="1">
      <x:c r="A122" s="2"/>
      <x:c r="B122" s="2"/>
      <x:c r="C122" s="24" t="str">
        <x:v>Exports / consolidated revenue</x:v>
      </x:c>
      <x:c r="D122" s="66" t="n">
        <x:f>D103/D9</x:f>
        <x:v>0.07562635813664328</x:v>
      </x:c>
      <x:c r="E122" s="66" t="n">
        <x:f>E103/E9</x:f>
        <x:v>0.09806810115668109</x:v>
      </x:c>
      <x:c r="F122" s="66" t="n">
        <x:f>F103/F9</x:f>
        <x:v>0.0796011783955204</x:v>
      </x:c>
      <x:c r="G122" s="66" t="n">
        <x:f>G103/G9</x:f>
        <x:v>0.060030668082867285</x:v>
      </x:c>
      <x:c r="H122" s="66" t="n">
        <x:f>H103/H9</x:f>
        <x:v>0.05433725599464226</x:v>
      </x:c>
      <x:c r="I122" s="66" t="n">
        <x:f>I103/I9</x:f>
        <x:v>0.050690487090236505</x:v>
      </x:c>
      <x:c r="J122" s="66" t="n">
        <x:f>J103/J9</x:f>
        <x:v>0.053490903638310904</x:v>
      </x:c>
      <x:c r="K122" s="66" t="n">
        <x:f>K103/K9</x:f>
        <x:v>0.0572011806844466</x:v>
      </x:c>
      <x:c r="L122" s="66" t="n">
        <x:f>L103/L9</x:f>
        <x:v>0.061916178946933985</x:v>
      </x:c>
      <x:c r="M122" s="66" t="n">
        <x:f>M103/M9</x:f>
        <x:v>0.06810985443304177</x:v>
      </x:c>
      <x:c r="N122" s="2"/>
      <x:c r="O122" s="2"/>
    </x:row>
    <x:row r="123" ht="44" customHeight="1">
      <x:c r="A123" s="2"/>
      <x:c r="B123" s="2"/>
      <x:c r="C123" s="24" t="str">
        <x:v>Indicative organised share index</x:v>
      </x:c>
      <x:c r="D123" s="26" t="n">
        <x:f>AVERAGE('01_Historical+Segments'!D365,'01_Historical+Segments'!D366)</x:f>
        <x:v>0.22999999999999998</x:v>
      </x:c>
      <x:c r="E123" s="26" t="n">
        <x:f>AVERAGE('01_Historical+Segments'!E365,'01_Historical+Segments'!E366)</x:f>
        <x:v>0.22999999999999998</x:v>
      </x:c>
      <x:c r="F123" s="26" t="n">
        <x:f>AVERAGE('01_Historical+Segments'!F365,'01_Historical+Segments'!F366)</x:f>
        <x:v>0.255</x:v>
      </x:c>
      <x:c r="G123" s="26" t="n">
        <x:f>AVERAGE('01_Historical+Segments'!G365,'01_Historical+Segments'!G366)</x:f>
        <x:v>0.265</x:v>
      </x:c>
      <x:c r="H123" s="26" t="n">
        <x:f>AVERAGE('01_Historical+Segments'!H365,'01_Historical+Segments'!H366)</x:f>
        <x:v>0.305</x:v>
      </x:c>
      <x:c r="I123" s="26" t="n">
        <x:f>H123*(1+I100)/(1+'02_Drivers+Scenarios'!I9)</x:f>
        <x:v>0.3260344827586207</x:v>
      </x:c>
      <x:c r="J123" s="26" t="n">
        <x:f>I123*(1+J100)/(1+'02_Drivers+Scenarios'!J9)</x:f>
        <x:v>0.34350061576354673</x:v>
      </x:c>
      <x:c r="K123" s="26" t="n">
        <x:f>J123*(1+K100)/(1+'02_Drivers+Scenarios'!K9)</x:f>
        <x:v>0.36052091654462337</x:v>
      </x:c>
      <x:c r="L123" s="26" t="n">
        <x:f>K123*(1+L100)/(1+'02_Drivers+Scenarios'!L9)</x:f>
        <x:v>0.3769082309330153</x:v>
      </x:c>
      <x:c r="M123" s="26" t="n">
        <x:f>L123*(1+M100)/(1+'02_Drivers+Scenarios'!M9)</x:f>
        <x:v>0.38718754632209745</x:v>
      </x:c>
      <x:c r="N123" s="2"/>
      <x:c r="O123" s="16" t="str">
        <x:v>Nominal relative-growth index starting at FY26 midpoint. Illustrative only: market definitions and product mix may change. Not a forecast of measured market share.</x:v>
      </x:c>
    </x:row>
    <x:row r="124" ht="24" customHeight="1">
      <x:c r="A124" s="2"/>
      <x:c r="B124" s="2"/>
      <x:c r="C124" s="11" t="str">
        <x:v>Working capital and operating capital</x:v>
      </x:c>
      <x:c r="D124" s="19"/>
      <x:c r="E124" s="19"/>
      <x:c r="F124" s="19"/>
      <x:c r="G124" s="19"/>
      <x:c r="H124" s="19"/>
      <x:c r="I124" s="19"/>
      <x:c r="J124" s="19"/>
      <x:c r="K124" s="19"/>
      <x:c r="L124" s="19"/>
      <x:c r="M124" s="19"/>
      <x:c r="N124" s="2"/>
      <x:c r="O124" s="2"/>
    </x:row>
    <x:row r="125" ht="20" customHeight="1">
      <x:c r="A125" s="2"/>
      <x:c r="B125" s="2"/>
      <x:c r="C125" s="2" t="str">
        <x:v>Closing current receivable days</x:v>
      </x:c>
      <x:c r="D125" s="22" t="n">
        <x:f>'01_Historical+Segments'!D413</x:f>
        <x:v>38.773605120585366</x:v>
      </x:c>
      <x:c r="E125" s="22" t="n">
        <x:f>'01_Historical+Segments'!E413</x:f>
        <x:v>32.25224695200052</x:v>
      </x:c>
      <x:c r="F125" s="22" t="n">
        <x:f>'01_Historical+Segments'!F413</x:f>
        <x:v>41.4202181065004</x:v>
      </x:c>
      <x:c r="G125" s="22" t="n">
        <x:f>'01_Historical+Segments'!G413</x:f>
        <x:v>42.28956548402372</x:v>
      </x:c>
      <x:c r="H125" s="22" t="n">
        <x:f>'01_Historical+Segments'!H413</x:f>
        <x:v>47.49563215245423</x:v>
      </x:c>
      <x:c r="I125" s="22" t="n">
        <x:f>'02_Drivers+Scenarios'!I54</x:f>
        <x:v>45</x:v>
      </x:c>
      <x:c r="J125" s="22" t="n">
        <x:f>'02_Drivers+Scenarios'!J54</x:f>
        <x:v>45</x:v>
      </x:c>
      <x:c r="K125" s="22" t="n">
        <x:f>'02_Drivers+Scenarios'!K54</x:f>
        <x:v>45</x:v>
      </x:c>
      <x:c r="L125" s="22" t="n">
        <x:f>'02_Drivers+Scenarios'!L54</x:f>
        <x:v>45</x:v>
      </x:c>
      <x:c r="M125" s="22" t="n">
        <x:f>'02_Drivers+Scenarios'!M54</x:f>
        <x:v>45</x:v>
      </x:c>
      <x:c r="N125" s="2"/>
      <x:c r="O125" s="2"/>
    </x:row>
    <x:row r="126" ht="20" customHeight="1">
      <x:c r="A126" s="2"/>
      <x:c r="B126" s="2"/>
      <x:c r="C126" s="2" t="str">
        <x:v>Closing inventory days</x:v>
      </x:c>
      <x:c r="D126" s="22" t="n">
        <x:f>'01_Historical+Segments'!D414</x:f>
        <x:v>84.81920942571877</x:v>
      </x:c>
      <x:c r="E126" s="22" t="n">
        <x:f>'01_Historical+Segments'!E414</x:f>
        <x:v>102.4893748354089</x:v>
      </x:c>
      <x:c r="F126" s="22" t="n">
        <x:f>'01_Historical+Segments'!F414</x:f>
        <x:v>101.00799748439435</x:v>
      </x:c>
      <x:c r="G126" s="22" t="n">
        <x:f>'01_Historical+Segments'!G414</x:f>
        <x:v>79.4041520893037</x:v>
      </x:c>
      <x:c r="H126" s="22" t="n">
        <x:f>'01_Historical+Segments'!H414</x:f>
        <x:v>94.02702079924853</x:v>
      </x:c>
      <x:c r="I126" s="22" t="n">
        <x:f>'02_Drivers+Scenarios'!I59</x:f>
        <x:v>92</x:v>
      </x:c>
      <x:c r="J126" s="22" t="n">
        <x:f>'02_Drivers+Scenarios'!J59</x:f>
        <x:v>92</x:v>
      </x:c>
      <x:c r="K126" s="22" t="n">
        <x:f>'02_Drivers+Scenarios'!K59</x:f>
        <x:v>92</x:v>
      </x:c>
      <x:c r="L126" s="22" t="n">
        <x:f>'02_Drivers+Scenarios'!L59</x:f>
        <x:v>92</x:v>
      </x:c>
      <x:c r="M126" s="22" t="n">
        <x:f>'02_Drivers+Scenarios'!M59</x:f>
        <x:v>92</x:v>
      </x:c>
      <x:c r="N126" s="2"/>
      <x:c r="O126" s="2"/>
    </x:row>
    <x:row r="127" ht="20" customHeight="1">
      <x:c r="A127" s="2"/>
      <x:c r="B127" s="2"/>
      <x:c r="C127" s="2" t="str">
        <x:v>Closing payable days excluding acceptances</x:v>
      </x:c>
      <x:c r="D127" s="22" t="n">
        <x:f>'01_Historical+Segments'!D415</x:f>
        <x:v>22.40646890935206</x:v>
      </x:c>
      <x:c r="E127" s="22" t="n">
        <x:f>'01_Historical+Segments'!E415</x:f>
        <x:v>28.019887172320995</x:v>
      </x:c>
      <x:c r="F127" s="22" t="n">
        <x:f>'01_Historical+Segments'!F415</x:f>
        <x:v>27.521667995326307</x:v>
      </x:c>
      <x:c r="G127" s="22" t="n">
        <x:f>'01_Historical+Segments'!G415</x:f>
        <x:v>31.002579436415843</x:v>
      </x:c>
      <x:c r="H127" s="22" t="n">
        <x:f>'01_Historical+Segments'!H415</x:f>
        <x:v>30.42254518977441</x:v>
      </x:c>
      <x:c r="I127" s="22" t="n">
        <x:f>'02_Drivers+Scenarios'!I64</x:f>
        <x:v>30</x:v>
      </x:c>
      <x:c r="J127" s="22" t="n">
        <x:f>'02_Drivers+Scenarios'!J64</x:f>
        <x:v>30</x:v>
      </x:c>
      <x:c r="K127" s="22" t="n">
        <x:f>'02_Drivers+Scenarios'!K64</x:f>
        <x:v>30</x:v>
      </x:c>
      <x:c r="L127" s="22" t="n">
        <x:f>'02_Drivers+Scenarios'!L64</x:f>
        <x:v>30</x:v>
      </x:c>
      <x:c r="M127" s="22" t="n">
        <x:f>'02_Drivers+Scenarios'!M64</x:f>
        <x:v>30</x:v>
      </x:c>
      <x:c r="N127" s="2"/>
      <x:c r="O127" s="2"/>
    </x:row>
    <x:row r="128" ht="20" customHeight="1">
      <x:c r="A128" s="2"/>
      <x:c r="B128" s="2"/>
      <x:c r="C128" s="2" t="str">
        <x:v>Funded closing cycle target</x:v>
      </x:c>
      <x:c r="D128" s="22" t="n">
        <x:f>'01_Historical+Segments'!D417</x:f>
        <x:v>76.64440325481266</x:v>
      </x:c>
      <x:c r="E128" s="22" t="n">
        <x:f>'01_Historical+Segments'!E417</x:f>
        <x:v>64.15629204958307</x:v>
      </x:c>
      <x:c r="F128" s="22" t="n">
        <x:f>'01_Historical+Segments'!F417</x:f>
        <x:v>63.731684164385676</x:v>
      </x:c>
      <x:c r="G128" s="22" t="n">
        <x:f>'01_Historical+Segments'!G417</x:f>
        <x:v>62.362227254799805</x:v>
      </x:c>
      <x:c r="H128" s="22" t="n">
        <x:f>'01_Historical+Segments'!H417</x:f>
        <x:v>38.95758119172133</x:v>
      </x:c>
      <x:c r="I128" s="22" t="n">
        <x:f>'02_Drivers+Scenarios'!I69</x:f>
        <x:v>63.731684164385676</x:v>
      </x:c>
      <x:c r="J128" s="22" t="n">
        <x:f>'02_Drivers+Scenarios'!J69</x:f>
        <x:v>63.731684164385676</x:v>
      </x:c>
      <x:c r="K128" s="22" t="n">
        <x:f>'02_Drivers+Scenarios'!K69</x:f>
        <x:v>63.731684164385676</x:v>
      </x:c>
      <x:c r="L128" s="22" t="n">
        <x:f>'02_Drivers+Scenarios'!L69</x:f>
        <x:v>63.731684164385676</x:v>
      </x:c>
      <x:c r="M128" s="22" t="n">
        <x:f>'02_Drivers+Scenarios'!M69</x:f>
        <x:v>63.731684164385676</x:v>
      </x:c>
      <x:c r="N128" s="2"/>
      <x:c r="O128" s="2"/>
    </x:row>
    <x:row r="129" ht="44" customHeight="1">
      <x:c r="A129" s="2"/>
      <x:c r="B129" s="2"/>
      <x:c r="C129" s="2" t="str">
        <x:v>Implied acceptance days</x:v>
      </x:c>
      <x:c r="D129" s="22" t="n">
        <x:f>'01_Historical+Segments'!D416</x:f>
        <x:v>24.54194238213942</x:v>
      </x:c>
      <x:c r="E129" s="22" t="n">
        <x:f>'01_Historical+Segments'!E416</x:f>
        <x:v>42.565442565505364</x:v>
      </x:c>
      <x:c r="F129" s="22" t="n">
        <x:f>'01_Historical+Segments'!F416</x:f>
        <x:v>51.174863431182764</x:v>
      </x:c>
      <x:c r="G129" s="22" t="n">
        <x:f>'01_Historical+Segments'!G416</x:f>
        <x:v>28.32891088211176</x:v>
      </x:c>
      <x:c r="H129" s="22" t="n">
        <x:f>'01_Historical+Segments'!H416</x:f>
        <x:v>72.14252657020701</x:v>
      </x:c>
      <x:c r="I129" s="14" t="n">
        <x:f>I125+I126-I127-I128</x:f>
        <x:v>43.268315835614324</x:v>
      </x:c>
      <x:c r="J129" s="14" t="n">
        <x:f>J125+J126-J127-J128</x:f>
        <x:v>43.268315835614324</x:v>
      </x:c>
      <x:c r="K129" s="14" t="n">
        <x:f>K125+K126-K127-K128</x:f>
        <x:v>43.268315835614324</x:v>
      </x:c>
      <x:c r="L129" s="14" t="n">
        <x:f>L125+L126-L127-L128</x:f>
        <x:v>43.268315835614324</x:v>
      </x:c>
      <x:c r="M129" s="14" t="n">
        <x:f>M125+M126-M127-M128</x:f>
        <x:v>43.268315835614324</x:v>
      </x:c>
      <x:c r="N129" s="2"/>
      <x:c r="O129" s="16" t="str">
        <x:v>Acceptance days = DSO + DIO - ordinary DPO - model closing target. Base target uses FY23–FY25 median; company 45–50 day range is not directly comparable.</x:v>
      </x:c>
    </x:row>
    <x:row r="130" ht="20" customHeight="1">
      <x:c r="A130" s="2"/>
      <x:c r="B130" s="2"/>
      <x:c r="C130" s="47" t="str">
        <x:v>Operating NWC excluding financing/tax</x:v>
      </x:c>
      <x:c r="D130" s="56" t="n">
        <x:f>SUM(D33:D36)-D48-D49</x:f>
        <x:v>30749.670000000002</x:v>
      </x:c>
      <x:c r="E130" s="56" t="n">
        <x:f>SUM(E33:E36)-E48-E49</x:f>
        <x:v>36901.509999999995</x:v>
      </x:c>
      <x:c r="F130" s="56" t="n">
        <x:f>SUM(F33:F36)-F48-F49</x:f>
        <x:v>51441.63</x:v>
      </x:c>
      <x:c r="G130" s="56" t="n">
        <x:f>SUM(G33:G36)-G48-G49</x:f>
        <x:v>51736.409999999996</x:v>
      </x:c>
      <x:c r="H130" s="56" t="n">
        <x:f>SUM(H33:H36)-H48-H49</x:f>
        <x:v>74815.14000000001</x:v>
      </x:c>
      <x:c r="I130" s="56" t="n">
        <x:f>SUM(I33:I36)-I48-I49</x:f>
        <x:v>95285.84103359577</x:v>
      </x:c>
      <x:c r="J130" s="56" t="n">
        <x:f>SUM(J33:J36)-J48-J49</x:f>
        <x:v>112403.46396731841</x:v>
      </x:c>
      <x:c r="K130" s="56" t="n">
        <x:f>SUM(K33:K36)-K48-K49</x:f>
        <x:v>130960.6818120048</x:v>
      </x:c>
      <x:c r="L130" s="56" t="n">
        <x:f>SUM(L33:L36)-L48-L49</x:f>
        <x:v>150739.62495984533</x:v>
      </x:c>
      <x:c r="M130" s="56" t="n">
        <x:f>SUM(M33:M36)-M48-M49</x:f>
        <x:v>170811.90605035375</x:v>
      </x:c>
      <x:c r="N130" s="2"/>
      <x:c r="O130" s="2"/>
    </x:row>
    <x:row r="131" ht="20" customHeight="1">
      <x:c r="A131" s="2"/>
      <x:c r="B131" s="2"/>
      <x:c r="C131" s="2" t="str">
        <x:v>Increase in operating NWC</x:v>
      </x:c>
      <x:c r="D131" s="3" t="str">
        <x:v>n.a.</x:v>
      </x:c>
      <x:c r="E131" s="14" t="n">
        <x:f>E130-D130</x:f>
        <x:v>6151.839999999993</x:v>
      </x:c>
      <x:c r="F131" s="14" t="n">
        <x:f>F130-E130</x:f>
        <x:v>14540.120000000003</x:v>
      </x:c>
      <x:c r="G131" s="14" t="n">
        <x:f>G130-F130</x:f>
        <x:v>294.77999999999884</x:v>
      </x:c>
      <x:c r="H131" s="14" t="n">
        <x:f>H130-G130</x:f>
        <x:v>23078.730000000018</x:v>
      </x:c>
      <x:c r="I131" s="14" t="n">
        <x:f>I130-H130</x:f>
        <x:v>20470.70103359576</x:v>
      </x:c>
      <x:c r="J131" s="14" t="n">
        <x:f>J130-I130</x:f>
        <x:v>17117.62293372264</x:v>
      </x:c>
      <x:c r="K131" s="14" t="n">
        <x:f>K130-J130</x:f>
        <x:v>18557.217844686384</x:v>
      </x:c>
      <x:c r="L131" s="14" t="n">
        <x:f>L130-K130</x:f>
        <x:v>19778.94314784053</x:v>
      </x:c>
      <x:c r="M131" s="14" t="n">
        <x:f>M130-L130</x:f>
        <x:v>20072.28109050842</x:v>
      </x:c>
      <x:c r="N131" s="2"/>
      <x:c r="O131" s="2"/>
    </x:row>
    <x:row r="132" ht="20" customHeight="1">
      <x:c r="A132" s="2"/>
      <x:c r="B132" s="2"/>
      <x:c r="C132" s="47" t="str">
        <x:v>Operating capital including fixed assets</x:v>
      </x:c>
      <x:c r="D132" s="56" t="n">
        <x:f>D32+D130</x:f>
        <x:v>51255.40000000001</x:v>
      </x:c>
      <x:c r="E132" s="56" t="n">
        <x:f>E32+E130</x:f>
        <x:v>60078.579999999994</x:v>
      </x:c>
      <x:c r="F132" s="56" t="n">
        <x:f>F32+F130</x:f>
        <x:v>80601.29</x:v>
      </x:c>
      <x:c r="G132" s="56" t="n">
        <x:f>G32+G130</x:f>
        <x:v>88929.34999999999</x:v>
      </x:c>
      <x:c r="H132" s="56" t="n">
        <x:f>H32+H130</x:f>
        <x:v>123608.70000000001</x:v>
      </x:c>
      <x:c r="I132" s="56" t="n">
        <x:f>I32+I130</x:f>
        <x:v>152969.0997377028</x:v>
      </x:c>
      <x:c r="J132" s="56" t="n">
        <x:f>J32+J130</x:f>
        <x:v>177717.97354112155</x:v>
      </x:c>
      <x:c r="K132" s="56" t="n">
        <x:f>K32+K130</x:f>
        <x:v>203040.75831832524</x:v>
      </x:c>
      <x:c r="L132" s="56" t="n">
        <x:f>L32+L130</x:f>
        <x:v>228817.41973848437</x:v>
      </x:c>
      <x:c r="M132" s="56" t="n">
        <x:f>M32+M130</x:f>
        <x:v>255974.55478261143</x:v>
      </x:c>
      <x:c r="N132" s="2"/>
      <x:c r="O132" s="2"/>
    </x:row>
    <x:row r="133" ht="20" customHeight="1">
      <x:c r="A133" s="2"/>
      <x:c r="B133" s="2"/>
      <x:c r="C133" s="2"/>
      <x:c r="D133" s="3"/>
      <x:c r="E133" s="3"/>
      <x:c r="F133" s="3"/>
      <x:c r="G133" s="3"/>
      <x:c r="H133" s="3"/>
      <x:c r="I133" s="3"/>
      <x:c r="J133" s="3"/>
      <x:c r="K133" s="3"/>
      <x:c r="L133" s="3"/>
      <x:c r="M133" s="3"/>
      <x:c r="N133" s="2"/>
      <x:c r="O133" s="2"/>
    </x:row>
    <x:row r="134" ht="24" customHeight="1">
      <x:c r="A134" s="2"/>
      <x:c r="B134" s="2"/>
      <x:c r="C134" s="11" t="str">
        <x:v>Fixed assets and capital expenditure</x:v>
      </x:c>
      <x:c r="D134" s="19"/>
      <x:c r="E134" s="19"/>
      <x:c r="F134" s="19"/>
      <x:c r="G134" s="19"/>
      <x:c r="H134" s="19"/>
      <x:c r="I134" s="19"/>
      <x:c r="J134" s="19"/>
      <x:c r="K134" s="19"/>
      <x:c r="L134" s="19"/>
      <x:c r="M134" s="19"/>
      <x:c r="N134" s="2"/>
      <x:c r="O134" s="2"/>
    </x:row>
    <x:row r="135" ht="20" customHeight="1">
      <x:c r="A135" s="2"/>
      <x:c r="B135" s="2"/>
      <x:c r="C135" s="2" t="str">
        <x:v>Opening net fixed assets</x:v>
      </x:c>
      <x:c r="D135" s="22" t="n">
        <x:f>'01_Historical+Segments'!D457</x:f>
        <x:v>19686.5</x:v>
      </x:c>
      <x:c r="E135" s="22" t="n">
        <x:f>'01_Historical+Segments'!E457</x:f>
        <x:v>20505.730000000003</x:v>
      </x:c>
      <x:c r="F135" s="22" t="n">
        <x:f>'01_Historical+Segments'!F457</x:f>
        <x:v>23177.07</x:v>
      </x:c>
      <x:c r="G135" s="22" t="n">
        <x:f>'01_Historical+Segments'!G457</x:f>
        <x:v>29159.659999999996</x:v>
      </x:c>
      <x:c r="H135" s="22" t="n">
        <x:f>'01_Historical+Segments'!H457</x:f>
        <x:v>37192.939999999995</x:v>
      </x:c>
      <x:c r="I135" s="14" t="n">
        <x:f>H32</x:f>
        <x:v>48793.56</x:v>
      </x:c>
      <x:c r="J135" s="14" t="n">
        <x:f>I32</x:f>
        <x:v>57683.25870410702</x:v>
      </x:c>
      <x:c r="K135" s="14" t="n">
        <x:f>J32</x:f>
        <x:v>65314.50957380314</x:v>
      </x:c>
      <x:c r="L135" s="14" t="n">
        <x:f>K32</x:f>
        <x:v>72080.07650632045</x:v>
      </x:c>
      <x:c r="M135" s="14" t="n">
        <x:f>L32</x:f>
        <x:v>78077.79477863906</x:v>
      </x:c>
      <x:c r="N135" s="2"/>
      <x:c r="O135" s="2"/>
    </x:row>
    <x:row r="136" ht="20" customHeight="1">
      <x:c r="A136" s="2"/>
      <x:c r="B136" s="2"/>
      <x:c r="C136" s="2" t="str">
        <x:v>Gross cash additions</x:v>
      </x:c>
      <x:c r="D136" s="22" t="n">
        <x:f>'01_Historical+Segments'!D458</x:f>
        <x:v>5266.929999999999</x:v>
      </x:c>
      <x:c r="E136" s="22" t="n">
        <x:f>'01_Historical+Segments'!E458</x:f>
        <x:v>4794.53</x:v>
      </x:c>
      <x:c r="F136" s="22" t="n">
        <x:f>'01_Historical+Segments'!F458</x:f>
        <x:v>8585.189999999999</x:v>
      </x:c>
      <x:c r="G136" s="22" t="n">
        <x:f>'01_Historical+Segments'!G458</x:f>
        <x:v>9724.44</x:v>
      </x:c>
      <x:c r="H136" s="22" t="n">
        <x:f>'01_Historical+Segments'!H458</x:f>
        <x:v>14898.080000000002</x:v>
      </x:c>
      <x:c r="I136" s="14" t="n">
        <x:f>I89+I69</x:f>
        <x:v>14000</x:v>
      </x:c>
      <x:c r="J136" s="14" t="n">
        <x:f>J89+J69</x:f>
        <x:v>14000</x:v>
      </x:c>
      <x:c r="K136" s="14" t="n">
        <x:f>K89+K69</x:f>
        <x:v>14000</x:v>
      </x:c>
      <x:c r="L136" s="14" t="n">
        <x:f>L89+L69</x:f>
        <x:v>14000</x:v>
      </x:c>
      <x:c r="M136" s="14" t="n">
        <x:f>M89+M69</x:f>
        <x:v>15819.999999999998</x:v>
      </x:c>
      <x:c r="N136" s="2"/>
      <x:c r="O136" s="2"/>
    </x:row>
    <x:row r="137" ht="32" customHeight="1">
      <x:c r="A137" s="2"/>
      <x:c r="B137" s="2"/>
      <x:c r="C137" s="2" t="str">
        <x:v>New ROU assets</x:v>
      </x:c>
      <x:c r="D137" s="22" t="n">
        <x:f>'01_Historical+Segments'!D256</x:f>
        <x:v>194.23</x:v>
      </x:c>
      <x:c r="E137" s="22" t="n">
        <x:f>'01_Historical+Segments'!E256</x:f>
        <x:v>173.44</x:v>
      </x:c>
      <x:c r="F137" s="22" t="n">
        <x:f>'01_Historical+Segments'!F256</x:f>
        <x:v>572.56</x:v>
      </x:c>
      <x:c r="G137" s="22" t="n">
        <x:f>'01_Historical+Segments'!G256</x:f>
        <x:v>899.01</x:v>
      </x:c>
      <x:c r="H137" s="22" t="n">
        <x:f>'01_Historical+Segments'!H256</x:f>
        <x:v>429.11</x:v>
      </x:c>
      <x:c r="I137" s="22" t="n">
        <x:f>'02_Drivers+Scenarios'!I139</x:f>
        <x:v>248.42</x:v>
      </x:c>
      <x:c r="J137" s="22" t="n">
        <x:f>'02_Drivers+Scenarios'!J139</x:f>
        <x:v>248.42</x:v>
      </x:c>
      <x:c r="K137" s="22" t="n">
        <x:f>'02_Drivers+Scenarios'!K139</x:f>
        <x:v>248.42</x:v>
      </x:c>
      <x:c r="L137" s="22" t="n">
        <x:f>'02_Drivers+Scenarios'!L139</x:f>
        <x:v>248.42</x:v>
      </x:c>
      <x:c r="M137" s="22" t="n">
        <x:f>'02_Drivers+Scenarios'!M139</x:f>
        <x:v>248.42</x:v>
      </x:c>
      <x:c r="N137" s="2"/>
      <x:c r="O137" s="16" t="str">
        <x:v>Lease additions equal trailing principal payment. Treat leases as financing; FCFF deducts non-cash ROU capex and equity bridge deducts lease debt.</x:v>
      </x:c>
    </x:row>
    <x:row r="138" ht="20" customHeight="1">
      <x:c r="A138" s="2"/>
      <x:c r="B138" s="2"/>
      <x:c r="C138" s="2" t="str">
        <x:v>Depreciation and amortisation</x:v>
      </x:c>
      <x:c r="D138" s="22" t="n">
        <x:f>'01_Historical+Segments'!D151</x:f>
        <x:v>2015.19</x:v>
      </x:c>
      <x:c r="E138" s="22" t="n">
        <x:f>'01_Historical+Segments'!E151</x:f>
        <x:v>2091.64</x:v>
      </x:c>
      <x:c r="F138" s="22" t="n">
        <x:f>'01_Historical+Segments'!F151</x:f>
        <x:v>2450.4</x:v>
      </x:c>
      <x:c r="G138" s="22" t="n">
        <x:f>'01_Historical+Segments'!G151</x:f>
        <x:v>2981.03</x:v>
      </x:c>
      <x:c r="H138" s="22" t="n">
        <x:f>'01_Historical+Segments'!H151</x:f>
        <x:v>3858.69</x:v>
      </x:c>
      <x:c r="I138" s="14" t="n">
        <x:f>I14</x:f>
        <x:v>5358.721295892978</x:v>
      </x:c>
      <x:c r="J138" s="14" t="n">
        <x:f>J14</x:f>
        <x:v>6617.169130303889</x:v>
      </x:c>
      <x:c r="K138" s="14" t="n">
        <x:f>K14</x:f>
        <x:v>7482.853067482698</x:v>
      </x:c>
      <x:c r="L138" s="14" t="n">
        <x:f>L14</x:f>
        <x:v>8250.70172768138</x:v>
      </x:c>
      <x:c r="M138" s="14" t="n">
        <x:f>M14</x:f>
        <x:v>8983.566046381382</x:v>
      </x:c>
      <x:c r="N138" s="2"/>
      <x:c r="O138" s="2"/>
    </x:row>
    <x:row r="139" ht="32" customHeight="1">
      <x:c r="A139" s="2"/>
      <x:c r="B139" s="2"/>
      <x:c r="C139" s="2" t="str">
        <x:v>Other book changes, historical only</x:v>
      </x:c>
      <x:c r="D139" s="22" t="n">
        <x:f>'01_Historical+Segments'!D462-'01_Historical+Segments'!D256</x:f>
        <x:v>-2626.739999999996</x:v>
      </x:c>
      <x:c r="E139" s="22" t="n">
        <x:f>'01_Historical+Segments'!E462-'01_Historical+Segments'!E256</x:f>
        <x:v>-204.99000000000336</x:v>
      </x:c>
      <x:c r="F139" s="22" t="n">
        <x:f>'01_Historical+Segments'!F462-'01_Historical+Segments'!F256</x:f>
        <x:v>-724.760000000002</x:v>
      </x:c>
      <x:c r="G139" s="22" t="n">
        <x:f>'01_Historical+Segments'!G462-'01_Historical+Segments'!G256</x:f>
        <x:v>390.85999999999854</x:v>
      </x:c>
      <x:c r="H139" s="22" t="n">
        <x:f>'01_Historical+Segments'!H462-'01_Historical+Segments'!H256</x:f>
        <x:v>132.1200000000009</x:v>
      </x:c>
      <x:c r="I139" s="17" t="n">
        <x:v>0</x:v>
      </x:c>
      <x:c r="J139" s="17" t="n">
        <x:v>0</x:v>
      </x:c>
      <x:c r="K139" s="17" t="n">
        <x:v>0</x:v>
      </x:c>
      <x:c r="L139" s="17" t="n">
        <x:v>0</x:v>
      </x:c>
      <x:c r="M139" s="17" t="n">
        <x:v>0</x:v>
      </x:c>
      <x:c r="N139" s="2"/>
      <x:c r="O139" s="16" t="str">
        <x:v>Historical cash-to-book residual retained. Forecast zero for unannounced grants, acquisitions and disposals; no balancing plug.</x:v>
      </x:c>
    </x:row>
    <x:row r="140" ht="20" customHeight="1">
      <x:c r="A140" s="2"/>
      <x:c r="B140" s="2"/>
      <x:c r="C140" s="47" t="str">
        <x:v>Closing net fixed assets</x:v>
      </x:c>
      <x:c r="D140" s="63" t="n">
        <x:f>'01_Historical+Segments'!D463</x:f>
        <x:v>20505.730000000007</x:v>
      </x:c>
      <x:c r="E140" s="63" t="n">
        <x:f>'01_Historical+Segments'!E463</x:f>
        <x:v>23177.07</x:v>
      </x:c>
      <x:c r="F140" s="63" t="n">
        <x:f>'01_Historical+Segments'!F463</x:f>
        <x:v>29159.659999999996</x:v>
      </x:c>
      <x:c r="G140" s="63" t="n">
        <x:f>'01_Historical+Segments'!G463</x:f>
        <x:v>37192.939999999995</x:v>
      </x:c>
      <x:c r="H140" s="63" t="n">
        <x:f>'01_Historical+Segments'!H463</x:f>
        <x:v>48793.56</x:v>
      </x:c>
      <x:c r="I140" s="56" t="n">
        <x:f>I135+I136+I137-I138+I139</x:f>
        <x:v>57683.25870410702</x:v>
      </x:c>
      <x:c r="J140" s="56" t="n">
        <x:f>J135+J136+J137-J138+J139</x:f>
        <x:v>65314.50957380313</x:v>
      </x:c>
      <x:c r="K140" s="56" t="n">
        <x:f>K135+K136+K137-K138+K139</x:f>
        <x:v>72080.07650632045</x:v>
      </x:c>
      <x:c r="L140" s="56" t="n">
        <x:f>L135+L136+L137-L138+L139</x:f>
        <x:v>78077.79477863906</x:v>
      </x:c>
      <x:c r="M140" s="56" t="n">
        <x:f>M135+M136+M137-M138+M139</x:f>
        <x:v>85162.64873225767</x:v>
      </x:c>
      <x:c r="N140" s="2"/>
      <x:c r="O140" s="2"/>
    </x:row>
    <x:row r="141" ht="20" customHeight="1">
      <x:c r="A141" s="2"/>
      <x:c r="B141" s="2"/>
      <x:c r="C141" s="2" t="str">
        <x:v>Fixed-asset reconciliation difference</x:v>
      </x:c>
      <x:c r="D141" s="67" t="n">
        <x:f>D140-D32</x:f>
        <x:v>3.637978807091713e-12</x:v>
      </x:c>
      <x:c r="E141" s="67" t="n">
        <x:f>E140-E32</x:f>
        <x:v>0</x:v>
      </x:c>
      <x:c r="F141" s="67" t="n">
        <x:f>F140-F32</x:f>
        <x:v>0</x:v>
      </x:c>
      <x:c r="G141" s="67" t="n">
        <x:f>G140-G32</x:f>
        <x:v>0</x:v>
      </x:c>
      <x:c r="H141" s="67" t="n">
        <x:f>H140-H32</x:f>
        <x:v>0</x:v>
      </x:c>
      <x:c r="I141" s="67" t="n">
        <x:f>I140-I32</x:f>
        <x:v>0</x:v>
      </x:c>
      <x:c r="J141" s="67" t="n">
        <x:f>J140-J32</x:f>
        <x:v>-7.275957614183426e-12</x:v>
      </x:c>
      <x:c r="K141" s="67" t="n">
        <x:f>K140-K32</x:f>
        <x:v>0</x:v>
      </x:c>
      <x:c r="L141" s="67" t="n">
        <x:f>L140-L32</x:f>
        <x:v>0</x:v>
      </x:c>
      <x:c r="M141" s="67" t="n">
        <x:f>M140-M32</x:f>
        <x:v>-1.4551915228366852e-11</x:v>
      </x:c>
      <x:c r="N141" s="2"/>
      <x:c r="O141" s="2"/>
    </x:row>
    <x:row r="142" ht="20" customHeight="1">
      <x:c r="A142" s="2"/>
      <x:c r="B142" s="2"/>
      <x:c r="C142" s="2"/>
      <x:c r="D142" s="3"/>
      <x:c r="E142" s="3"/>
      <x:c r="F142" s="3"/>
      <x:c r="G142" s="3"/>
      <x:c r="H142" s="3"/>
      <x:c r="I142" s="3"/>
      <x:c r="J142" s="3"/>
      <x:c r="K142" s="3"/>
      <x:c r="L142" s="3"/>
      <x:c r="M142" s="3"/>
      <x:c r="N142" s="2"/>
      <x:c r="O142" s="2"/>
    </x:row>
    <x:row r="143" ht="20" customHeight="1">
      <x:c r="A143" s="2"/>
      <x:c r="B143" s="2"/>
      <x:c r="C143" s="2"/>
      <x:c r="D143" s="3"/>
      <x:c r="E143" s="3"/>
      <x:c r="F143" s="3"/>
      <x:c r="G143" s="3"/>
      <x:c r="H143" s="3"/>
      <x:c r="I143" s="3"/>
      <x:c r="J143" s="3"/>
      <x:c r="K143" s="3"/>
      <x:c r="L143" s="3"/>
      <x:c r="M143" s="3"/>
      <x:c r="N143" s="2"/>
      <x:c r="O143" s="2"/>
    </x:row>
    <x:row r="144" ht="24" customHeight="1">
      <x:c r="A144" s="2"/>
      <x:c r="B144" s="2"/>
      <x:c r="C144" s="11" t="str">
        <x:v>Quarterly forecast and export-target checks</x:v>
      </x:c>
      <x:c r="D144" s="19"/>
      <x:c r="E144" s="19"/>
      <x:c r="F144" s="19"/>
      <x:c r="G144" s="19"/>
      <x:c r="H144" s="19"/>
      <x:c r="I144" s="19"/>
      <x:c r="J144" s="19"/>
      <x:c r="K144" s="19"/>
      <x:c r="L144" s="19"/>
      <x:c r="M144" s="19"/>
      <x:c r="N144" s="2"/>
      <x:c r="O144" s="2"/>
    </x:row>
    <x:row r="145" ht="20" customHeight="1">
      <x:c r="A145" s="2"/>
      <x:c r="B145" s="2"/>
      <x:c r="C145" s="24" t="str">
        <x:v>Q2–Q4 consolidated growth implied</x:v>
      </x:c>
      <x:c r="D145" s="25"/>
      <x:c r="E145" s="25"/>
      <x:c r="F145" s="25"/>
      <x:c r="G145" s="25"/>
      <x:c r="H145" s="25"/>
      <x:c r="I145" s="26" t="n">
        <x:f>(I9-'00_Cover+Sources'!E111)/(H9-'00_Cover+Sources'!D111)-1</x:f>
        <x:v>0.19229507429554737</x:v>
      </x:c>
      <x:c r="J145" s="25"/>
      <x:c r="K145" s="25"/>
      <x:c r="L145" s="25"/>
      <x:c r="M145" s="25"/>
      <x:c r="N145" s="2"/>
      <x:c r="O145" s="2"/>
    </x:row>
    <x:row r="146" ht="20" customHeight="1">
      <x:c r="A146" s="2"/>
      <x:c r="B146" s="2"/>
      <x:c r="C146" s="24" t="str">
        <x:v>Q2–Q4 FMEG growth implied</x:v>
      </x:c>
      <x:c r="D146" s="25"/>
      <x:c r="E146" s="25"/>
      <x:c r="F146" s="25"/>
      <x:c r="G146" s="25"/>
      <x:c r="H146" s="25"/>
      <x:c r="I146" s="26" t="n">
        <x:f>(I105-'00_Cover+Sources'!E112)/(H105-'00_Cover+Sources'!D112)-1</x:f>
        <x:v>0.31564762958381887</x:v>
      </x:c>
      <x:c r="J146" s="25"/>
      <x:c r="K146" s="25"/>
      <x:c r="L146" s="25"/>
      <x:c r="M146" s="25"/>
      <x:c r="N146" s="2"/>
      <x:c r="O146" s="2"/>
    </x:row>
    <x:row r="147" ht="20" customHeight="1">
      <x:c r="A147" s="2"/>
      <x:c r="B147" s="2"/>
      <x:c r="C147" s="24" t="str">
        <x:v>Q2–Q4 export growth implied</x:v>
      </x:c>
      <x:c r="D147" s="25"/>
      <x:c r="E147" s="25"/>
      <x:c r="F147" s="25"/>
      <x:c r="G147" s="25"/>
      <x:c r="H147" s="25"/>
      <x:c r="I147" s="26" t="n">
        <x:f>(I103-'00_Cover+Sources'!E113)/(H103-'00_Cover+Sources'!D113)-1</x:f>
        <x:v>0.21721330160855978</x:v>
      </x:c>
      <x:c r="J147" s="25"/>
      <x:c r="K147" s="25"/>
      <x:c r="L147" s="25"/>
      <x:c r="M147" s="25"/>
      <x:c r="N147" s="2"/>
      <x:c r="O147" s="2"/>
    </x:row>
    <x:row r="148" ht="32" customHeight="1">
      <x:c r="A148" s="2"/>
      <x:c r="B148" s="2"/>
      <x:c r="C148" s="24" t="str">
        <x:v>FY30 export mix target floor</x:v>
      </x:c>
      <x:c r="D148" s="25"/>
      <x:c r="E148" s="25"/>
      <x:c r="F148" s="25"/>
      <x:c r="G148" s="25"/>
      <x:c r="H148" s="25"/>
      <x:c r="I148" s="25"/>
      <x:c r="J148" s="25"/>
      <x:c r="K148" s="25"/>
      <x:c r="L148" s="39" t="n">
        <x:v>0.1</x:v>
      </x:c>
      <x:c r="M148" s="25"/>
      <x:c r="N148" s="2"/>
      <x:c r="O148" s="16" t="str">
        <x:v>Spring ambition is greater than 10% by FY30. This uses 10% as a floor, so required export growth is a lower bound.</x:v>
      </x:c>
    </x:row>
    <x:row r="149" ht="20" customHeight="1">
      <x:c r="A149" s="2"/>
      <x:c r="B149" s="2"/>
      <x:c r="C149" s="2" t="str">
        <x:v>Export income required at target mix</x:v>
      </x:c>
      <x:c r="D149" s="3"/>
      <x:c r="E149" s="3"/>
      <x:c r="F149" s="3"/>
      <x:c r="G149" s="3"/>
      <x:c r="H149" s="3"/>
      <x:c r="I149" s="3"/>
      <x:c r="J149" s="3"/>
      <x:c r="K149" s="3"/>
      <x:c r="L149" s="22" t="n">
        <x:f>L148*(L101+L105+L106)*(1-'02_Drivers+Scenarios'!L79)/(1-L148*(1-'02_Drivers+Scenarios'!L79))</x:f>
        <x:v>59340.860358145095</x:v>
      </x:c>
      <x:c r="M149" s="3"/>
      <x:c r="N149" s="2"/>
      <x:c r="O149" s="2"/>
    </x:row>
    <x:row r="150" ht="20" customHeight="1">
      <x:c r="A150" s="2"/>
      <x:c r="B150" s="2"/>
      <x:c r="C150" s="24" t="str">
        <x:v>FY26–FY30 export CAGR required</x:v>
      </x:c>
      <x:c r="D150" s="25"/>
      <x:c r="E150" s="25"/>
      <x:c r="F150" s="25"/>
      <x:c r="G150" s="25"/>
      <x:c r="H150" s="25"/>
      <x:c r="I150" s="25"/>
      <x:c r="J150" s="25"/>
      <x:c r="K150" s="25"/>
      <x:c r="L150" s="66" t="n">
        <x:f>(L149/H103)^(1/4)-1</x:f>
        <x:v>0.3944420855592765</x:v>
      </x:c>
      <x:c r="M150" s="25"/>
      <x:c r="N150" s="2"/>
      <x:c r="O150" s="2"/>
    </x:row>
    <x:row r="151" ht="20" customHeight="1">
      <x:c r="A151" s="2"/>
      <x:c r="B151" s="2"/>
      <x:c r="C151" s="24" t="str">
        <x:v>Forecast export mix less target floor</x:v>
      </x:c>
      <x:c r="D151" s="25"/>
      <x:c r="E151" s="25"/>
      <x:c r="F151" s="25"/>
      <x:c r="G151" s="25"/>
      <x:c r="H151" s="25"/>
      <x:c r="I151" s="25"/>
      <x:c r="J151" s="25"/>
      <x:c r="K151" s="25"/>
      <x:c r="L151" s="66" t="n">
        <x:f>L122-L148</x:f>
        <x:v>-0.03808382105306602</x:v>
      </x:c>
      <x:c r="M151" s="25"/>
      <x:c r="N151" s="2"/>
      <x:c r="O151" s="2"/>
    </x:row>
    <x:row r="152" ht="20" customHeight="1">
      <x:c r="A152" s="2"/>
      <x:c r="B152" s="2"/>
      <x:c r="C152" s="2"/>
      <x:c r="D152" s="3"/>
      <x:c r="E152" s="3"/>
      <x:c r="F152" s="3"/>
      <x:c r="G152" s="3"/>
      <x:c r="H152" s="3"/>
      <x:c r="I152" s="3"/>
      <x:c r="J152" s="3"/>
      <x:c r="K152" s="3"/>
      <x:c r="L152" s="3"/>
      <x:c r="M152" s="3"/>
      <x:c r="N152" s="2"/>
      <x:c r="O152" s="2"/>
    </x:row>
    <x:row r="153" ht="20" customHeight="1">
      <x:c r="A153" s="2"/>
      <x:c r="B153" s="2"/>
      <x:c r="C153" s="2"/>
      <x:c r="D153" s="3"/>
      <x:c r="E153" s="3"/>
      <x:c r="F153" s="3"/>
      <x:c r="G153" s="3"/>
      <x:c r="H153" s="3"/>
      <x:c r="I153" s="3"/>
      <x:c r="J153" s="3"/>
      <x:c r="K153" s="3"/>
      <x:c r="L153" s="3"/>
      <x:c r="M153" s="3"/>
      <x:c r="N153" s="2"/>
      <x:c r="O153" s="2"/>
    </x:row>
    <x:row r="154" ht="24" customHeight="1">
      <x:c r="A154" s="2"/>
      <x:c r="B154" s="2"/>
      <x:c r="C154" s="80" t="str">
        <x:v>Cash, bank balances and current investments</x:v>
      </x:c>
      <x:c r="D154" s="81"/>
      <x:c r="E154" s="81"/>
      <x:c r="F154" s="81"/>
      <x:c r="G154" s="81"/>
      <x:c r="H154" s="81"/>
      <x:c r="I154" s="81"/>
      <x:c r="J154" s="81"/>
      <x:c r="K154" s="81"/>
      <x:c r="L154" s="81"/>
      <x:c r="M154" s="81"/>
      <x:c r="N154" s="2"/>
      <x:c r="O154" s="2"/>
    </x:row>
    <x:row r="155" ht="20" customHeight="1">
      <x:c r="A155" s="2"/>
      <x:c r="B155" s="2"/>
      <x:c r="C155" s="2"/>
      <x:c r="D155" s="3"/>
      <x:c r="E155" s="3"/>
      <x:c r="F155" s="3"/>
      <x:c r="G155" s="3"/>
      <x:c r="H155" s="3"/>
      <x:c r="I155" s="3"/>
      <x:c r="J155" s="3"/>
      <x:c r="K155" s="3"/>
      <x:c r="L155" s="3"/>
      <x:c r="M155" s="3"/>
      <x:c r="N155" s="2"/>
      <x:c r="O155" s="2"/>
    </x:row>
    <x:row r="156" ht="20" customHeight="1">
      <x:c r="A156" s="2"/>
      <x:c r="B156" s="2"/>
      <x:c r="C156" s="2" t="str">
        <x:v>Cash and cash equivalents</x:v>
      </x:c>
      <x:c r="D156" s="22" t="n">
        <x:f>'01_Historical+Segments'!D184</x:f>
        <x:v>1216.91</x:v>
      </x:c>
      <x:c r="E156" s="22" t="n">
        <x:f>'01_Historical+Segments'!E184</x:f>
        <x:v>1527.52</x:v>
      </x:c>
      <x:c r="F156" s="22" t="n">
        <x:f>'01_Historical+Segments'!F184</x:f>
        <x:v>3070.31</x:v>
      </x:c>
      <x:c r="G156" s="22" t="n">
        <x:f>'01_Historical+Segments'!G184</x:f>
        <x:v>2173.87</x:v>
      </x:c>
      <x:c r="H156" s="22" t="n">
        <x:f>'01_Historical+Segments'!H184</x:f>
        <x:v>3903.43</x:v>
      </x:c>
      <x:c r="I156" s="22" t="n">
        <x:f>I9*'02_Drivers+Scenarios'!I192</x:f>
        <x:v>4811.887603447831</x:v>
      </x:c>
      <x:c r="J156" s="22" t="n">
        <x:f>J9*'02_Drivers+Scenarios'!J192</x:f>
        <x:v>5699.962747206816</x:v>
      </x:c>
      <x:c r="K156" s="22" t="n">
        <x:f>K9*'02_Drivers+Scenarios'!K192</x:f>
        <x:v>6662.802987729785</x:v>
      </x:c>
      <x:c r="L156" s="22" t="n">
        <x:f>L9*'02_Drivers+Scenarios'!L192</x:f>
        <x:v>7694.277248048644</x:v>
      </x:c>
      <x:c r="M156" s="22" t="n">
        <x:f>M9*'02_Drivers+Scenarios'!M192</x:f>
        <x:v>8743.232732677614</x:v>
      </x:c>
      <x:c r="N156" s="2"/>
      <x:c r="O156" s="2"/>
    </x:row>
    <x:row r="157" ht="20" customHeight="1">
      <x:c r="A157" s="2"/>
      <x:c r="B157" s="2"/>
      <x:c r="C157" s="2" t="str">
        <x:v>Other bank balances</x:v>
      </x:c>
      <x:c r="D157" s="22" t="n">
        <x:f>'01_Historical+Segments'!D185</x:f>
        <x:v>2854.27</x:v>
      </x:c>
      <x:c r="E157" s="22" t="n">
        <x:f>'01_Historical+Segments'!E185</x:f>
        <x:v>5424.91</x:v>
      </x:c>
      <x:c r="F157" s="22" t="n">
        <x:f>'01_Historical+Segments'!F185</x:f>
        <x:v>953.27</x:v>
      </x:c>
      <x:c r="G157" s="22" t="n">
        <x:f>'01_Historical+Segments'!G185</x:f>
        <x:v>5532.49</x:v>
      </x:c>
      <x:c r="H157" s="22" t="n">
        <x:f>'01_Historical+Segments'!H185</x:f>
        <x:v>4921.27</x:v>
      </x:c>
      <x:c r="I157" s="14" t="n">
        <x:f>H157</x:f>
        <x:v>4921.27</x:v>
      </x:c>
      <x:c r="J157" s="14" t="n">
        <x:f>I157</x:f>
        <x:v>4921.27</x:v>
      </x:c>
      <x:c r="K157" s="14" t="n">
        <x:f>J157</x:f>
        <x:v>4921.27</x:v>
      </x:c>
      <x:c r="L157" s="14" t="n">
        <x:f>K157</x:f>
        <x:v>4921.27</x:v>
      </x:c>
      <x:c r="M157" s="14" t="n">
        <x:f>L157</x:f>
        <x:v>4921.27</x:v>
      </x:c>
      <x:c r="N157" s="2"/>
      <x:c r="O157" s="2"/>
    </x:row>
    <x:row r="158" ht="44" customHeight="1">
      <x:c r="A158" s="2"/>
      <x:c r="B158" s="2"/>
      <x:c r="C158" s="2" t="str">
        <x:v>Current investments</x:v>
      </x:c>
      <x:c r="D158" s="22" t="n">
        <x:f>'01_Historical+Segments'!D182</x:f>
        <x:v>7640.51</x:v>
      </x:c>
      <x:c r="E158" s="22" t="n">
        <x:f>'01_Historical+Segments'!E182</x:f>
        <x:v>13504.95</x:v>
      </x:c>
      <x:c r="F158" s="22" t="n">
        <x:f>'01_Historical+Segments'!F182</x:f>
        <x:v>18224.17</x:v>
      </x:c>
      <x:c r="G158" s="22" t="n">
        <x:f>'01_Historical+Segments'!G182</x:f>
        <x:v>17490.42</x:v>
      </x:c>
      <x:c r="H158" s="22" t="n">
        <x:f>'01_Historical+Segments'!H182</x:f>
        <x:v>34048.23</x:v>
      </x:c>
      <x:c r="I158" s="14" t="n">
        <x:f>I39-SUM(I156:I157)</x:f>
        <x:v>15023.007872268645</x:v>
      </x:c>
      <x:c r="J158" s="14" t="n">
        <x:f>J39-SUM(J156:J157)</x:f>
        <x:v>20039.792164908627</x:v>
      </x:c>
      <x:c r="K158" s="14" t="n">
        <x:f>K39-SUM(K156:K157)</x:f>
        <x:v>28243.962172729807</x:v>
      </x:c>
      <x:c r="L158" s="14" t="n">
        <x:f>L39-SUM(L156:L157)</x:f>
        <x:v>39402.634014390846</x:v>
      </x:c>
      <x:c r="M158" s="14" t="n">
        <x:f>M39-SUM(M156:M157)</x:f>
        <x:v>54045.19853588485</x:v>
      </x:c>
      <x:c r="N158" s="2"/>
      <x:c r="O158" s="16" t="str">
        <x:v>Treasury allocation residual after operational cash reserve and bank balances. This allocates cash already generated by the statements; it does not balance the balance sheet. Negative investments expose a funding gap.</x:v>
      </x:c>
    </x:row>
    <x:row r="159" ht="20" customHeight="1">
      <x:c r="A159" s="2"/>
      <x:c r="B159" s="2"/>
      <x:c r="C159" s="95" t="str">
        <x:v>Total treasury assets</x:v>
      </x:c>
      <x:c r="D159" s="98" t="n">
        <x:f>SUM(D156:D158)</x:f>
        <x:v>11711.69</x:v>
      </x:c>
      <x:c r="E159" s="98" t="n">
        <x:f>SUM(E156:E158)</x:f>
        <x:v>20457.38</x:v>
      </x:c>
      <x:c r="F159" s="98" t="n">
        <x:f>SUM(F156:F158)</x:f>
        <x:v>22247.75</x:v>
      </x:c>
      <x:c r="G159" s="98" t="n">
        <x:f>SUM(G156:G158)</x:f>
        <x:v>25196.78</x:v>
      </x:c>
      <x:c r="H159" s="98" t="n">
        <x:f>SUM(H156:H158)</x:f>
        <x:v>42872.93000000001</x:v>
      </x:c>
      <x:c r="I159" s="98" t="n">
        <x:f>SUM(I156:I158)</x:f>
        <x:v>24756.165475716476</x:v>
      </x:c>
      <x:c r="J159" s="98" t="n">
        <x:f>SUM(J156:J158)</x:f>
        <x:v>30661.024912115445</x:v>
      </x:c>
      <x:c r="K159" s="98" t="n">
        <x:f>SUM(K156:K158)</x:f>
        <x:v>39828.03516045959</x:v>
      </x:c>
      <x:c r="L159" s="98" t="n">
        <x:f>SUM(L156:L158)</x:f>
        <x:v>52018.18126243949</x:v>
      </x:c>
      <x:c r="M159" s="98" t="n">
        <x:f>SUM(M156:M158)</x:f>
        <x:v>67709.70126856246</x:v>
      </x:c>
      <x:c r="N159" s="2"/>
      <x:c r="O159" s="2"/>
    </x:row>
    <x:row r="160" ht="20" customHeight="1">
      <x:c r="A160" s="2"/>
      <x:c r="B160" s="2"/>
      <x:c r="C160" s="2"/>
      <x:c r="D160" s="3"/>
      <x:c r="E160" s="3"/>
      <x:c r="F160" s="3"/>
      <x:c r="G160" s="3"/>
      <x:c r="H160" s="3"/>
      <x:c r="I160" s="3"/>
      <x:c r="J160" s="3"/>
      <x:c r="K160" s="3"/>
      <x:c r="L160" s="3"/>
      <x:c r="M160" s="3"/>
      <x:c r="N160" s="2"/>
      <x:c r="O160" s="2"/>
    </x:row>
    <x:row r="161" ht="20" customHeight="1">
      <x:c r="A161" s="2"/>
      <x:c r="B161" s="2"/>
      <x:c r="C161" s="2" t="str">
        <x:v>Opening cash and equivalents</x:v>
      </x:c>
      <x:c r="D161" s="3"/>
      <x:c r="E161" s="3"/>
      <x:c r="F161" s="3"/>
      <x:c r="G161" s="3"/>
      <x:c r="H161" s="3"/>
      <x:c r="I161" s="14" t="n">
        <x:f>H156</x:f>
        <x:v>3903.43</x:v>
      </x:c>
      <x:c r="J161" s="14" t="n">
        <x:f>I156</x:f>
        <x:v>4811.887603447831</x:v>
      </x:c>
      <x:c r="K161" s="14" t="n">
        <x:f>J156</x:f>
        <x:v>5699.962747206816</x:v>
      </x:c>
      <x:c r="L161" s="14" t="n">
        <x:f>K156</x:f>
        <x:v>6662.802987729785</x:v>
      </x:c>
      <x:c r="M161" s="14" t="n">
        <x:f>L156</x:f>
        <x:v>7694.277248048644</x:v>
      </x:c>
      <x:c r="N161" s="2"/>
      <x:c r="O161" s="2"/>
    </x:row>
    <x:row r="162" ht="20" customHeight="1">
      <x:c r="A162" s="2"/>
      <x:c r="B162" s="2"/>
      <x:c r="C162" s="2" t="str">
        <x:v>Analytical operating cash flow</x:v>
      </x:c>
      <x:c r="D162" s="3"/>
      <x:c r="E162" s="3"/>
      <x:c r="F162" s="3"/>
      <x:c r="G162" s="3"/>
      <x:c r="H162" s="3"/>
      <x:c r="I162" s="14" t="n">
        <x:f>I66</x:f>
        <x:v>16486.45186826268</x:v>
      </x:c>
      <x:c r="J162" s="14" t="n">
        <x:f>J66</x:f>
        <x:v>25748.97419569471</x:v>
      </x:c>
      <x:c r="K162" s="14" t="n">
        <x:f>K66</x:f>
        <x:v>29937.77694216837</x:v>
      </x:c>
      <x:c r="L162" s="14" t="n">
        <x:f>L66</x:f>
        <x:v>34195.953904776834</x:v>
      </x:c>
      <x:c r="M162" s="14" t="n">
        <x:f>M66</x:f>
        <x:v>41059.87071769615</x:v>
      </x:c>
      <x:c r="N162" s="2"/>
      <x:c r="O162" s="2"/>
    </x:row>
    <x:row r="163" ht="20" customHeight="1">
      <x:c r="A163" s="2"/>
      <x:c r="B163" s="2"/>
      <x:c r="C163" s="2" t="str">
        <x:v>Investing CF before treasury allocation</x:v>
      </x:c>
      <x:c r="D163" s="3"/>
      <x:c r="E163" s="3"/>
      <x:c r="F163" s="3"/>
      <x:c r="G163" s="3"/>
      <x:c r="H163" s="3"/>
      <x:c r="I163" s="14" t="n">
        <x:f>I72</x:f>
        <x:v>-10506.107298920735</x:v>
      </x:c>
      <x:c r="J163" s="14" t="n">
        <x:f>J72</x:f>
        <x:v>-11982.517503181698</x:v>
      </x:c>
      <x:c r="K163" s="14" t="n">
        <x:f>K72</x:f>
        <x:v>-11501.306042109796</x:v>
      </x:c>
      <x:c r="L163" s="14" t="n">
        <x:f>L72</x:f>
        <x:v>-10754.248395305427</x:v>
      </x:c>
      <x:c r="M163" s="14" t="n">
        <x:f>M72</x:f>
        <x:v>-11580.822882031725</x:v>
      </x:c>
      <x:c r="N163" s="2"/>
      <x:c r="O163" s="2"/>
    </x:row>
    <x:row r="164" ht="20" customHeight="1">
      <x:c r="A164" s="2"/>
      <x:c r="B164" s="2"/>
      <x:c r="C164" s="2" t="str">
        <x:v>Net purchases of current investments</x:v>
      </x:c>
      <x:c r="D164" s="3"/>
      <x:c r="E164" s="3"/>
      <x:c r="F164" s="3"/>
      <x:c r="G164" s="3"/>
      <x:c r="H164" s="3"/>
      <x:c r="I164" s="14" t="n">
        <x:f>-(I158-H158)</x:f>
        <x:v>19025.22212773136</x:v>
      </x:c>
      <x:c r="J164" s="14" t="n">
        <x:f>-(J158-I158)</x:f>
        <x:v>-5016.784292639983</x:v>
      </x:c>
      <x:c r="K164" s="14" t="n">
        <x:f>-(K158-J158)</x:f>
        <x:v>-8204.17000782118</x:v>
      </x:c>
      <x:c r="L164" s="14" t="n">
        <x:f>-(L158-K158)</x:f>
        <x:v>-11158.671841661038</x:v>
      </x:c>
      <x:c r="M164" s="14" t="n">
        <x:f>-(M158-L158)</x:f>
        <x:v>-14642.564521494001</x:v>
      </x:c>
      <x:c r="N164" s="2"/>
      <x:c r="O164" s="2"/>
    </x:row>
    <x:row r="165" ht="20" customHeight="1">
      <x:c r="A165" s="2"/>
      <x:c r="B165" s="2"/>
      <x:c r="C165" s="2" t="str">
        <x:v>Net additions to other bank balances</x:v>
      </x:c>
      <x:c r="D165" s="3"/>
      <x:c r="E165" s="3"/>
      <x:c r="F165" s="3"/>
      <x:c r="G165" s="3"/>
      <x:c r="H165" s="3"/>
      <x:c r="I165" s="14" t="n">
        <x:f>-(I157-H157)</x:f>
        <x:v>0</x:v>
      </x:c>
      <x:c r="J165" s="14" t="n">
        <x:f>-(J157-I157)</x:f>
        <x:v>0</x:v>
      </x:c>
      <x:c r="K165" s="14" t="n">
        <x:f>-(K157-J157)</x:f>
        <x:v>0</x:v>
      </x:c>
      <x:c r="L165" s="14" t="n">
        <x:f>-(L157-K157)</x:f>
        <x:v>0</x:v>
      </x:c>
      <x:c r="M165" s="14" t="n">
        <x:f>-(M157-L157)</x:f>
        <x:v>0</x:v>
      </x:c>
      <x:c r="N165" s="2"/>
      <x:c r="O165" s="2"/>
    </x:row>
    <x:row r="166" ht="20" customHeight="1">
      <x:c r="A166" s="2"/>
      <x:c r="B166" s="2"/>
      <x:c r="C166" s="95" t="str">
        <x:v>Cash-basis investing cash flow</x:v>
      </x:c>
      <x:c r="D166" s="96"/>
      <x:c r="E166" s="96"/>
      <x:c r="F166" s="96"/>
      <x:c r="G166" s="96"/>
      <x:c r="H166" s="96"/>
      <x:c r="I166" s="98" t="n">
        <x:f>SUM(I163:I165)</x:f>
        <x:v>8519.114828810623</x:v>
      </x:c>
      <x:c r="J166" s="98" t="n">
        <x:f>SUM(J163:J165)</x:f>
        <x:v>-16999.30179582168</x:v>
      </x:c>
      <x:c r="K166" s="98" t="n">
        <x:f>SUM(K163:K165)</x:f>
        <x:v>-19705.476049930978</x:v>
      </x:c>
      <x:c r="L166" s="98" t="n">
        <x:f>SUM(L163:L165)</x:f>
        <x:v>-21912.920236966464</x:v>
      </x:c>
      <x:c r="M166" s="98" t="n">
        <x:f>SUM(M163:M165)</x:f>
        <x:v>-26223.387403525725</x:v>
      </x:c>
      <x:c r="N166" s="2"/>
      <x:c r="O166" s="2"/>
    </x:row>
    <x:row r="167" ht="20" customHeight="1">
      <x:c r="A167" s="2"/>
      <x:c r="B167" s="2"/>
      <x:c r="C167" s="2" t="str">
        <x:v>Analytical financing cash flow</x:v>
      </x:c>
      <x:c r="D167" s="3"/>
      <x:c r="E167" s="3"/>
      <x:c r="F167" s="3"/>
      <x:c r="G167" s="3"/>
      <x:c r="H167" s="3"/>
      <x:c r="I167" s="14" t="n">
        <x:f>I80</x:f>
        <x:v>-24097.109093625477</x:v>
      </x:c>
      <x:c r="J167" s="14" t="n">
        <x:f>J80</x:f>
        <x:v>-7861.597256114044</x:v>
      </x:c>
      <x:c r="K167" s="14" t="n">
        <x:f>K80</x:f>
        <x:v>-9269.460651714422</x:v>
      </x:c>
      <x:c r="L167" s="14" t="n">
        <x:f>L80</x:f>
        <x:v>-11251.559407491515</x:v>
      </x:c>
      <x:c r="M167" s="14" t="n">
        <x:f>M80</x:f>
        <x:v>-13787.527829541454</x:v>
      </x:c>
      <x:c r="N167" s="2"/>
      <x:c r="O167" s="2"/>
    </x:row>
    <x:row r="168" ht="20" customHeight="1">
      <x:c r="A168" s="2"/>
      <x:c r="B168" s="2"/>
      <x:c r="C168" s="95" t="str">
        <x:v>Closing cash from cash flow</x:v>
      </x:c>
      <x:c r="D168" s="96"/>
      <x:c r="E168" s="96"/>
      <x:c r="F168" s="96"/>
      <x:c r="G168" s="96"/>
      <x:c r="H168" s="96"/>
      <x:c r="I168" s="98" t="n">
        <x:f>SUM(I161:I162,I166:I167)</x:f>
        <x:v>4811.887603447827</x:v>
      </x:c>
      <x:c r="J168" s="98" t="n">
        <x:f>SUM(J161:J162,J166:J167)</x:f>
        <x:v>5699.962747206817</x:v>
      </x:c>
      <x:c r="K168" s="98" t="n">
        <x:f>SUM(K161:K162,K166:K167)</x:f>
        <x:v>6662.802987729789</x:v>
      </x:c>
      <x:c r="L168" s="98" t="n">
        <x:f>SUM(L161:L162,L166:L167)</x:f>
        <x:v>7694.277248048638</x:v>
      </x:c>
      <x:c r="M168" s="98" t="n">
        <x:f>SUM(M161:M162,M166:M167)</x:f>
        <x:v>8743.232732677614</x:v>
      </x:c>
      <x:c r="N168" s="2"/>
      <x:c r="O168" s="2"/>
    </x:row>
    <x:row r="169" ht="20" customHeight="1">
      <x:c r="A169" s="2"/>
      <x:c r="B169" s="2"/>
      <x:c r="C169" s="2" t="str">
        <x:v>Cash-flow / cash balance difference</x:v>
      </x:c>
      <x:c r="D169" s="100"/>
      <x:c r="E169" s="100"/>
      <x:c r="F169" s="100"/>
      <x:c r="G169" s="100"/>
      <x:c r="H169" s="100"/>
      <x:c r="I169" s="101" t="n">
        <x:f>I168-I156</x:f>
        <x:v>-3.637978807091713e-12</x:v>
      </x:c>
      <x:c r="J169" s="101" t="n">
        <x:f>J168-J156</x:f>
        <x:v>9.094947017729282e-13</x:v>
      </x:c>
      <x:c r="K169" s="101" t="n">
        <x:f>K168-K156</x:f>
        <x:v>3.637978807091713e-12</x:v>
      </x:c>
      <x:c r="L169" s="101" t="n">
        <x:f>L168-L156</x:f>
        <x:v>-5.4569682106375694e-12</x:v>
      </x:c>
      <x:c r="M169" s="101" t="n">
        <x:f>M168-M156</x:f>
        <x:v>0</x:v>
      </x:c>
      <x:c r="N169" s="2"/>
      <x:c r="O169" s="2"/>
    </x:row>
    <x:row r="170" ht="20" customHeight="1">
      <x:c r="A170" s="2"/>
      <x:c r="B170" s="2"/>
      <x:c r="C170" s="2"/>
      <x:c r="D170" s="3"/>
      <x:c r="E170" s="3"/>
      <x:c r="F170" s="3"/>
      <x:c r="G170" s="3"/>
      <x:c r="H170" s="3"/>
      <x:c r="I170" s="3"/>
      <x:c r="J170" s="3"/>
      <x:c r="K170" s="3"/>
      <x:c r="L170" s="3"/>
      <x:c r="M170" s="3"/>
      <x:c r="N170" s="2"/>
      <x:c r="O170" s="2"/>
    </x:row>
    <x:row r="171" ht="20" customHeight="1">
      <x:c r="A171" s="2"/>
      <x:c r="B171" s="2"/>
      <x:c r="C171" s="24" t="str">
        <x:v>Pre-tax ROCE on average operating capital</x:v>
      </x:c>
      <x:c r="D171" s="25"/>
      <x:c r="E171" s="66" t="n">
        <x:f>E15/AVERAGE(D132,E132)</x:f>
        <x:v>0.29513900428243034</x:v>
      </x:c>
      <x:c r="F171" s="66" t="n">
        <x:f>F15/AVERAGE(E132,F132)</x:f>
        <x:v>0.31941527952790966</x:v>
      </x:c>
      <x:c r="G171" s="66" t="n">
        <x:f>G15/AVERAGE(F132,G132)</x:f>
        <x:v>0.3140596885613128</x:v>
      </x:c>
      <x:c r="H171" s="66" t="n">
        <x:f>H15/AVERAGE(G132,H132)</x:f>
        <x:v>0.3406316186678099</x:v>
      </x:c>
      <x:c r="I171" s="66" t="n">
        <x:f>I15/AVERAGE(H132,I132)</x:f>
        <x:v>0.30280223954858987</x:v>
      </x:c>
      <x:c r="J171" s="66" t="n">
        <x:f>J15/AVERAGE(I132,J132)</x:f>
        <x:v>0.28781513475080833</x:v>
      </x:c>
      <x:c r="K171" s="66" t="n">
        <x:f>K15/AVERAGE(J132,K132)</x:f>
        <x:v>0.2829247326335581</x:v>
      </x:c>
      <x:c r="L171" s="66" t="n">
        <x:f>L15/AVERAGE(K132,L132)</x:f>
        <x:v>0.2785211340734946</x:v>
      </x:c>
      <x:c r="M171" s="66" t="n">
        <x:f>M15/AVERAGE(L132,M132)</x:f>
        <x:v>0.2837348239410183</x:v>
      </x:c>
      <x:c r="N171" s="2"/>
      <x:c r="O171" s="2"/>
    </x:row>
    <x:row r="172" ht="20" customHeight="1">
      <x:c r="A172" s="2"/>
      <x:c r="B172" s="2"/>
      <x:c r="C172" s="24" t="str">
        <x:v>Post-tax ROIC on average operating capital</x:v>
      </x:c>
      <x:c r="D172" s="25"/>
      <x:c r="E172" s="66" t="n">
        <x:f>E171*(1-E21/E20)</x:f>
        <x:v>0.2218113302566964</x:v>
      </x:c>
      <x:c r="F172" s="66" t="n">
        <x:f>F171*(1-F21/F20)</x:f>
        <x:v>0.24408902535524107</x:v>
      </x:c>
      <x:c r="G172" s="66" t="n">
        <x:f>G171*(1-G21/G20)</x:f>
        <x:v>0.23785915636056204</x:v>
      </x:c>
      <x:c r="H172" s="66" t="n">
        <x:f>H171*(1-H21/H20)</x:f>
        <x:v>0.25534368178175093</x:v>
      </x:c>
      <x:c r="I172" s="66" t="n">
        <x:f>I171*(1-I21/I20)</x:f>
        <x:v>0.22698608837454762</x:v>
      </x:c>
      <x:c r="J172" s="66" t="n">
        <x:f>J171*(1-J21/J20)</x:f>
        <x:v>0.21575148093181779</x:v>
      </x:c>
      <x:c r="K172" s="66" t="n">
        <x:f>K171*(1-K21/K20)</x:f>
        <x:v>0.21208554619887765</x:v>
      </x:c>
      <x:c r="L172" s="66" t="n">
        <x:f>L171*(1-L21/L20)</x:f>
        <x:v>0.20878452830214506</x:v>
      </x:c>
      <x:c r="M172" s="66" t="n">
        <x:f>M171*(1-M21/M20)</x:f>
        <x:v>0.2126928054363943</x:v>
      </x:c>
      <x:c r="N172" s="2"/>
      <x:c r="O172" s="2"/>
    </x:row>
    <x:row r="173" ht="20" customHeight="1">
      <x:c r="A173" s="2"/>
      <x:c r="B173" s="2"/>
      <x:c r="C173" s="2" t="str">
        <x:v>Net financing claims after all treasury</x:v>
      </x:c>
      <x:c r="D173" s="14" t="n">
        <x:f>SUM(D45:D47)-D39</x:f>
        <x:v>-4165.66</x:v>
      </x:c>
      <x:c r="E173" s="14" t="n">
        <x:f>SUM(E45:E47)-E39</x:f>
        <x:v>-7106.350000000002</x:v>
      </x:c>
      <x:c r="F173" s="14" t="n">
        <x:f>SUM(F45:F47)-F39</x:f>
        <x:v>-2017.1599999999999</x:v>
      </x:c>
      <x:c r="G173" s="14" t="n">
        <x:f>SUM(G45:G47)-G39</x:f>
        <x:v>-10110.039999999997</x:v>
      </x:c>
      <x:c r="H173" s="14" t="n">
        <x:f>SUM(H45:H47)-H39</x:f>
        <x:v>2138.429999999993</x:v>
      </x:c>
      <x:c r="I173" s="14" t="n">
        <x:f>SUM(I45:I47)-I39</x:f>
        <x:v>9036.35917220775</x:v>
      </x:c>
      <x:c r="J173" s="14" t="n">
        <x:f>SUM(J45:J47)-J39</x:f>
        <x:v>8933.533272160104</x:v>
      </x:c>
      <x:c r="K173" s="14" t="n">
        <x:f>SUM(K45:K47)-K39</x:f>
        <x:v>6057.017026403359</x:v>
      </x:c>
      <x:c r="L173" s="14" t="n">
        <x:f>SUM(L45:L47)-L39</x:f>
        <x:v>605.7694200189726</x:v>
      </x:c>
      <x:c r="M173" s="14" t="n">
        <x:f>SUM(M45:M47)-M39</x:f>
        <x:v>-8232.642554956765</x:v>
      </x:c>
      <x:c r="N173" s="2"/>
      <x:c r="O173" s="2"/>
    </x:row>
    <x:row r="174" ht="20" customHeight="1">
      <x:c r="A174" s="2"/>
      <x:c r="B174" s="2"/>
      <x:c r="C174" s="2" t="str">
        <x:v>EBIT / finance costs</x:v>
      </x:c>
      <x:c r="D174" s="14" t="n">
        <x:f>D15/D19</x:f>
        <x:v>30.226768968456923</x:v>
      </x:c>
      <x:c r="E174" s="14" t="n">
        <x:f>E15/E19</x:f>
        <x:v>27.49385009287616</x:v>
      </x:c>
      <x:c r="F174" s="14" t="n">
        <x:f>F15/F19</x:f>
        <x:v>20.738093040428275</x:v>
      </x:c>
      <x:c r="G174" s="14" t="n">
        <x:f>G15/G19</x:f>
        <x:v>15.75900383595379</x:v>
      </x:c>
      <x:c r="H174" s="14" t="n">
        <x:f>H15/H19</x:f>
        <x:v>14.894332526868427</x:v>
      </x:c>
      <x:c r="I174" s="14" t="n">
        <x:f>I15/I19</x:f>
        <x:v>13.139804729909649</x:v>
      </x:c>
      <x:c r="J174" s="14" t="n">
        <x:f>J15/J19</x:f>
        <x:v>16.03508841713789</x:v>
      </x:c>
      <x:c r="K174" s="14" t="n">
        <x:f>K15/K19</x:f>
        <x:v>15.581827406070394</x:v>
      </x:c>
      <x:c r="L174" s="14" t="n">
        <x:f>L15/L19</x:f>
        <x:v>15.09675188857637</x:v>
      </x:c>
      <x:c r="M174" s="14" t="n">
        <x:f>M15/M19</x:f>
        <x:v>15.171156135206823</x:v>
      </x:c>
      <x:c r="N174" s="2"/>
      <x:c r="O174" s="2"/>
    </x:row>
    <x:row r="175" ht="20" customHeight="1">
      <x:c r="A175" s="2"/>
      <x:c r="B175" s="2"/>
      <x:c r="C175" s="2"/>
      <x:c r="D175" s="3"/>
      <x:c r="E175" s="3"/>
      <x:c r="F175" s="3"/>
      <x:c r="G175" s="3"/>
      <x:c r="H175" s="3"/>
      <x:c r="I175" s="3"/>
      <x:c r="J175" s="3"/>
      <x:c r="K175" s="3"/>
      <x:c r="L175" s="3"/>
      <x:c r="M175" s="3"/>
      <x:c r="N175" s="2"/>
      <x:c r="O175" s="2"/>
    </x:row>
    <x:row r="176" ht="20" customHeight="1">
      <x:c r="A176" s="2"/>
      <x:c r="B176" s="2"/>
      <x:c r="C176" s="2"/>
      <x:c r="D176" s="3"/>
      <x:c r="E176" s="3"/>
      <x:c r="F176" s="3"/>
      <x:c r="G176" s="3"/>
      <x:c r="H176" s="3"/>
      <x:c r="I176" s="3"/>
      <x:c r="J176" s="3"/>
      <x:c r="K176" s="3"/>
      <x:c r="L176" s="3"/>
      <x:c r="M176" s="3"/>
      <x:c r="N176" s="2"/>
      <x:c r="O176" s="2"/>
    </x:row>
    <x:row r="177" ht="20" customHeight="1">
      <x:c r="A177" s="2"/>
      <x:c r="B177" s="2"/>
      <x:c r="C177" s="2"/>
      <x:c r="D177" s="3"/>
      <x:c r="E177" s="3"/>
      <x:c r="F177" s="3"/>
      <x:c r="G177" s="3"/>
      <x:c r="H177" s="3"/>
      <x:c r="I177" s="3"/>
      <x:c r="J177" s="3"/>
      <x:c r="K177" s="3"/>
      <x:c r="L177" s="3"/>
      <x:c r="M177" s="3"/>
      <x:c r="N177" s="2"/>
      <x:c r="O177" s="2"/>
    </x:row>
    <x:row r="178" ht="20" customHeight="1">
      <x:c r="A178" s="2"/>
      <x:c r="B178" s="2"/>
      <x:c r="C178" s="2"/>
      <x:c r="D178" s="3"/>
      <x:c r="E178" s="3"/>
      <x:c r="F178" s="3"/>
      <x:c r="G178" s="3"/>
      <x:c r="H178" s="3"/>
      <x:c r="I178" s="3"/>
      <x:c r="J178" s="3"/>
      <x:c r="K178" s="3"/>
      <x:c r="L178" s="3"/>
      <x:c r="M178" s="3"/>
      <x:c r="N178" s="2"/>
      <x:c r="O178" s="2"/>
    </x:row>
    <x:row r="179" ht="20" customHeight="1">
      <x:c r="A179" s="2"/>
      <x:c r="B179" s="2"/>
      <x:c r="C179" s="2"/>
      <x:c r="D179" s="3"/>
      <x:c r="E179" s="3"/>
      <x:c r="F179" s="3"/>
      <x:c r="G179" s="3"/>
      <x:c r="H179" s="3"/>
      <x:c r="I179" s="3"/>
      <x:c r="J179" s="3"/>
      <x:c r="K179" s="3"/>
      <x:c r="L179" s="3"/>
      <x:c r="M179" s="3"/>
      <x:c r="N179" s="2"/>
      <x:c r="O179" s="2"/>
    </x:row>
    <x:row r="180" ht="24" customHeight="1">
      <x:c r="A180" s="2"/>
      <x:c r="B180" s="2"/>
      <x:c r="C180" s="80" t="str">
        <x:v>Capex commissioning and depreciation</x:v>
      </x:c>
      <x:c r="D180" s="81"/>
      <x:c r="E180" s="81"/>
      <x:c r="F180" s="81"/>
      <x:c r="G180" s="81"/>
      <x:c r="H180" s="81"/>
      <x:c r="I180" s="81"/>
      <x:c r="J180" s="81"/>
      <x:c r="K180" s="81"/>
      <x:c r="L180" s="81"/>
      <x:c r="M180" s="81"/>
      <x:c r="N180" s="2"/>
      <x:c r="O180" s="2"/>
    </x:row>
    <x:row r="181" ht="20" customHeight="1">
      <x:c r="A181" s="2"/>
      <x:c r="B181" s="2"/>
      <x:c r="C181" s="2"/>
      <x:c r="D181" s="3"/>
      <x:c r="E181" s="3"/>
      <x:c r="F181" s="3"/>
      <x:c r="G181" s="3"/>
      <x:c r="H181" s="3"/>
      <x:c r="I181" s="3"/>
      <x:c r="J181" s="3"/>
      <x:c r="K181" s="3"/>
      <x:c r="L181" s="3"/>
      <x:c r="M181" s="3"/>
      <x:c r="N181" s="2"/>
      <x:c r="O181" s="2"/>
    </x:row>
    <x:row r="182" ht="20" customHeight="1">
      <x:c r="A182" s="2"/>
      <x:c r="B182" s="2"/>
      <x:c r="C182" s="2" t="str">
        <x:v>Opening CWIP</x:v>
      </x:c>
      <x:c r="D182" s="3"/>
      <x:c r="E182" s="3"/>
      <x:c r="F182" s="3"/>
      <x:c r="G182" s="3"/>
      <x:c r="H182" s="3"/>
      <x:c r="I182" s="14" t="n">
        <x:f>H185</x:f>
        <x:v>11392.59</x:v>
      </x:c>
      <x:c r="J182" s="14" t="n">
        <x:f>I185</x:f>
        <x:v>7000</x:v>
      </x:c>
      <x:c r="K182" s="14" t="n">
        <x:f>J185</x:f>
        <x:v>7000</x:v>
      </x:c>
      <x:c r="L182" s="14" t="n">
        <x:f>K185</x:f>
        <x:v>7000</x:v>
      </x:c>
      <x:c r="M182" s="14" t="n">
        <x:f>L185</x:f>
        <x:v>7000</x:v>
      </x:c>
      <x:c r="N182" s="2"/>
      <x:c r="O182" s="2"/>
    </x:row>
    <x:row r="183" ht="20" customHeight="1">
      <x:c r="A183" s="2"/>
      <x:c r="B183" s="2"/>
      <x:c r="C183" s="2" t="str">
        <x:v>Current cash capex</x:v>
      </x:c>
      <x:c r="D183" s="3"/>
      <x:c r="E183" s="3"/>
      <x:c r="F183" s="3"/>
      <x:c r="G183" s="3"/>
      <x:c r="H183" s="3"/>
      <x:c r="I183" s="14" t="n">
        <x:f>I136</x:f>
        <x:v>14000</x:v>
      </x:c>
      <x:c r="J183" s="14" t="n">
        <x:f>J136</x:f>
        <x:v>14000</x:v>
      </x:c>
      <x:c r="K183" s="14" t="n">
        <x:f>K136</x:f>
        <x:v>14000</x:v>
      </x:c>
      <x:c r="L183" s="14" t="n">
        <x:f>L136</x:f>
        <x:v>14000</x:v>
      </x:c>
      <x:c r="M183" s="14" t="n">
        <x:f>M136</x:f>
        <x:v>15819.999999999998</x:v>
      </x:c>
      <x:c r="N183" s="2"/>
      <x:c r="O183" s="2"/>
    </x:row>
    <x:row r="184" ht="20" customHeight="1">
      <x:c r="A184" s="2"/>
      <x:c r="B184" s="2"/>
      <x:c r="C184" s="2" t="str">
        <x:v>Transfer from CWIP into service</x:v>
      </x:c>
      <x:c r="D184" s="3"/>
      <x:c r="E184" s="3"/>
      <x:c r="F184" s="3"/>
      <x:c r="G184" s="3"/>
      <x:c r="H184" s="3"/>
      <x:c r="I184" s="22" t="n">
        <x:f>I182+I183*'02_Drivers+Scenarios'!I182</x:f>
        <x:v>18392.59</x:v>
      </x:c>
      <x:c r="J184" s="22" t="n">
        <x:f>J182+J183*'02_Drivers+Scenarios'!J182</x:f>
        <x:v>14000</x:v>
      </x:c>
      <x:c r="K184" s="22" t="n">
        <x:f>K182+K183*'02_Drivers+Scenarios'!K182</x:f>
        <x:v>14000</x:v>
      </x:c>
      <x:c r="L184" s="22" t="n">
        <x:f>L182+L183*'02_Drivers+Scenarios'!L182</x:f>
        <x:v>14000</x:v>
      </x:c>
      <x:c r="M184" s="22" t="n">
        <x:f>M182+M183*'02_Drivers+Scenarios'!M182</x:f>
        <x:v>14910</x:v>
      </x:c>
      <x:c r="N184" s="2"/>
      <x:c r="O184" s="2"/>
    </x:row>
    <x:row r="185" ht="20" customHeight="1">
      <x:c r="A185" s="2"/>
      <x:c r="B185" s="2"/>
      <x:c r="C185" s="95" t="str">
        <x:v>Closing CWIP</x:v>
      </x:c>
      <x:c r="D185" s="97" t="n">
        <x:f>'01_Historical+Segments'!D169</x:f>
        <x:v>3754.5</x:v>
      </x:c>
      <x:c r="E185" s="97" t="n">
        <x:f>'01_Historical+Segments'!E169</x:f>
        <x:v>2507.67</x:v>
      </x:c>
      <x:c r="F185" s="97" t="n">
        <x:f>'01_Historical+Segments'!F169</x:f>
        <x:v>5784.46</x:v>
      </x:c>
      <x:c r="G185" s="97" t="n">
        <x:f>'01_Historical+Segments'!G169</x:f>
        <x:v>7081.44</x:v>
      </x:c>
      <x:c r="H185" s="97" t="n">
        <x:f>'01_Historical+Segments'!H169</x:f>
        <x:v>11392.59</x:v>
      </x:c>
      <x:c r="I185" s="98" t="n">
        <x:f>SUM(I182:I183)-I184</x:f>
        <x:v>7000</x:v>
      </x:c>
      <x:c r="J185" s="98" t="n">
        <x:f>SUM(J182:J183)-J184</x:f>
        <x:v>7000</x:v>
      </x:c>
      <x:c r="K185" s="98" t="n">
        <x:f>SUM(K182:K183)-K184</x:f>
        <x:v>7000</x:v>
      </x:c>
      <x:c r="L185" s="98" t="n">
        <x:f>SUM(L182:L183)-L184</x:f>
        <x:v>7000</x:v>
      </x:c>
      <x:c r="M185" s="98" t="n">
        <x:f>SUM(M182:M183)-M184</x:f>
        <x:v>7910</x:v>
      </x:c>
      <x:c r="N185" s="2"/>
      <x:c r="O185" s="2"/>
    </x:row>
    <x:row r="186" ht="20" customHeight="1">
      <x:c r="A186" s="2"/>
      <x:c r="B186" s="2"/>
      <x:c r="C186" s="2"/>
      <x:c r="D186" s="3"/>
      <x:c r="E186" s="3"/>
      <x:c r="F186" s="3"/>
      <x:c r="G186" s="3"/>
      <x:c r="H186" s="3"/>
      <x:c r="I186" s="3"/>
      <x:c r="J186" s="3"/>
      <x:c r="K186" s="3"/>
      <x:c r="L186" s="3"/>
      <x:c r="M186" s="3"/>
      <x:c r="N186" s="2"/>
      <x:c r="O186" s="2"/>
    </x:row>
    <x:row r="187" ht="20" customHeight="1">
      <x:c r="A187" s="2"/>
      <x:c r="B187" s="2"/>
      <x:c r="C187" s="2" t="str">
        <x:v>Opening PPE and intangible assets, net</x:v>
      </x:c>
      <x:c r="D187" s="3"/>
      <x:c r="E187" s="3"/>
      <x:c r="F187" s="3"/>
      <x:c r="G187" s="3"/>
      <x:c r="H187" s="3"/>
      <x:c r="I187" s="14" t="n">
        <x:f>H190</x:f>
        <x:v>35091.68</x:v>
      </x:c>
      <x:c r="J187" s="14" t="n">
        <x:f>I190</x:f>
        <x:v>48435.64470410703</x:v>
      </x:c>
      <x:c r="K187" s="14" t="n">
        <x:f>J190</x:f>
        <x:v>56116.23637380314</x:v>
      </x:c>
      <x:c r="L187" s="14" t="n">
        <x:f>K190</x:f>
        <x:v>62921.27594632044</x:v>
      </x:c>
      <x:c r="M187" s="14" t="n">
        <x:f>L190</x:f>
        <x:v>68950.57233063906</x:v>
      </x:c>
      <x:c r="N187" s="2"/>
      <x:c r="O187" s="2"/>
    </x:row>
    <x:row r="188" ht="20" customHeight="1">
      <x:c r="A188" s="2"/>
      <x:c r="B188" s="2"/>
      <x:c r="C188" s="2" t="str">
        <x:v>Assets commissioned</x:v>
      </x:c>
      <x:c r="D188" s="3"/>
      <x:c r="E188" s="3"/>
      <x:c r="F188" s="3"/>
      <x:c r="G188" s="3"/>
      <x:c r="H188" s="3"/>
      <x:c r="I188" s="14" t="n">
        <x:f>I184</x:f>
        <x:v>18392.59</x:v>
      </x:c>
      <x:c r="J188" s="14" t="n">
        <x:f>J184</x:f>
        <x:v>14000</x:v>
      </x:c>
      <x:c r="K188" s="14" t="n">
        <x:f>K184</x:f>
        <x:v>14000</x:v>
      </x:c>
      <x:c r="L188" s="14" t="n">
        <x:f>L184</x:f>
        <x:v>14000</x:v>
      </x:c>
      <x:c r="M188" s="14" t="n">
        <x:f>M184</x:f>
        <x:v>14910</x:v>
      </x:c>
      <x:c r="N188" s="2"/>
      <x:c r="O188" s="2"/>
    </x:row>
    <x:row r="189" ht="20" customHeight="1">
      <x:c r="A189" s="2"/>
      <x:c r="B189" s="2"/>
      <x:c r="C189" s="2" t="str">
        <x:v>PPE and intangible D&amp;A</x:v>
      </x:c>
      <x:c r="D189" s="3"/>
      <x:c r="E189" s="3"/>
      <x:c r="F189" s="3"/>
      <x:c r="G189" s="3"/>
      <x:c r="H189" s="3"/>
      <x:c r="I189" s="22" t="n">
        <x:f>MIN(I187+I188,(I187+0.5*I188)*'02_Drivers+Scenarios'!I197)</x:f>
        <x:v>5048.625295892978</x:v>
      </x:c>
      <x:c r="J189" s="22" t="n">
        <x:f>MIN(J187+J188,(J187+0.5*J188)*'02_Drivers+Scenarios'!J197)</x:f>
        <x:v>6319.408330303889</x:v>
      </x:c>
      <x:c r="K189" s="22" t="n">
        <x:f>MIN(K187+K188,(K187+0.5*K188)*'02_Drivers+Scenarios'!K197)</x:f>
        <x:v>7194.960427482698</x:v>
      </x:c>
      <x:c r="L189" s="22" t="n">
        <x:f>MIN(L187+L188,(L187+0.5*L188)*'02_Drivers+Scenarios'!L197)</x:f>
        <x:v>7970.703615681381</x:v>
      </x:c>
      <x:c r="M189" s="22" t="n">
        <x:f>MIN(M187+M188,(M187+0.5*M188)*'02_Drivers+Scenarios'!M197)</x:f>
        <x:v>8709.883556781382</x:v>
      </x:c>
      <x:c r="N189" s="2"/>
      <x:c r="O189" s="2"/>
    </x:row>
    <x:row r="190" ht="20" customHeight="1">
      <x:c r="A190" s="2"/>
      <x:c r="B190" s="2"/>
      <x:c r="C190" s="95" t="str">
        <x:v>Closing PPE and intangible assets, net</x:v>
      </x:c>
      <x:c r="D190" s="97" t="n">
        <x:f>'01_Historical+Segments'!D168+'01_Historical+Segments'!D172</x:f>
        <x:v>16353.65</x:v>
      </x:c>
      <x:c r="E190" s="97" t="n">
        <x:f>'01_Historical+Segments'!E168+'01_Historical+Segments'!E172</x:f>
        <x:v>20261.36</x:v>
      </x:c>
      <x:c r="F190" s="97" t="n">
        <x:f>'01_Historical+Segments'!F168+'01_Historical+Segments'!F172</x:f>
        <x:v>21837.739999999998</x:v>
      </x:c>
      <x:c r="G190" s="97" t="n">
        <x:f>'01_Historical+Segments'!G168+'01_Historical+Segments'!G172</x:f>
        <x:v>28011.71</x:v>
      </x:c>
      <x:c r="H190" s="97" t="n">
        <x:f>'01_Historical+Segments'!H168+'01_Historical+Segments'!H172</x:f>
        <x:v>35091.68</x:v>
      </x:c>
      <x:c r="I190" s="98" t="n">
        <x:f>SUM(I187:I188)-I189</x:f>
        <x:v>48435.64470410703</x:v>
      </x:c>
      <x:c r="J190" s="98" t="n">
        <x:f>SUM(J187:J188)-J189</x:f>
        <x:v>56116.23637380314</x:v>
      </x:c>
      <x:c r="K190" s="98" t="n">
        <x:f>SUM(K187:K188)-K189</x:f>
        <x:v>62921.27594632044</x:v>
      </x:c>
      <x:c r="L190" s="98" t="n">
        <x:f>SUM(L187:L188)-L189</x:f>
        <x:v>68950.57233063906</x:v>
      </x:c>
      <x:c r="M190" s="98" t="n">
        <x:f>SUM(M187:M188)-M189</x:f>
        <x:v>75150.68877385768</x:v>
      </x:c>
      <x:c r="N190" s="2"/>
      <x:c r="O190" s="2"/>
    </x:row>
    <x:row r="191" ht="20" customHeight="1">
      <x:c r="C191" s="2"/>
      <x:c r="D191" s="3"/>
      <x:c r="E191" s="3"/>
      <x:c r="F191" s="3"/>
      <x:c r="G191" s="3"/>
      <x:c r="H191" s="3"/>
      <x:c r="I191" s="3"/>
      <x:c r="J191" s="3"/>
      <x:c r="K191" s="3"/>
      <x:c r="L191" s="3"/>
      <x:c r="M191" s="3"/>
      <x:c r="N191" s="2"/>
      <x:c r="O191" s="2"/>
    </x:row>
    <x:row r="192" ht="20" customHeight="1">
      <x:c r="C192" s="2" t="str">
        <x:v>Opening ROU assets</x:v>
      </x:c>
      <x:c r="D192" s="3"/>
      <x:c r="E192" s="3"/>
      <x:c r="F192" s="3"/>
      <x:c r="G192" s="3"/>
      <x:c r="H192" s="3"/>
      <x:c r="I192" s="14" t="n">
        <x:f>H195</x:f>
        <x:v>1426.27</x:v>
      </x:c>
      <x:c r="J192" s="14" t="n">
        <x:f>I195</x:f>
        <x:v>1364.594</x:v>
      </x:c>
      <x:c r="K192" s="14" t="n">
        <x:f>J195</x:f>
        <x:v>1315.2532</x:v>
      </x:c>
      <x:c r="L192" s="14" t="n">
        <x:f>K195</x:f>
        <x:v>1275.7805600000002</x:v>
      </x:c>
      <x:c r="M192" s="14" t="n">
        <x:f>L195</x:f>
        <x:v>1244.2024480000002</x:v>
      </x:c>
      <x:c r="N192" s="2"/>
      <x:c r="O192" s="2"/>
    </x:row>
    <x:row r="193" ht="20" customHeight="1">
      <x:c r="C193" s="2" t="str">
        <x:v>New ROU assets</x:v>
      </x:c>
      <x:c r="D193" s="3"/>
      <x:c r="E193" s="3"/>
      <x:c r="F193" s="3"/>
      <x:c r="G193" s="3"/>
      <x:c r="H193" s="3"/>
      <x:c r="I193" s="14" t="n">
        <x:f>I137</x:f>
        <x:v>248.42</x:v>
      </x:c>
      <x:c r="J193" s="14" t="n">
        <x:f>J137</x:f>
        <x:v>248.42</x:v>
      </x:c>
      <x:c r="K193" s="14" t="n">
        <x:f>K137</x:f>
        <x:v>248.42</x:v>
      </x:c>
      <x:c r="L193" s="14" t="n">
        <x:f>L137</x:f>
        <x:v>248.42</x:v>
      </x:c>
      <x:c r="M193" s="14" t="n">
        <x:f>M137</x:f>
        <x:v>248.42</x:v>
      </x:c>
      <x:c r="N193" s="2"/>
      <x:c r="O193" s="2"/>
    </x:row>
    <x:row r="194" ht="20" customHeight="1">
      <x:c r="C194" s="2" t="str">
        <x:v>ROU depreciation</x:v>
      </x:c>
      <x:c r="D194" s="3"/>
      <x:c r="E194" s="3"/>
      <x:c r="F194" s="3"/>
      <x:c r="G194" s="3"/>
      <x:c r="H194" s="3"/>
      <x:c r="I194" s="22" t="n">
        <x:f>MIN(SUM(I192:I193),(I192+0.5*I193)*'02_Drivers+Scenarios'!I187)</x:f>
        <x:v>310.096</x:v>
      </x:c>
      <x:c r="J194" s="22" t="n">
        <x:f>MIN(SUM(J192:J193),(J192+0.5*J193)*'02_Drivers+Scenarios'!J187)</x:f>
        <x:v>297.7608</x:v>
      </x:c>
      <x:c r="K194" s="22" t="n">
        <x:f>MIN(SUM(K192:K193),(K192+0.5*K193)*'02_Drivers+Scenarios'!K187)</x:f>
        <x:v>287.89264000000003</x:v>
      </x:c>
      <x:c r="L194" s="22" t="n">
        <x:f>MIN(SUM(L192:L193),(L192+0.5*L193)*'02_Drivers+Scenarios'!L187)</x:f>
        <x:v>279.99811200000005</x:v>
      </x:c>
      <x:c r="M194" s="22" t="n">
        <x:f>MIN(SUM(M192:M193),(M192+0.5*M193)*'02_Drivers+Scenarios'!M187)</x:f>
        <x:v>273.68248960000005</x:v>
      </x:c>
      <x:c r="N194" s="2"/>
      <x:c r="O194" s="2"/>
    </x:row>
    <x:row r="195" ht="20" customHeight="1">
      <x:c r="C195" s="95" t="str">
        <x:v>Closing ROU assets</x:v>
      </x:c>
      <x:c r="D195" s="97" t="n">
        <x:f>'01_Historical+Segments'!D171</x:f>
        <x:v>351.36</x:v>
      </x:c>
      <x:c r="E195" s="97" t="n">
        <x:f>'01_Historical+Segments'!E171</x:f>
        <x:v>361.82</x:v>
      </x:c>
      <x:c r="F195" s="97" t="n">
        <x:f>'01_Historical+Segments'!F171</x:f>
        <x:v>728.26</x:v>
      </x:c>
      <x:c r="G195" s="97" t="n">
        <x:f>'01_Historical+Segments'!G171</x:f>
        <x:v>1309.71</x:v>
      </x:c>
      <x:c r="H195" s="97" t="n">
        <x:f>'01_Historical+Segments'!H171</x:f>
        <x:v>1426.27</x:v>
      </x:c>
      <x:c r="I195" s="98" t="n">
        <x:f>SUM(I192:I193)-I194</x:f>
        <x:v>1364.594</x:v>
      </x:c>
      <x:c r="J195" s="98" t="n">
        <x:f>SUM(J192:J193)-J194</x:f>
        <x:v>1315.2532</x:v>
      </x:c>
      <x:c r="K195" s="98" t="n">
        <x:f>SUM(K192:K193)-K194</x:f>
        <x:v>1275.7805600000002</x:v>
      </x:c>
      <x:c r="L195" s="98" t="n">
        <x:f>SUM(L192:L193)-L194</x:f>
        <x:v>1244.2024480000002</x:v>
      </x:c>
      <x:c r="M195" s="98" t="n">
        <x:f>SUM(M192:M193)-M194</x:f>
        <x:v>1218.9399584000003</x:v>
      </x:c>
      <x:c r="N195" s="2"/>
      <x:c r="O195" s="2"/>
    </x:row>
    <x:row r="196" ht="20" customHeight="1">
      <x:c r="C196" s="2"/>
      <x:c r="D196" s="3"/>
      <x:c r="E196" s="3"/>
      <x:c r="F196" s="3"/>
      <x:c r="G196" s="3"/>
      <x:c r="H196" s="3"/>
      <x:c r="I196" s="3"/>
      <x:c r="J196" s="3"/>
      <x:c r="K196" s="3"/>
      <x:c r="L196" s="3"/>
      <x:c r="M196" s="3"/>
      <x:c r="N196" s="2"/>
      <x:c r="O196" s="2"/>
    </x:row>
    <x:row r="197" ht="20" customHeight="1">
      <x:c r="C197" s="2" t="str">
        <x:v>Investment property under construction</x:v>
      </x:c>
      <x:c r="D197" s="22" t="n">
        <x:f>'01_Historical+Segments'!D170</x:f>
        <x:v>0</x:v>
      </x:c>
      <x:c r="E197" s="22" t="n">
        <x:f>'01_Historical+Segments'!E170</x:f>
        <x:v>0</x:v>
      </x:c>
      <x:c r="F197" s="22" t="n">
        <x:f>'01_Historical+Segments'!F170</x:f>
        <x:v>762.98</x:v>
      </x:c>
      <x:c r="G197" s="22" t="n">
        <x:f>'01_Historical+Segments'!G170</x:f>
        <x:v>790.08</x:v>
      </x:c>
      <x:c r="H197" s="22" t="n">
        <x:f>'01_Historical+Segments'!H170</x:f>
        <x:v>883.02</x:v>
      </x:c>
      <x:c r="I197" s="14" t="n">
        <x:f>H197</x:f>
        <x:v>883.02</x:v>
      </x:c>
      <x:c r="J197" s="14" t="n">
        <x:f>I197</x:f>
        <x:v>883.02</x:v>
      </x:c>
      <x:c r="K197" s="14" t="n">
        <x:f>J197</x:f>
        <x:v>883.02</x:v>
      </x:c>
      <x:c r="L197" s="14" t="n">
        <x:f>K197</x:f>
        <x:v>883.02</x:v>
      </x:c>
      <x:c r="M197" s="14" t="n">
        <x:f>L197</x:f>
        <x:v>883.02</x:v>
      </x:c>
      <x:c r="N197" s="2"/>
      <x:c r="O197" s="2"/>
    </x:row>
    <x:row r="198" ht="20" customHeight="1">
      <x:c r="C198" s="2" t="str">
        <x:v>Goodwill</x:v>
      </x:c>
      <x:c r="D198" s="22" t="n">
        <x:f>'01_Historical+Segments'!D173</x:f>
        <x:v>46.22</x:v>
      </x:c>
      <x:c r="E198" s="22" t="n">
        <x:f>'01_Historical+Segments'!E173</x:f>
        <x:v>46.22</x:v>
      </x:c>
      <x:c r="F198" s="22" t="n">
        <x:f>'01_Historical+Segments'!F173</x:f>
        <x:v>46.22</x:v>
      </x:c>
      <x:c r="G198" s="22" t="n">
        <x:f>'01_Historical+Segments'!G173</x:f>
        <x:v>0</x:v>
      </x:c>
      <x:c r="H198" s="22" t="n">
        <x:f>'01_Historical+Segments'!H173</x:f>
        <x:v>0</x:v>
      </x:c>
      <x:c r="I198" s="14" t="n">
        <x:f>H198</x:f>
        <x:v>0</x:v>
      </x:c>
      <x:c r="J198" s="14" t="n">
        <x:f>I198</x:f>
        <x:v>0</x:v>
      </x:c>
      <x:c r="K198" s="14" t="n">
        <x:f>J198</x:f>
        <x:v>0</x:v>
      </x:c>
      <x:c r="L198" s="14" t="n">
        <x:f>K198</x:f>
        <x:v>0</x:v>
      </x:c>
      <x:c r="M198" s="14" t="n">
        <x:f>L198</x:f>
        <x:v>0</x:v>
      </x:c>
      <x:c r="N198" s="2"/>
      <x:c r="O198" s="2"/>
    </x:row>
    <x:row r="199" ht="20" customHeight="1">
      <x:c r="C199" s="95" t="str">
        <x:v>Total net fixed assets</x:v>
      </x:c>
      <x:c r="D199" s="97" t="n">
        <x:f>'03_3Statement+Schedules'!D32</x:f>
        <x:v>20505.730000000003</x:v>
      </x:c>
      <x:c r="E199" s="97" t="n">
        <x:f>'03_3Statement+Schedules'!E32</x:f>
        <x:v>23177.07</x:v>
      </x:c>
      <x:c r="F199" s="97" t="n">
        <x:f>'03_3Statement+Schedules'!F32</x:f>
        <x:v>29159.659999999996</x:v>
      </x:c>
      <x:c r="G199" s="97" t="n">
        <x:f>'03_3Statement+Schedules'!G32</x:f>
        <x:v>37192.939999999995</x:v>
      </x:c>
      <x:c r="H199" s="97" t="n">
        <x:f>'03_3Statement+Schedules'!H32</x:f>
        <x:v>48793.56</x:v>
      </x:c>
      <x:c r="I199" s="98" t="n">
        <x:f>SUM(I185,I190,I195,I197:I198)</x:f>
        <x:v>57683.25870410702</x:v>
      </x:c>
      <x:c r="J199" s="98" t="n">
        <x:f>SUM(J185,J190,J195,J197:J198)</x:f>
        <x:v>65314.50957380314</x:v>
      </x:c>
      <x:c r="K199" s="98" t="n">
        <x:f>SUM(K185,K190,K195,K197:K198)</x:f>
        <x:v>72080.07650632045</x:v>
      </x:c>
      <x:c r="L199" s="98" t="n">
        <x:f>SUM(L185,L190,L195,L197:L198)</x:f>
        <x:v>78077.79477863906</x:v>
      </x:c>
      <x:c r="M199" s="98" t="n">
        <x:f>SUM(M185,M190,M195,M197:M198)</x:f>
        <x:v>85162.64873225769</x:v>
      </x:c>
      <x:c r="N199" s="2"/>
      <x:c r="O199" s="2"/>
    </x:row>
    <x:row r="200" ht="44" customHeight="1">
      <x:c r="C200" s="95" t="str">
        <x:v>Total D&amp;A</x:v>
      </x:c>
      <x:c r="D200" s="97" t="n">
        <x:f>'03_3Statement+Schedules'!D14</x:f>
        <x:v>2015.19</x:v>
      </x:c>
      <x:c r="E200" s="97" t="n">
        <x:f>'03_3Statement+Schedules'!E14</x:f>
        <x:v>2091.64</x:v>
      </x:c>
      <x:c r="F200" s="97" t="n">
        <x:f>'03_3Statement+Schedules'!F14</x:f>
        <x:v>2450.4</x:v>
      </x:c>
      <x:c r="G200" s="97" t="n">
        <x:f>'03_3Statement+Schedules'!G14</x:f>
        <x:v>2981.03</x:v>
      </x:c>
      <x:c r="H200" s="97" t="n">
        <x:f>'03_3Statement+Schedules'!H14</x:f>
        <x:v>3858.69</x:v>
      </x:c>
      <x:c r="I200" s="98" t="n">
        <x:f>SUM(I189,I194)</x:f>
        <x:v>5358.721295892978</x:v>
      </x:c>
      <x:c r="J200" s="98" t="n">
        <x:f>SUM(J189,J194)</x:f>
        <x:v>6617.169130303889</x:v>
      </x:c>
      <x:c r="K200" s="98" t="n">
        <x:f>SUM(K189,K194)</x:f>
        <x:v>7482.853067482698</x:v>
      </x:c>
      <x:c r="L200" s="98" t="n">
        <x:f>SUM(L189,L194)</x:f>
        <x:v>8250.70172768138</x:v>
      </x:c>
      <x:c r="M200" s="98" t="n">
        <x:f>SUM(M189,M194)</x:f>
        <x:v>8983.566046381382</x:v>
      </x:c>
      <x:c r="N200" s="2"/>
      <x:c r="O200" s="16" t="str">
        <x:v>D&amp;A now responds to investment and commissioning. Segment allocations use FY26 disclosed depreciation shares. W&amp;C/FMEG EBITDA and EPC EBIT remain the operating margin drivers.</x:v>
      </x:c>
    </x:row>
    <x:row r="201" ht="20" customHeight="1">
      <x:c r="C201" s="2"/>
      <x:c r="D201" s="3"/>
      <x:c r="E201" s="3"/>
      <x:c r="F201" s="3"/>
      <x:c r="G201" s="3"/>
      <x:c r="H201" s="3"/>
      <x:c r="I201" s="3"/>
      <x:c r="J201" s="3"/>
      <x:c r="K201" s="3"/>
      <x:c r="L201" s="3"/>
      <x:c r="M201" s="3"/>
      <x:c r="N201" s="2"/>
      <x:c r="O201" s="2"/>
    </x:row>
    <x:row r="202" ht="20" customHeight="1">
      <x:c r="C202" s="2"/>
      <x:c r="D202" s="3"/>
      <x:c r="E202" s="3"/>
      <x:c r="F202" s="3"/>
      <x:c r="G202" s="3"/>
      <x:c r="H202" s="3"/>
      <x:c r="I202" s="3"/>
      <x:c r="J202" s="3"/>
      <x:c r="K202" s="3"/>
      <x:c r="L202" s="3"/>
      <x:c r="M202" s="3"/>
      <x:c r="N202" s="2"/>
      <x:c r="O202" s="2"/>
    </x:row>
    <x:row r="203" ht="20" customHeight="1">
      <x:c r="C203" s="2"/>
      <x:c r="D203" s="3"/>
      <x:c r="E203" s="3"/>
      <x:c r="F203" s="3"/>
      <x:c r="G203" s="3"/>
      <x:c r="H203" s="3"/>
      <x:c r="I203" s="3"/>
      <x:c r="J203" s="3"/>
      <x:c r="K203" s="3"/>
      <x:c r="L203" s="3"/>
      <x:c r="M203" s="3"/>
      <x:c r="N203" s="2"/>
      <x:c r="O203" s="2"/>
    </x:row>
    <x:row r="204" ht="20" customHeight="1">
      <x:c r="C204" s="2"/>
      <x:c r="D204" s="3"/>
      <x:c r="E204" s="3"/>
      <x:c r="F204" s="3"/>
      <x:c r="G204" s="3"/>
      <x:c r="H204" s="3"/>
      <x:c r="I204" s="3"/>
      <x:c r="J204" s="3"/>
      <x:c r="K204" s="3"/>
      <x:c r="L204" s="3"/>
      <x:c r="M204" s="3"/>
      <x:c r="N204" s="2"/>
      <x:c r="O204" s="2"/>
    </x:row>
    <x:row r="205" ht="20" customHeight="1">
      <x:c r="C205" s="2"/>
      <x:c r="D205" s="3"/>
      <x:c r="E205" s="3"/>
      <x:c r="F205" s="3"/>
      <x:c r="G205" s="3"/>
      <x:c r="H205" s="3"/>
      <x:c r="I205" s="3"/>
      <x:c r="J205" s="3"/>
      <x:c r="K205" s="3"/>
      <x:c r="L205" s="3"/>
      <x:c r="M205" s="3"/>
      <x:c r="N205" s="2"/>
      <x:c r="O205" s="2"/>
    </x:row>
    <x:row r="206" ht="24" customHeight="1">
      <x:c r="C206" s="80" t="str">
        <x:v>Forecast review checks</x:v>
      </x:c>
      <x:c r="D206" s="81"/>
      <x:c r="E206" s="81"/>
      <x:c r="F206" s="81"/>
      <x:c r="G206" s="81"/>
      <x:c r="H206" s="81"/>
      <x:c r="I206" s="81"/>
      <x:c r="J206" s="81"/>
      <x:c r="K206" s="81"/>
      <x:c r="L206" s="81"/>
      <x:c r="M206" s="81"/>
      <x:c r="N206" s="2"/>
      <x:c r="O206" s="2"/>
    </x:row>
    <x:row r="207" ht="20" customHeight="1">
      <x:c r="C207" s="2"/>
      <x:c r="D207" s="3"/>
      <x:c r="E207" s="3"/>
      <x:c r="F207" s="3"/>
      <x:c r="G207" s="3"/>
      <x:c r="H207" s="3"/>
      <x:c r="I207" s="3"/>
      <x:c r="J207" s="3"/>
      <x:c r="K207" s="3"/>
      <x:c r="L207" s="3"/>
      <x:c r="M207" s="3"/>
      <x:c r="N207" s="2"/>
      <x:c r="O207" s="2"/>
    </x:row>
    <x:row r="208" ht="20" customHeight="1">
      <x:c r="C208" s="2" t="str">
        <x:v>Balance-sheet difference</x:v>
      </x:c>
      <x:c r="D208" s="100"/>
      <x:c r="E208" s="100"/>
      <x:c r="F208" s="100"/>
      <x:c r="G208" s="100"/>
      <x:c r="H208" s="100"/>
      <x:c r="I208" s="101" t="n">
        <x:f>I40-I51</x:f>
        <x:v>2.9103830456733704e-11</x:v>
      </x:c>
      <x:c r="J208" s="101" t="n">
        <x:f>J40-J51</x:f>
        <x:v>1.1641532182693481e-10</x:v>
      </x:c>
      <x:c r="K208" s="101" t="n">
        <x:f>K40-K51</x:f>
        <x:v>5.820766091346741e-11</x:v>
      </x:c>
      <x:c r="L208" s="101" t="n">
        <x:f>L40-L51</x:f>
        <x:v>0</x:v>
      </x:c>
      <x:c r="M208" s="101" t="n">
        <x:f>M40-M51</x:f>
        <x:v>5.820766091346741e-11</x:v>
      </x:c>
      <x:c r="N208" s="2"/>
      <x:c r="O208" s="2"/>
    </x:row>
    <x:row r="209" ht="20" customHeight="1">
      <x:c r="C209" s="2" t="str">
        <x:v>Cash reconciliation</x:v>
      </x:c>
      <x:c r="D209" s="100"/>
      <x:c r="E209" s="100"/>
      <x:c r="F209" s="100"/>
      <x:c r="G209" s="100"/>
      <x:c r="H209" s="100"/>
      <x:c r="I209" s="101" t="n">
        <x:f>I168-I156</x:f>
        <x:v>-3.637978807091713e-12</x:v>
      </x:c>
      <x:c r="J209" s="101" t="n">
        <x:f>J168-J156</x:f>
        <x:v>9.094947017729282e-13</x:v>
      </x:c>
      <x:c r="K209" s="101" t="n">
        <x:f>K168-K156</x:f>
        <x:v>3.637978807091713e-12</x:v>
      </x:c>
      <x:c r="L209" s="101" t="n">
        <x:f>L168-L156</x:f>
        <x:v>-5.4569682106375694e-12</x:v>
      </x:c>
      <x:c r="M209" s="101" t="n">
        <x:f>M168-M156</x:f>
        <x:v>0</x:v>
      </x:c>
      <x:c r="N209" s="2"/>
      <x:c r="O209" s="2"/>
    </x:row>
    <x:row r="210" ht="20" customHeight="1">
      <x:c r="C210" s="2" t="str">
        <x:v>Treasury components reconciliation</x:v>
      </x:c>
      <x:c r="D210" s="100"/>
      <x:c r="E210" s="100"/>
      <x:c r="F210" s="100"/>
      <x:c r="G210" s="100"/>
      <x:c r="H210" s="100"/>
      <x:c r="I210" s="101" t="n">
        <x:f>I159-I39</x:f>
        <x:v>0</x:v>
      </x:c>
      <x:c r="J210" s="101" t="n">
        <x:f>J159-J39</x:f>
        <x:v>0</x:v>
      </x:c>
      <x:c r="K210" s="101" t="n">
        <x:f>K159-K39</x:f>
        <x:v>0</x:v>
      </x:c>
      <x:c r="L210" s="101" t="n">
        <x:f>L159-L39</x:f>
        <x:v>0</x:v>
      </x:c>
      <x:c r="M210" s="101" t="n">
        <x:f>M159-M39</x:f>
        <x:v>0</x:v>
      </x:c>
      <x:c r="N210" s="2"/>
      <x:c r="O210" s="2"/>
    </x:row>
    <x:row r="211" ht="20" customHeight="1">
      <x:c r="C211" s="2" t="str">
        <x:v>Fixed assets roll-forward difference</x:v>
      </x:c>
      <x:c r="D211" s="100"/>
      <x:c r="E211" s="100"/>
      <x:c r="F211" s="100"/>
      <x:c r="G211" s="100"/>
      <x:c r="H211" s="100"/>
      <x:c r="I211" s="101" t="n">
        <x:f>I199-(I135+I136+I137-I138+I139)</x:f>
        <x:v>0</x:v>
      </x:c>
      <x:c r="J211" s="101" t="n">
        <x:f>J199-(J135+J136+J137-J138+J139)</x:f>
        <x:v>7.275957614183426e-12</x:v>
      </x:c>
      <x:c r="K211" s="101" t="n">
        <x:f>K199-(K135+K136+K137-K138+K139)</x:f>
        <x:v>0</x:v>
      </x:c>
      <x:c r="L211" s="101" t="n">
        <x:f>L199-(L135+L136+L137-L138+L139)</x:f>
        <x:v>0</x:v>
      </x:c>
      <x:c r="M211" s="101" t="n">
        <x:f>M199-(M135+M136+M137-M138+M139)</x:f>
        <x:v>1.4551915228366852e-11</x:v>
      </x:c>
      <x:c r="N211" s="2"/>
      <x:c r="O211" s="2"/>
    </x:row>
    <x:row r="212" ht="20" customHeight="1">
      <x:c r="C212" s="2" t="str">
        <x:v>D&amp;A segment allocation difference</x:v>
      </x:c>
      <x:c r="D212" s="100"/>
      <x:c r="E212" s="100"/>
      <x:c r="F212" s="100"/>
      <x:c r="G212" s="100"/>
      <x:c r="H212" s="100"/>
      <x:c r="I212" s="101" t="n">
        <x:f>SUM(I112,I116,I120)-I200</x:f>
        <x:v>0</x:v>
      </x:c>
      <x:c r="J212" s="101" t="n">
        <x:f>SUM(J112,J116,J120)-J200</x:f>
        <x:v>0</x:v>
      </x:c>
      <x:c r="K212" s="101" t="n">
        <x:f>SUM(K112,K116,K120)-K200</x:f>
        <x:v>-9.094947017729282e-13</x:v>
      </x:c>
      <x:c r="L212" s="101" t="n">
        <x:f>SUM(L112,L116,L120)-L200</x:f>
        <x:v>0</x:v>
      </x:c>
      <x:c r="M212" s="101" t="n">
        <x:f>SUM(M112,M116,M120)-M200</x:f>
        <x:v>0</x:v>
      </x:c>
      <x:c r="N212" s="2"/>
      <x:c r="O212" s="2"/>
    </x:row>
    <x:row r="213" ht="20" customHeight="1">
      <x:c r="C213" s="2" t="str">
        <x:v>Segment income / group revenue difference</x:v>
      </x:c>
      <x:c r="D213" s="100"/>
      <x:c r="E213" s="100"/>
      <x:c r="F213" s="100"/>
      <x:c r="G213" s="100"/>
      <x:c r="H213" s="100"/>
      <x:c r="I213" s="101" t="n">
        <x:f>I107-I108-I9</x:f>
        <x:v>0</x:v>
      </x:c>
      <x:c r="J213" s="101" t="n">
        <x:f>J107-J108-J9</x:f>
        <x:v>0</x:v>
      </x:c>
      <x:c r="K213" s="101" t="n">
        <x:f>K107-K108-K9</x:f>
        <x:v>0</x:v>
      </x:c>
      <x:c r="L213" s="101" t="n">
        <x:f>L107-L108-L9</x:f>
        <x:v>0</x:v>
      </x:c>
      <x:c r="M213" s="101" t="n">
        <x:f>M107-M108-M9</x:f>
        <x:v>0</x:v>
      </x:c>
      <x:c r="N213" s="2"/>
      <x:c r="O213" s="2"/>
    </x:row>
    <x:row r="214" ht="20" customHeight="1">
      <x:c r="C214" s="2" t="str">
        <x:v>Parent equity roll-forward difference</x:v>
      </x:c>
      <x:c r="D214" s="100"/>
      <x:c r="E214" s="100"/>
      <x:c r="F214" s="100"/>
      <x:c r="G214" s="100"/>
      <x:c r="H214" s="100"/>
      <x:c r="I214" s="101" t="n">
        <x:f>I43-H43-I24-I78-I79</x:f>
        <x:v>-5.4569682106375694e-12</x:v>
      </x:c>
      <x:c r="J214" s="101" t="n">
        <x:f>J43-I43-J24-J78-J79</x:f>
        <x:v>-1.0913936421275139e-11</x:v>
      </x:c>
      <x:c r="K214" s="101" t="n">
        <x:f>K43-J43-K24-K78-K79</x:f>
        <x:v>9.094947017729282e-12</x:v>
      </x:c>
      <x:c r="L214" s="101" t="n">
        <x:f>L43-K43-L24-L78-L79</x:f>
        <x:v>-7.275957614183426e-12</x:v>
      </x:c>
      <x:c r="M214" s="101" t="n">
        <x:f>M43-L43-M24-M78-M79</x:f>
        <x:v>-2.9103830456733704e-11</x:v>
      </x:c>
      <x:c r="N214" s="2"/>
      <x:c r="O214" s="2"/>
    </x:row>
    <x:row r="215" ht="20" customHeight="1">
      <x:c r="C215" s="2" t="str">
        <x:v>NCI roll-forward difference</x:v>
      </x:c>
      <x:c r="D215" s="100"/>
      <x:c r="E215" s="100"/>
      <x:c r="F215" s="100"/>
      <x:c r="G215" s="100"/>
      <x:c r="H215" s="100"/>
      <x:c r="I215" s="101" t="n">
        <x:f>I44-H44-I23</x:f>
        <x:v>1.1368683772161603e-13</x:v>
      </x:c>
      <x:c r="J215" s="101" t="n">
        <x:f>J44-I44-J23</x:f>
        <x:v>-5.684341886080802e-14</x:v>
      </x:c>
      <x:c r="K215" s="101" t="n">
        <x:f>K44-J44-K23</x:f>
        <x:v>-2.2737367544323206e-13</x:v>
      </x:c>
      <x:c r="L215" s="101" t="n">
        <x:f>L44-K44-L23</x:f>
        <x:v>1.1368683772161603e-13</x:v>
      </x:c>
      <x:c r="M215" s="101" t="n">
        <x:f>M44-L44-M23</x:f>
        <x:v>2.2737367544323206e-13</x:v>
      </x:c>
      <x:c r="N215" s="2"/>
      <x:c r="O215" s="2"/>
    </x:row>
    <x:row r="216" ht="20" customHeight="1">
      <x:c r="C216" s="2" t="str">
        <x:v>Lease liabilities roll-forward difference</x:v>
      </x:c>
      <x:c r="D216" s="100"/>
      <x:c r="E216" s="100"/>
      <x:c r="F216" s="100"/>
      <x:c r="G216" s="100"/>
      <x:c r="H216" s="100"/>
      <x:c r="I216" s="101" t="n">
        <x:f>I46-H46-I137-I76</x:f>
        <x:v>0</x:v>
      </x:c>
      <x:c r="J216" s="101" t="n">
        <x:f>J46-I46-J137-J76</x:f>
        <x:v>0</x:v>
      </x:c>
      <x:c r="K216" s="101" t="n">
        <x:f>K46-J46-K137-K76</x:f>
        <x:v>0</x:v>
      </x:c>
      <x:c r="L216" s="101" t="n">
        <x:f>L46-K46-L137-L76</x:f>
        <x:v>0</x:v>
      </x:c>
      <x:c r="M216" s="101" t="n">
        <x:f>M46-L46-M137-M76</x:f>
        <x:v>0</x:v>
      </x:c>
      <x:c r="N216" s="2"/>
      <x:c r="O216" s="2"/>
    </x:row>
    <x:row r="217" ht="20" customHeight="1">
      <x:c r="C217" s="2" t="str">
        <x:v>Conventional debt roll-forward difference</x:v>
      </x:c>
      <x:c r="D217" s="100"/>
      <x:c r="E217" s="100"/>
      <x:c r="F217" s="100"/>
      <x:c r="G217" s="100"/>
      <x:c r="H217" s="100"/>
      <x:c r="I217" s="101" t="n">
        <x:f>I45-H45-I74</x:f>
        <x:v>0</x:v>
      </x:c>
      <x:c r="J217" s="101" t="n">
        <x:f>J45-I45-J74</x:f>
        <x:v>0</x:v>
      </x:c>
      <x:c r="K217" s="101" t="n">
        <x:f>K45-J45-K74</x:f>
        <x:v>0</x:v>
      </x:c>
      <x:c r="L217" s="101" t="n">
        <x:f>L45-K45-L74</x:f>
        <x:v>0</x:v>
      </x:c>
      <x:c r="M217" s="101" t="n">
        <x:f>M45-L45-M74</x:f>
        <x:v>0</x:v>
      </x:c>
      <x:c r="N217" s="2"/>
      <x:c r="O217" s="2"/>
    </x:row>
    <x:row r="218" ht="20" customHeight="1">
      <x:c r="C218" s="2" t="str">
        <x:v>FCFF / cash generation bridge</x:v>
      </x:c>
      <x:c r="D218" s="100"/>
      <x:c r="E218" s="100"/>
      <x:c r="F218" s="100"/>
      <x:c r="G218" s="100"/>
      <x:c r="H218" s="100"/>
      <x:c r="I218" s="101" t="n">
        <x:f>'04_Valuation'!I16-(I66-I136+(I16-I19)*I21/I20-I17*(1-I21/I20)-I137-(I156-H156))</x:f>
        <x:v>4.547473508864641e-13</x:v>
      </x:c>
      <x:c r="J218" s="101" t="n">
        <x:f>'04_Valuation'!J16-(J66-J136+(J16-J19)*J21/J20-J17*(1-J21/J20)-J137-(J156-I156))</x:f>
        <x:v>3.637978807091713e-12</x:v>
      </x:c>
      <x:c r="K218" s="101" t="n">
        <x:f>'04_Valuation'!K16-(K66-K136+(K16-K19)*K21/K20-K17*(1-K21/K20)-K137-(K156-J156))</x:f>
        <x:v>3.637978807091713e-12</x:v>
      </x:c>
      <x:c r="L218" s="101" t="n">
        <x:f>'04_Valuation'!L16-(L66-L136+(L16-L19)*L21/L20-L17*(1-L21/L20)-L137-(L156-K156))</x:f>
        <x:v>-1.0913936421275139e-11</x:v>
      </x:c>
      <x:c r="M218" s="101" t="n">
        <x:f>'04_Valuation'!M16-(M66-M136+(M16-M19)*M21/M20-M17*(1-M21/M20)-M137-(M156-L156))</x:f>
        <x:v>7.275957614183426e-12</x:v>
      </x:c>
      <x:c r="N218" s="2"/>
      <x:c r="O218" s="2"/>
    </x:row>
    <x:row r="219" ht="20" customHeight="1">
      <x:c r="C219" s="2"/>
      <x:c r="D219" s="3"/>
      <x:c r="E219" s="3"/>
      <x:c r="F219" s="3"/>
      <x:c r="G219" s="3"/>
      <x:c r="H219" s="3"/>
      <x:c r="I219" s="3"/>
      <x:c r="J219" s="3"/>
      <x:c r="K219" s="3"/>
      <x:c r="L219" s="3"/>
      <x:c r="M219" s="3"/>
      <x:c r="N219" s="2"/>
      <x:c r="O219" s="2"/>
    </x:row>
    <x:row r="220" ht="20" customHeight="1">
      <x:c r="C220" s="2" t="str">
        <x:v>Unfunded treasury allocation</x:v>
      </x:c>
      <x:c r="D220" s="100"/>
      <x:c r="E220" s="100"/>
      <x:c r="F220" s="100"/>
      <x:c r="G220" s="100"/>
      <x:c r="H220" s="100"/>
      <x:c r="I220" s="101" t="n">
        <x:f>MAX(0,-I158)</x:f>
        <x:v>0</x:v>
      </x:c>
      <x:c r="J220" s="101" t="n">
        <x:f>MAX(0,-J158)</x:f>
        <x:v>0</x:v>
      </x:c>
      <x:c r="K220" s="101" t="n">
        <x:f>MAX(0,-K158)</x:f>
        <x:v>0</x:v>
      </x:c>
      <x:c r="L220" s="101" t="n">
        <x:f>MAX(0,-L158)</x:f>
        <x:v>0</x:v>
      </x:c>
      <x:c r="M220" s="101" t="n">
        <x:f>MAX(0,-M158)</x:f>
        <x:v>0</x:v>
      </x:c>
      <x:c r="N220" s="2"/>
      <x:c r="O220" s="2"/>
    </x:row>
    <x:row r="221" ht="20" customHeight="1">
      <x:c r="C221" s="2" t="str">
        <x:v>Negative assets / financing count</x:v>
      </x:c>
      <x:c r="D221" s="100"/>
      <x:c r="E221" s="100"/>
      <x:c r="F221" s="100"/>
      <x:c r="G221" s="100"/>
      <x:c r="H221" s="100"/>
      <x:c r="I221" s="101" t="n">
        <x:f>COUNTIFS(I32:I39,"&lt;0")+COUNTIFS(I45:I48,"&lt;0")</x:f>
        <x:v>0</x:v>
      </x:c>
      <x:c r="J221" s="101" t="n">
        <x:f>COUNTIFS(J32:J39,"&lt;0")+COUNTIFS(J45:J48,"&lt;0")</x:f>
        <x:v>0</x:v>
      </x:c>
      <x:c r="K221" s="101" t="n">
        <x:f>COUNTIFS(K32:K39,"&lt;0")+COUNTIFS(K45:K48,"&lt;0")</x:f>
        <x:v>0</x:v>
      </x:c>
      <x:c r="L221" s="101" t="n">
        <x:f>COUNTIFS(L32:L39,"&lt;0")+COUNTIFS(L45:L48,"&lt;0")</x:f>
        <x:v>0</x:v>
      </x:c>
      <x:c r="M221" s="101" t="n">
        <x:f>COUNTIFS(M32:M39,"&lt;0")+COUNTIFS(M45:M48,"&lt;0")</x:f>
        <x:v>0</x:v>
      </x:c>
      <x:c r="N221" s="2"/>
      <x:c r="O221" s="2"/>
    </x:row>
    <x:row r="222" ht="20" customHeight="1">
      <x:c r="C222" s="2" t="str">
        <x:v>Opex below zero</x:v>
      </x:c>
      <x:c r="D222" s="100"/>
      <x:c r="E222" s="100"/>
      <x:c r="F222" s="100"/>
      <x:c r="G222" s="100"/>
      <x:c r="H222" s="100"/>
      <x:c r="I222" s="101" t="n">
        <x:f>MAX(0,-I12)</x:f>
        <x:v>0</x:v>
      </x:c>
      <x:c r="J222" s="101" t="n">
        <x:f>MAX(0,-J12)</x:f>
        <x:v>0</x:v>
      </x:c>
      <x:c r="K222" s="101" t="n">
        <x:f>MAX(0,-K12)</x:f>
        <x:v>0</x:v>
      </x:c>
      <x:c r="L222" s="101" t="n">
        <x:f>MAX(0,-L12)</x:f>
        <x:v>0</x:v>
      </x:c>
      <x:c r="M222" s="101" t="n">
        <x:f>MAX(0,-M12)</x:f>
        <x:v>0</x:v>
      </x:c>
      <x:c r="N222" s="2"/>
      <x:c r="O222" s="2"/>
    </x:row>
    <x:row r="223" ht="20" customHeight="1">
      <x:c r="C223" s="2"/>
      <x:c r="D223" s="3"/>
      <x:c r="E223" s="3"/>
      <x:c r="F223" s="3"/>
      <x:c r="G223" s="3"/>
      <x:c r="H223" s="3"/>
      <x:c r="I223" s="3"/>
      <x:c r="J223" s="3"/>
      <x:c r="K223" s="3"/>
      <x:c r="L223" s="3"/>
      <x:c r="M223" s="3"/>
      <x:c r="N223" s="2"/>
      <x:c r="O223" s="2"/>
    </x:row>
    <x:row r="224" ht="20" customHeight="1">
      <x:c r="C224" s="2"/>
      <x:c r="D224" s="3"/>
      <x:c r="E224" s="3"/>
      <x:c r="F224" s="3"/>
      <x:c r="G224" s="3"/>
      <x:c r="H224" s="3"/>
      <x:c r="I224" s="3"/>
      <x:c r="J224" s="3"/>
      <x:c r="K224" s="3"/>
      <x:c r="L224" s="3"/>
      <x:c r="M224" s="3"/>
      <x:c r="N224" s="2"/>
      <x:c r="O224" s="2"/>
    </x:row>
    <x:row r="225" ht="20" customHeight="1">
      <x:c r="C225" s="2"/>
      <x:c r="D225" s="3"/>
      <x:c r="E225" s="3"/>
      <x:c r="F225" s="3"/>
      <x:c r="G225" s="3"/>
      <x:c r="H225" s="3"/>
      <x:c r="I225" s="3"/>
      <x:c r="J225" s="3"/>
      <x:c r="K225" s="3"/>
      <x:c r="L225" s="3"/>
      <x:c r="M225" s="3"/>
      <x:c r="N225" s="2"/>
      <x:c r="O225" s="2"/>
    </x:row>
    <x:row r="226" ht="20" customHeight="1">
      <x:c r="C226" s="2"/>
      <x:c r="D226" s="3"/>
      <x:c r="E226" s="3"/>
      <x:c r="F226" s="3"/>
      <x:c r="G226" s="3"/>
      <x:c r="H226" s="3"/>
      <x:c r="I226" s="3"/>
      <x:c r="J226" s="3"/>
      <x:c r="K226" s="3"/>
      <x:c r="L226" s="3"/>
      <x:c r="M226" s="3"/>
      <x:c r="N226" s="2"/>
      <x:c r="O226" s="2"/>
    </x:row>
    <x:row r="227" ht="20" customHeight="1">
      <x:c r="C227" s="2"/>
      <x:c r="D227" s="3"/>
      <x:c r="E227" s="3"/>
      <x:c r="F227" s="3"/>
      <x:c r="G227" s="3"/>
      <x:c r="H227" s="3"/>
      <x:c r="I227" s="3"/>
      <x:c r="J227" s="3"/>
      <x:c r="K227" s="3"/>
      <x:c r="L227" s="3"/>
      <x:c r="M227" s="3"/>
      <x:c r="N227" s="2"/>
      <x:c r="O227" s="2"/>
    </x:row>
    <x:row r="228" ht="20" customHeight="1">
      <x:c r="C228" s="2"/>
      <x:c r="D228" s="3"/>
      <x:c r="E228" s="3"/>
      <x:c r="F228" s="3"/>
      <x:c r="G228" s="3"/>
      <x:c r="H228" s="3"/>
      <x:c r="I228" s="3"/>
      <x:c r="J228" s="3"/>
      <x:c r="K228" s="3"/>
      <x:c r="L228" s="3"/>
      <x:c r="M228" s="3"/>
      <x:c r="N228" s="2"/>
      <x:c r="O228" s="2"/>
    </x:row>
    <x:row r="229" ht="20" customHeight="1">
      <x:c r="C229" s="2"/>
      <x:c r="D229" s="3"/>
      <x:c r="E229" s="3"/>
      <x:c r="F229" s="3"/>
      <x:c r="G229" s="3"/>
      <x:c r="H229" s="3"/>
      <x:c r="I229" s="3"/>
      <x:c r="J229" s="3"/>
      <x:c r="K229" s="3"/>
      <x:c r="L229" s="3"/>
      <x:c r="M229" s="3"/>
      <x:c r="N229" s="2"/>
      <x:c r="O229" s="2"/>
    </x:row>
    <x:row r="230" ht="24" customHeight="1">
      <x:c r="C230" s="80" t="str">
        <x:v>Why growth absorbs cash: working-capital components</x:v>
      </x:c>
      <x:c r="D230" s="81"/>
      <x:c r="E230" s="81"/>
      <x:c r="F230" s="81"/>
      <x:c r="G230" s="81"/>
      <x:c r="H230" s="81"/>
      <x:c r="I230" s="81"/>
      <x:c r="J230" s="81"/>
      <x:c r="K230" s="81"/>
      <x:c r="L230" s="81"/>
      <x:c r="M230" s="81"/>
      <x:c r="N230" s="2"/>
      <x:c r="O230" s="2"/>
    </x:row>
    <x:row r="231" ht="24" customHeight="1">
      <x:c r="C231" s="2"/>
      <x:c r="D231" s="3"/>
      <x:c r="E231" s="3"/>
      <x:c r="F231" s="3"/>
      <x:c r="G231" s="3"/>
      <x:c r="H231" s="3"/>
      <x:c r="I231" s="81" t="str">
        <x:v>FY27E</x:v>
      </x:c>
      <x:c r="J231" s="81" t="str">
        <x:v>FY28E</x:v>
      </x:c>
      <x:c r="K231" s="81" t="str">
        <x:v>FY29E</x:v>
      </x:c>
      <x:c r="L231" s="81" t="str">
        <x:v>FY30E</x:v>
      </x:c>
      <x:c r="M231" s="81" t="str">
        <x:v>FY31E</x:v>
      </x:c>
      <x:c r="N231" s="2"/>
      <x:c r="O231" s="2"/>
    </x:row>
    <x:row r="232" ht="20" customHeight="1">
      <x:c r="C232" s="2" t="str">
        <x:v>Increase in current receivables</x:v>
      </x:c>
      <x:c r="D232" s="3"/>
      <x:c r="E232" s="3"/>
      <x:c r="F232" s="3"/>
      <x:c r="G232" s="3"/>
      <x:c r="H232" s="3"/>
      <x:c r="I232" s="14" t="n">
        <x:f>I33-H33</x:f>
        <x:v>6312.77835316283</x:v>
      </x:c>
      <x:c r="J232" s="14" t="n">
        <x:f>J33-I33</x:f>
        <x:v>8101.719025348284</x:v>
      </x:c>
      <x:c r="K232" s="14" t="n">
        <x:f>K33-J33</x:f>
        <x:v>8783.78496440938</x:v>
      </x:c>
      <x:c r="L232" s="14" t="n">
        <x:f>L33-K33</x:f>
        <x:v>9409.918403538031</x:v>
      </x:c>
      <x:c r="M232" s="14" t="n">
        <x:f>M33-L33</x:f>
        <x:v>9569.39586282165</x:v>
      </x:c>
      <x:c r="N232" s="2"/>
      <x:c r="O232" s="2"/>
    </x:row>
    <x:row r="233" ht="20" customHeight="1">
      <x:c r="C233" s="2" t="str">
        <x:v>Increase in non-current receivables</x:v>
      </x:c>
      <x:c r="D233" s="3"/>
      <x:c r="E233" s="3"/>
      <x:c r="F233" s="3"/>
      <x:c r="G233" s="3"/>
      <x:c r="H233" s="3"/>
      <x:c r="I233" s="14" t="n">
        <x:f>I34-H34</x:f>
        <x:v>0</x:v>
      </x:c>
      <x:c r="J233" s="14" t="n">
        <x:f>J34-I34</x:f>
        <x:v>358.22720000000027</x:v>
      </x:c>
      <x:c r="K233" s="14" t="n">
        <x:f>K34-J34</x:f>
        <x:v>386.8853760000002</x:v>
      </x:c>
      <x:c r="L233" s="14" t="n">
        <x:f>L34-K34</x:f>
        <x:v>313.37715456000024</x:v>
      </x:c>
      <x:c r="M233" s="14" t="n">
        <x:f>M34-L34</x:f>
        <x:v>276.8164865280005</x:v>
      </x:c>
      <x:c r="N233" s="2"/>
      <x:c r="O233" s="2"/>
    </x:row>
    <x:row r="234" ht="20" customHeight="1">
      <x:c r="C234" s="2" t="str">
        <x:v>Increase in inventory</x:v>
      </x:c>
      <x:c r="D234" s="3"/>
      <x:c r="E234" s="3"/>
      <x:c r="F234" s="3"/>
      <x:c r="G234" s="3"/>
      <x:c r="H234" s="3"/>
      <x:c r="I234" s="14" t="n">
        <x:f>I35-H35</x:f>
        <x:v>11248.235490088868</x:v>
      </x:c>
      <x:c r="J234" s="14" t="n">
        <x:f>J35-I35</x:f>
        <x:v>12336.673499664146</x:v>
      </x:c>
      <x:c r="K234" s="14" t="n">
        <x:f>K35-J35</x:f>
        <x:v>13375.270958933193</x:v>
      </x:c>
      <x:c r="L234" s="14" t="n">
        <x:f>L35-K35</x:f>
        <x:v>14328.69871686754</x:v>
      </x:c>
      <x:c r="M234" s="14" t="n">
        <x:f>M35-L35</x:f>
        <x:v>14571.538704231018</x:v>
      </x:c>
      <x:c r="N234" s="2"/>
      <x:c r="O234" s="2"/>
    </x:row>
    <x:row r="235" ht="20" customHeight="1">
      <x:c r="C235" s="2" t="str">
        <x:v>Increase in other operating assets</x:v>
      </x:c>
      <x:c r="D235" s="3"/>
      <x:c r="E235" s="3"/>
      <x:c r="F235" s="3"/>
      <x:c r="G235" s="3"/>
      <x:c r="H235" s="3"/>
      <x:c r="I235" s="14" t="n">
        <x:f>I36-H36</x:f>
        <x:v>1296.850131991816</x:v>
      </x:c>
      <x:c r="J235" s="14" t="n">
        <x:f>J36-I36</x:f>
        <x:v>2886.564504012933</x:v>
      </x:c>
      <x:c r="K235" s="14" t="n">
        <x:f>K36-J36</x:f>
        <x:v>3129.5780327381326</x:v>
      </x:c>
      <x:c r="L235" s="14" t="n">
        <x:f>L36-K36</x:f>
        <x:v>3352.6633501268843</x:v>
      </x:c>
      <x:c r="M235" s="14" t="n">
        <x:f>M36-L36</x:f>
        <x:v>3409.4836337874185</x:v>
      </x:c>
      <x:c r="N235" s="2"/>
      <x:c r="O235" s="2"/>
    </x:row>
    <x:row r="236" ht="20" customHeight="1">
      <x:c r="C236" s="2" t="str">
        <x:v>Cash effect of ordinary payables</x:v>
      </x:c>
      <x:c r="D236" s="3"/>
      <x:c r="E236" s="3"/>
      <x:c r="F236" s="3"/>
      <x:c r="G236" s="3"/>
      <x:c r="H236" s="3"/>
      <x:c r="I236" s="14" t="n">
        <x:f>-(I48-H48)</x:f>
        <x:v>-3808.8867902463717</x:v>
      </x:c>
      <x:c r="J236" s="14" t="n">
        <x:f>-(J48-I48)</x:f>
        <x:v>-4022.828315107872</x:v>
      </x:c>
      <x:c r="K236" s="14" t="n">
        <x:f>-(K48-J48)</x:f>
        <x:v>-4361.50139965213</x:v>
      </x:c>
      <x:c r="L236" s="14" t="n">
        <x:f>-(L48-K48)</x:f>
        <x:v>-4672.40175550029</x:v>
      </x:c>
      <x:c r="M236" s="14" t="n">
        <x:f>-(M48-L48)</x:f>
        <x:v>-4751.588707901414</x:v>
      </x:c>
      <x:c r="N236" s="2"/>
      <x:c r="O236" s="2"/>
    </x:row>
    <x:row r="237" ht="20" customHeight="1">
      <x:c r="C237" s="2" t="str">
        <x:v>Cash effect of other operating liabilities</x:v>
      </x:c>
      <x:c r="D237" s="3"/>
      <x:c r="E237" s="3"/>
      <x:c r="F237" s="3"/>
      <x:c r="G237" s="3"/>
      <x:c r="H237" s="3"/>
      <x:c r="I237" s="14" t="n">
        <x:f>-(I49-H49)</x:f>
        <x:v>5421.723848598627</x:v>
      </x:c>
      <x:c r="J237" s="14" t="n">
        <x:f>-(J49-I49)</x:f>
        <x:v>-2542.7329801948144</x:v>
      </x:c>
      <x:c r="K237" s="14" t="n">
        <x:f>-(K49-J49)</x:f>
        <x:v>-2756.8000877422273</x:v>
      </x:c>
      <x:c r="L237" s="14" t="n">
        <x:f>-(L49-K49)</x:f>
        <x:v>-2953.3127217516267</x:v>
      </x:c>
      <x:c r="M237" s="14" t="n">
        <x:f>-(M49-L49)</x:f>
        <x:v>-3003.3648889582837</x:v>
      </x:c>
      <x:c r="N237" s="2"/>
      <x:c r="O237" s="2"/>
    </x:row>
    <x:row r="238" ht="20" customHeight="1">
      <x:c r="C238" s="2"/>
      <x:c r="D238" s="3"/>
      <x:c r="E238" s="3"/>
      <x:c r="F238" s="3"/>
      <x:c r="G238" s="3"/>
      <x:c r="H238" s="3"/>
      <x:c r="I238" s="3"/>
      <x:c r="J238" s="3"/>
      <x:c r="K238" s="3"/>
      <x:c r="L238" s="3"/>
      <x:c r="M238" s="3"/>
      <x:c r="N238" s="2"/>
      <x:c r="O238" s="2"/>
    </x:row>
    <x:row r="239" ht="20" customHeight="1">
      <x:c r="C239" s="95" t="str">
        <x:v>Total operating NWC investment</x:v>
      </x:c>
      <x:c r="D239" s="96"/>
      <x:c r="E239" s="96"/>
      <x:c r="F239" s="96"/>
      <x:c r="G239" s="96"/>
      <x:c r="H239" s="96"/>
      <x:c r="I239" s="98" t="n">
        <x:f>SUM(I232:I237)</x:f>
        <x:v>20470.701033595768</x:v>
      </x:c>
      <x:c r="J239" s="98" t="n">
        <x:f>SUM(J232:J237)</x:f>
        <x:v>17117.622933722676</x:v>
      </x:c>
      <x:c r="K239" s="98" t="n">
        <x:f>SUM(K232:K237)</x:f>
        <x:v>18557.217844686347</x:v>
      </x:c>
      <x:c r="L239" s="98" t="n">
        <x:f>SUM(L232:L237)</x:f>
        <x:v>19778.94314784054</x:v>
      </x:c>
      <x:c r="M239" s="98" t="n">
        <x:f>SUM(M232:M237)</x:f>
        <x:v>20072.28109050839</x:v>
      </x:c>
      <x:c r="N239" s="2"/>
      <x:c r="O239" s="2"/>
    </x:row>
    <x:row r="240" ht="20" customHeight="1">
      <x:c r="C240" s="2" t="str">
        <x:v>Increase in required cash</x:v>
      </x:c>
      <x:c r="D240" s="3"/>
      <x:c r="E240" s="3"/>
      <x:c r="F240" s="3"/>
      <x:c r="G240" s="3"/>
      <x:c r="H240" s="3"/>
      <x:c r="I240" s="14" t="n">
        <x:f>I156-H156</x:f>
        <x:v>908.4576034478309</x:v>
      </x:c>
      <x:c r="J240" s="14" t="n">
        <x:f>J156-I156</x:f>
        <x:v>888.0751437589852</x:v>
      </x:c>
      <x:c r="K240" s="14" t="n">
        <x:f>K156-J156</x:f>
        <x:v>962.840240522969</x:v>
      </x:c>
      <x:c r="L240" s="14" t="n">
        <x:f>L156-K156</x:f>
        <x:v>1031.4742603188588</x:v>
      </x:c>
      <x:c r="M240" s="14" t="n">
        <x:f>M156-L156</x:f>
        <x:v>1048.9554846289702</x:v>
      </x:c>
      <x:c r="N240" s="2"/>
      <x:c r="O240" s="2"/>
    </x:row>
    <x:row r="241" ht="20" customHeight="1">
      <x:c r="C241" s="95" t="str">
        <x:v>Total NWC and cash reinvestment</x:v>
      </x:c>
      <x:c r="D241" s="96"/>
      <x:c r="E241" s="96"/>
      <x:c r="F241" s="96"/>
      <x:c r="G241" s="96"/>
      <x:c r="H241" s="96"/>
      <x:c r="I241" s="98" t="n">
        <x:f>SUM(I239:I240)</x:f>
        <x:v>21379.158637043598</x:v>
      </x:c>
      <x:c r="J241" s="98" t="n">
        <x:f>SUM(J239:J240)</x:f>
        <x:v>18005.698077481662</x:v>
      </x:c>
      <x:c r="K241" s="98" t="n">
        <x:f>SUM(K239:K240)</x:f>
        <x:v>19520.058085209315</x:v>
      </x:c>
      <x:c r="L241" s="98" t="n">
        <x:f>SUM(L239:L240)</x:f>
        <x:v>20810.417408159396</x:v>
      </x:c>
      <x:c r="M241" s="98" t="n">
        <x:f>SUM(M239:M240)</x:f>
        <x:v>21121.236575137358</x:v>
      </x:c>
      <x:c r="N241" s="2"/>
      <x:c r="O241" s="2"/>
    </x:row>
    <x:row r="242" ht="20" customHeight="1">
      <x:c r="C242" s="2"/>
      <x:c r="D242" s="3"/>
      <x:c r="E242" s="3"/>
      <x:c r="F242" s="3"/>
      <x:c r="G242" s="3"/>
      <x:c r="H242" s="3"/>
      <x:c r="I242" s="3"/>
      <x:c r="J242" s="3"/>
      <x:c r="K242" s="3"/>
      <x:c r="L242" s="3"/>
      <x:c r="M242" s="3"/>
      <x:c r="N242" s="2"/>
      <x:c r="O242" s="2"/>
    </x:row>
    <x:row r="243" ht="20" customHeight="1">
      <x:c r="C243" s="2" t="str">
        <x:v>Reconciliation to FCFF deduction</x:v>
      </x:c>
      <x:c r="D243" s="100"/>
      <x:c r="E243" s="100"/>
      <x:c r="F243" s="100"/>
      <x:c r="G243" s="100"/>
      <x:c r="H243" s="100"/>
      <x:c r="I243" s="101" t="n">
        <x:f>I241-'04_Valuation'!I15</x:f>
        <x:v>7.275957614183426e-12</x:v>
      </x:c>
      <x:c r="J243" s="101" t="n">
        <x:f>J241-'04_Valuation'!J15</x:f>
        <x:v>3.637978807091713e-11</x:v>
      </x:c>
      <x:c r="K243" s="101" t="n">
        <x:f>K241-'04_Valuation'!K15</x:f>
        <x:v>-3.637978807091713e-11</x:v>
      </x:c>
      <x:c r="L243" s="101" t="n">
        <x:f>L241-'04_Valuation'!L15</x:f>
        <x:v>3.637978807091713e-12</x:v>
      </x:c>
      <x:c r="M243" s="101" t="n">
        <x:f>M241-'04_Valuation'!M15</x:f>
        <x:v>-2.9103830456733704e-11</x:v>
      </x:c>
      <x:c r="N243" s="2"/>
      <x:c r="O243" s="2"/>
    </x:row>
    <x:row r="244" ht="20" customHeight="1">
      <x:c r="C244" s="2"/>
      <x:c r="D244" s="3"/>
      <x:c r="E244" s="3"/>
      <x:c r="F244" s="3"/>
      <x:c r="G244" s="3"/>
      <x:c r="H244" s="3"/>
      <x:c r="I244" s="3"/>
      <x:c r="J244" s="3"/>
      <x:c r="K244" s="3"/>
      <x:c r="L244" s="3"/>
      <x:c r="M244" s="3"/>
      <x:c r="N244" s="2"/>
      <x:c r="O244" s="2"/>
    </x:row>
    <x:row r="245" ht="20" customHeight="1">
      <x:c r="C245" s="2"/>
      <x:c r="D245" s="3"/>
      <x:c r="E245" s="3"/>
      <x:c r="F245" s="3"/>
      <x:c r="G245" s="3"/>
      <x:c r="H245" s="3"/>
      <x:c r="I245" s="3"/>
      <x:c r="J245" s="3"/>
      <x:c r="K245" s="3"/>
      <x:c r="L245" s="3"/>
      <x:c r="M245" s="3"/>
      <x:c r="N245" s="2"/>
      <x:c r="O245" s="2"/>
    </x:row>
    <x:row r="246" ht="20" customHeight="1">
      <x:c r="C246" s="24" t="str">
        <x:v>W&amp;C EBIT margin after depreciation</x:v>
      </x:c>
      <x:c r="D246" s="25"/>
      <x:c r="E246" s="25"/>
      <x:c r="F246" s="25"/>
      <x:c r="G246" s="25"/>
      <x:c r="H246" s="25"/>
      <x:c r="I246" s="66" t="n">
        <x:f>I113/I104</x:f>
        <x:v>0.12488837463906113</x:v>
      </x:c>
      <x:c r="J246" s="66" t="n">
        <x:f>J113/J104</x:f>
        <x:v>0.11924034504690553</x:v>
      </x:c>
      <x:c r="K246" s="66" t="n">
        <x:f>K113/K104</x:f>
        <x:v>0.11477078418650397</x:v>
      </x:c>
      <x:c r="L246" s="66" t="n">
        <x:f>L113/L104</x:f>
        <x:v>0.11048097796598005</x:v>
      </x:c>
      <x:c r="M246" s="66" t="n">
        <x:f>M113/M104</x:f>
        <x:v>0.11111439453887584</x:v>
      </x:c>
      <x:c r="N246" s="2"/>
      <x:c r="O246" s="2"/>
    </x:row>
    <x:row r="247" ht="20" customHeight="1">
      <x:c r="C247" s="24" t="str">
        <x:v>FMEG EBIT margin after depreciation</x:v>
      </x:c>
      <x:c r="D247" s="25"/>
      <x:c r="E247" s="25"/>
      <x:c r="F247" s="25"/>
      <x:c r="G247" s="25"/>
      <x:c r="H247" s="25"/>
      <x:c r="I247" s="66" t="n">
        <x:f>I117/I105</x:f>
        <x:v>0.06982028361597122</x:v>
      </x:c>
      <x:c r="J247" s="66" t="n">
        <x:f>J117/J105</x:f>
        <x:v>0.07256500596819249</x:v>
      </x:c>
      <x:c r="K247" s="66" t="n">
        <x:f>K117/K105</x:f>
        <x:v>0.07621419342323435</x:v>
      </x:c>
      <x:c r="L247" s="66" t="n">
        <x:f>L117/L105</x:f>
        <x:v>0.07744618533470245</x:v>
      </x:c>
      <x:c r="M247" s="66" t="n">
        <x:f>M117/M105</x:f>
        <x:v>0.07837997983934701</x:v>
      </x:c>
      <x:c r="N247" s="2"/>
      <x:c r="O247" s="2"/>
    </x:row>
    <x:row r="248" ht="20" customHeight="1">
      <x:c r="C248" s="24" t="str">
        <x:v>Net reinvestment / NOPAT</x:v>
      </x:c>
      <x:c r="D248" s="25"/>
      <x:c r="E248" s="25"/>
      <x:c r="F248" s="25"/>
      <x:c r="G248" s="25"/>
      <x:c r="H248" s="25"/>
      <x:c r="I248" s="26" t="n">
        <x:f>(1-'04_Valuation'!I16/'04_Valuation'!I11)</x:f>
        <x:v>0.9642939989611792</x:v>
      </x:c>
      <x:c r="J248" s="26" t="n">
        <x:f>(1-'04_Valuation'!J16/'04_Valuation'!J11)</x:f>
        <x:v>0.7186630733478346</x:v>
      </x:c>
      <x:c r="K248" s="26" t="n">
        <x:f>(1-'04_Valuation'!K16/'04_Valuation'!K11)</x:f>
        <x:v>0.6510095508170497</x:v>
      </x:c>
      <x:c r="L248" s="26" t="n">
        <x:f>(1-'04_Valuation'!L16/'04_Valuation'!L11)</x:f>
        <x:v>0.5946441457376286</x:v>
      </x:c>
      <x:c r="M248" s="26" t="n">
        <x:f>(1-'04_Valuation'!M16/'04_Valuation'!M11)</x:f>
        <x:v>0.5470974238019808</x:v>
      </x:c>
      <x:c r="N248" s="2"/>
      <x:c r="O248" s="2"/>
    </x:row>
    <x:row r="249" ht="20" customHeight="1">
      <x:c r="C249" s="2"/>
      <x:c r="D249" s="3"/>
      <x:c r="E249" s="3"/>
      <x:c r="F249" s="3"/>
      <x:c r="G249" s="3"/>
      <x:c r="H249" s="3"/>
      <x:c r="I249" s="3"/>
      <x:c r="J249" s="3"/>
      <x:c r="K249" s="3"/>
      <x:c r="L249" s="3"/>
      <x:c r="M249" s="3"/>
      <x:c r="N249" s="2"/>
      <x:c r="O249" s="2"/>
    </x:row>
    <x:row r="250" ht="20" customHeight="1">
      <x:c r="C250" s="2"/>
      <x:c r="D250" s="3"/>
      <x:c r="E250" s="3"/>
      <x:c r="F250" s="3"/>
      <x:c r="G250" s="3"/>
      <x:c r="H250" s="3"/>
      <x:c r="I250" s="3"/>
      <x:c r="J250" s="3"/>
      <x:c r="K250" s="3"/>
      <x:c r="L250" s="3"/>
      <x:c r="M250" s="3"/>
      <x:c r="N250" s="2"/>
      <x:c r="O250" s="2"/>
    </x:row>
    <x:row r="251" ht="32" customHeight="1">
      <x:c r="C251" s="16" t="str">
        <x:v>Positive component amounts consume cash; negative amounts release cash. Acceptance funding is intentionally absent from this operating bridge and remains in the financing cash-flow schedule.</x:v>
      </x:c>
      <x:c r="D251" s="38"/>
      <x:c r="E251" s="38"/>
      <x:c r="F251" s="38"/>
      <x:c r="G251" s="38"/>
      <x:c r="H251" s="38"/>
      <x:c r="I251" s="38"/>
      <x:c r="J251" s="38"/>
      <x:c r="K251" s="38"/>
      <x:c r="L251" s="38"/>
      <x:c r="M251" s="38"/>
      <x:c r="N251" s="2"/>
      <x:c r="O251" s="2"/>
    </x:row>
    <x:row r="252" ht="20" customHeight="1">
      <x:c r="C252" s="2"/>
      <x:c r="D252" s="3"/>
      <x:c r="E252" s="3"/>
      <x:c r="F252" s="3"/>
      <x:c r="G252" s="3"/>
      <x:c r="H252" s="3"/>
      <x:c r="I252" s="3"/>
      <x:c r="J252" s="3"/>
      <x:c r="K252" s="3"/>
      <x:c r="L252" s="3"/>
      <x:c r="M252" s="3"/>
      <x:c r="N252" s="2"/>
      <x:c r="O252" s="2"/>
    </x:row>
    <x:row r="253" ht="20" customHeight="1">
      <x:c r="C253" s="2"/>
      <x:c r="D253" s="3"/>
      <x:c r="E253" s="3"/>
      <x:c r="F253" s="3"/>
      <x:c r="G253" s="3"/>
      <x:c r="H253" s="3"/>
      <x:c r="I253" s="3"/>
      <x:c r="J253" s="3"/>
      <x:c r="K253" s="3"/>
      <x:c r="L253" s="3"/>
      <x:c r="M253" s="3"/>
      <x:c r="N253" s="2"/>
      <x:c r="O253" s="2"/>
    </x:row>
    <x:row r="254" ht="44" customHeight="1">
      <x:c r="C254" s="16" t="str">
        <x:v>FY27 needs cash for higher receivables/inventory and normalization of other operating liabilities. PAT includes treasury income and financing expenses; FCFF values operations before those financing choices.</x:v>
      </x:c>
      <x:c r="D254" s="38"/>
      <x:c r="E254" s="38"/>
      <x:c r="F254" s="38"/>
      <x:c r="G254" s="38"/>
      <x:c r="H254" s="38"/>
      <x:c r="I254" s="38"/>
      <x:c r="J254" s="38"/>
      <x:c r="K254" s="38"/>
      <x:c r="L254" s="38"/>
      <x:c r="M254" s="38"/>
      <x:c r="N254" s="2"/>
      <x:c r="O254" s="2"/>
    </x:row>
    <x:row r="255" ht="20" customHeight="1">
      <x:c r="C255" s="2"/>
      <x:c r="D255" s="3"/>
      <x:c r="E255" s="3"/>
      <x:c r="F255" s="3"/>
      <x:c r="G255" s="3"/>
      <x:c r="H255" s="3"/>
      <x:c r="I255" s="3"/>
      <x:c r="J255" s="3"/>
      <x:c r="K255" s="3"/>
      <x:c r="L255" s="3"/>
      <x:c r="M255" s="3"/>
      <x:c r="N255" s="2"/>
      <x:c r="O255" s="2"/>
    </x:row>
    <x:row r="256" ht="20" customHeight="1">
      <x:c r="C256" s="2"/>
      <x:c r="D256" s="3"/>
      <x:c r="E256" s="3"/>
      <x:c r="F256" s="3"/>
      <x:c r="G256" s="3"/>
      <x:c r="H256" s="3"/>
      <x:c r="I256" s="3"/>
      <x:c r="J256" s="3"/>
      <x:c r="K256" s="3"/>
      <x:c r="L256" s="3"/>
      <x:c r="M256" s="3"/>
      <x:c r="N256" s="2"/>
      <x:c r="O256" s="2"/>
    </x:row>
    <x:row r="257" ht="20" customHeight="1">
      <x:c r="C257" s="2"/>
      <x:c r="D257" s="3"/>
      <x:c r="E257" s="3"/>
      <x:c r="F257" s="3"/>
      <x:c r="G257" s="3"/>
      <x:c r="H257" s="3"/>
      <x:c r="I257" s="3"/>
      <x:c r="J257" s="3"/>
      <x:c r="K257" s="3"/>
      <x:c r="L257" s="3"/>
      <x:c r="M257" s="3"/>
      <x:c r="N257" s="2"/>
      <x:c r="O257" s="2"/>
    </x:row>
    <x:row r="258" ht="20" customHeight="1">
      <x:c r="C258" s="2"/>
      <x:c r="D258" s="3"/>
      <x:c r="E258" s="3"/>
      <x:c r="F258" s="3"/>
      <x:c r="G258" s="3"/>
      <x:c r="H258" s="3"/>
      <x:c r="I258" s="3"/>
      <x:c r="J258" s="3"/>
      <x:c r="K258" s="3"/>
      <x:c r="L258" s="3"/>
      <x:c r="M258" s="3"/>
      <x:c r="N258" s="2"/>
      <x:c r="O258" s="2"/>
    </x:row>
    <x:row r="259" ht="20" customHeight="1">
      <x:c r="C259" s="2"/>
      <x:c r="D259" s="3"/>
      <x:c r="E259" s="3"/>
      <x:c r="F259" s="3"/>
      <x:c r="G259" s="3"/>
      <x:c r="H259" s="3"/>
      <x:c r="I259" s="3"/>
      <x:c r="J259" s="3"/>
      <x:c r="K259" s="3"/>
      <x:c r="L259" s="3"/>
      <x:c r="M259" s="3"/>
      <x:c r="N259" s="2"/>
      <x:c r="O259" s="2"/>
    </x:row>
    <x:row r="260" ht="20" customHeight="1">
      <x:c r="C260" s="2"/>
      <x:c r="D260" s="3"/>
      <x:c r="E260" s="3"/>
      <x:c r="F260" s="3"/>
      <x:c r="G260" s="3"/>
      <x:c r="H260" s="3"/>
      <x:c r="I260" s="3"/>
      <x:c r="J260" s="3"/>
      <x:c r="K260" s="3"/>
      <x:c r="L260" s="3"/>
      <x:c r="M260" s="3"/>
      <x:c r="N260" s="2"/>
      <x:c r="O260" s="2"/>
    </x:row>
    <x:row r="268" ht="24" customHeight="1">
      <x:c r="C268" s="117" t="str">
        <x:v>Revenue and margin chart inputs</x:v>
      </x:c>
      <x:c r="D268" s="117"/>
      <x:c r="E268" s="117"/>
      <x:c r="F268" s="117"/>
      <x:c r="G268" s="117"/>
      <x:c r="H268" s="117"/>
      <x:c r="I268" s="117"/>
      <x:c r="J268" s="117"/>
      <x:c r="K268" s="117"/>
      <x:c r="L268" s="117"/>
      <x:c r="M268" s="117"/>
    </x:row>
    <x:row r="270" ht="34" customHeight="1">
      <x:c r="C270" s="118" t="str">
        <x:v>Period</x:v>
      </x:c>
      <x:c r="D270" s="118" t="str">
        <x:v>Revenue</x:v>
      </x:c>
      <x:c r="E270" s="118" t="str">
        <x:v>W&amp;C EBITDA margin</x:v>
      </x:c>
      <x:c r="F270" s="118" t="str">
        <x:v>FMEG EBITDA margin</x:v>
      </x:c>
    </x:row>
    <x:row r="271">
      <x:c r="C271" s="114" t="str">
        <x:v>FY22A</x:v>
      </x:c>
      <x:c r="D271" s="132" t="n">
        <x:f>'03_3Statement+Schedules'!D9</x:f>
        <x:v>122037.61</x:v>
      </x:c>
      <x:c r="E271" s="154" t="n">
        <x:f>'03_3Statement+Schedules'!D110</x:f>
        <x:v>0.11387212923771403</x:v>
      </x:c>
      <x:c r="F271" s="154" t="n">
        <x:f>'03_3Statement+Schedules'!D114</x:f>
        <x:v>0.03259929383609312</x:v>
      </x:c>
    </x:row>
    <x:row r="272">
      <x:c r="C272" s="114" t="str">
        <x:v>FY23A</x:v>
      </x:c>
      <x:c r="D272" s="132" t="n">
        <x:f>'03_3Statement+Schedules'!E9</x:f>
        <x:v>141077.78</x:v>
      </x:c>
      <x:c r="E272" s="154" t="n">
        <x:f>'03_3Statement+Schedules'!E110</x:f>
        <x:v>0.14581907541358735</x:v>
      </x:c>
      <x:c r="F272" s="154" t="n">
        <x:f>'03_3Statement+Schedules'!E114</x:f>
        <x:v>0.013073499169169016</x:v>
      </x:c>
    </x:row>
    <x:row r="273">
      <x:c r="C273" s="114" t="str">
        <x:v>FY24A</x:v>
      </x:c>
      <x:c r="D273" s="132" t="n">
        <x:f>'03_3Statement+Schedules'!F9</x:f>
        <x:v>180394.44</x:v>
      </x:c>
      <x:c r="E273" s="154" t="n">
        <x:f>'03_3Statement+Schedules'!F110</x:f>
        <x:v>0.15973266147376608</x:v>
      </x:c>
      <x:c r="F273" s="154" t="n">
        <x:f>'03_3Statement+Schedules'!F114</x:f>
        <x:v>-0.04784378659107954</x:v>
      </x:c>
    </x:row>
    <x:row r="274">
      <x:c r="C274" s="114" t="str">
        <x:v>FY25A</x:v>
      </x:c>
      <x:c r="D274" s="132" t="n">
        <x:f>'03_3Statement+Schedules'!G9</x:f>
        <x:v>224083.13</x:v>
      </x:c>
      <x:c r="E274" s="154" t="n">
        <x:f>'03_3Statement+Schedules'!G110</x:f>
        <x:v>0.15008600916672257</x:v>
      </x:c>
      <x:c r="F274" s="154" t="n">
        <x:f>'03_3Statement+Schedules'!G114</x:f>
        <x:v>-0.0024414257394127278</x:v>
      </x:c>
    </x:row>
    <x:row r="275">
      <x:c r="C275" s="114" t="str">
        <x:v>FY26A</x:v>
      </x:c>
      <x:c r="D275" s="132" t="n">
        <x:f>'03_3Statement+Schedules'!H9</x:f>
        <x:v>288837.92</x:v>
      </x:c>
      <x:c r="E275" s="154" t="n">
        <x:f>'03_3Statement+Schedules'!H110</x:f>
        <x:v>0.1496725767916374</x:v>
      </x:c>
      <x:c r="F275" s="154" t="n">
        <x:f>'03_3Statement+Schedules'!H114</x:f>
        <x:v>0.046843709648736215</x:v>
      </x:c>
    </x:row>
    <x:row r="276">
      <x:c r="C276" s="114" t="str">
        <x:v>FY27E</x:v>
      </x:c>
      <x:c r="D276" s="132" t="n">
        <x:f>'03_3Statement+Schedules'!I9</x:f>
        <x:v>356060.0821978763</x:v>
      </x:c>
      <x:c r="E276" s="154" t="n">
        <x:f>'03_3Statement+Schedules'!I110</x:f>
        <x:v>0.14</x:v>
      </x:c>
      <x:c r="F276" s="154" t="n">
        <x:f>'03_3Statement+Schedules'!I114</x:f>
        <x:v>0.09</x:v>
      </x:c>
    </x:row>
    <x:row r="277">
      <x:c r="C277" s="114" t="str">
        <x:v>FY28E</x:v>
      </x:c>
      <x:c r="D277" s="132" t="n">
        <x:f>'03_3Statement+Schedules'!J9</x:f>
        <x:v>421774.0254034791</x:v>
      </x:c>
      <x:c r="E277" s="154" t="n">
        <x:f>'03_3Statement+Schedules'!J110</x:f>
        <x:v>0.135</x:v>
      </x:c>
      <x:c r="F277" s="154" t="n">
        <x:f>'03_3Statement+Schedules'!J114</x:f>
        <x:v>0.0925</x:v>
      </x:c>
    </x:row>
    <x:row r="278">
      <x:c r="C278" s="114" t="str">
        <x:v>FY29E</x:v>
      </x:c>
      <x:c r="D278" s="132" t="n">
        <x:f>'03_3Statement+Schedules'!K9</x:f>
        <x:v>493020.2812259107</x:v>
      </x:c>
      <x:c r="E278" s="154" t="n">
        <x:f>'03_3Statement+Schedules'!K110</x:f>
        <x:v>0.13</x:v>
      </x:c>
      <x:c r="F278" s="154" t="n">
        <x:f>'03_3Statement+Schedules'!K114</x:f>
        <x:v>0.095</x:v>
      </x:c>
    </x:row>
    <x:row r="279">
      <x:c r="C279" s="114" t="str">
        <x:v>FY30E</x:v>
      </x:c>
      <x:c r="D279" s="132" t="n">
        <x:f>'03_3Statement+Schedules'!L9</x:f>
        <x:v>569345.1749434969</x:v>
      </x:c>
      <x:c r="E279" s="154" t="n">
        <x:f>'03_3Statement+Schedules'!L110</x:f>
        <x:v>0.125</x:v>
      </x:c>
      <x:c r="F279" s="154" t="n">
        <x:f>'03_3Statement+Schedules'!L114</x:f>
        <x:v>0.095</x:v>
      </x:c>
    </x:row>
    <x:row r="280">
      <x:c r="C280" s="114" t="str">
        <x:v>FY31E</x:v>
      </x:c>
      <x:c r="D280" s="132" t="n">
        <x:f>'03_3Statement+Schedules'!M9</x:f>
        <x:v>646963.6080530502</x:v>
      </x:c>
      <x:c r="E280" s="154" t="n">
        <x:f>'03_3Statement+Schedules'!M110</x:f>
        <x:v>0.125</x:v>
      </x:c>
      <x:c r="F280" s="154" t="n">
        <x:f>'03_3Statement+Schedules'!M114</x:f>
        <x:v>0.095</x:v>
      </x:c>
    </x:row>
  </x:sheetData>
  <x:mergeCells>
    <x:mergeCell ref="C251:M251"/>
    <x:mergeCell ref="C254:M254"/>
  </x:mergeCells>
  <x:conditionalFormatting sqref="D52:M52">
    <x:cfRule type="cellIs" dxfId="0" priority="1" operator="notBetween">
      <x:formula>-0.1</x:formula>
      <x:formula>0.1</x:formula>
    </x:cfRule>
  </x:conditionalFormatting>
  <x:conditionalFormatting sqref="D84:M84">
    <x:cfRule type="cellIs" dxfId="1" priority="2" operator="notBetween">
      <x:formula>-0.1</x:formula>
      <x:formula>0.1</x:formula>
    </x:cfRule>
  </x:conditionalFormatting>
  <x:conditionalFormatting sqref="D141:M141">
    <x:cfRule type="cellIs" dxfId="2" priority="3" operator="notBetween">
      <x:formula>-0.1</x:formula>
      <x:formula>0.1</x:formula>
    </x:cfRule>
  </x:conditionalFormatting>
  <x:conditionalFormatting sqref="I85:M85">
    <x:cfRule type="cellIs" dxfId="3" priority="4" operator="greaterThan">
      <x:formula>0</x:formula>
    </x:cfRule>
  </x:conditionalFormatting>
  <x:conditionalFormatting sqref="I208:M208">
    <x:cfRule type="cellIs" dxfId="5" priority="5" operator="notBetween">
      <x:formula>-0.1</x:formula>
      <x:formula>0.1</x:formula>
    </x:cfRule>
  </x:conditionalFormatting>
  <x:conditionalFormatting sqref="I209:M209">
    <x:cfRule type="cellIs" dxfId="6" priority="6" operator="notBetween">
      <x:formula>-0.1</x:formula>
      <x:formula>0.1</x:formula>
    </x:cfRule>
  </x:conditionalFormatting>
  <x:conditionalFormatting sqref="I210:M210">
    <x:cfRule type="cellIs" dxfId="7" priority="7" operator="notBetween">
      <x:formula>-0.1</x:formula>
      <x:formula>0.1</x:formula>
    </x:cfRule>
  </x:conditionalFormatting>
  <x:conditionalFormatting sqref="I211:M211">
    <x:cfRule type="cellIs" dxfId="8" priority="8" operator="notBetween">
      <x:formula>-0.1</x:formula>
      <x:formula>0.1</x:formula>
    </x:cfRule>
  </x:conditionalFormatting>
  <x:conditionalFormatting sqref="I212:M212">
    <x:cfRule type="cellIs" dxfId="9" priority="9" operator="notBetween">
      <x:formula>-0.1</x:formula>
      <x:formula>0.1</x:formula>
    </x:cfRule>
  </x:conditionalFormatting>
  <x:conditionalFormatting sqref="I213:M213">
    <x:cfRule type="cellIs" dxfId="10" priority="10" operator="notBetween">
      <x:formula>-0.1</x:formula>
      <x:formula>0.1</x:formula>
    </x:cfRule>
  </x:conditionalFormatting>
  <x:conditionalFormatting sqref="I214:M214">
    <x:cfRule type="cellIs" dxfId="11" priority="11" operator="notBetween">
      <x:formula>-0.1</x:formula>
      <x:formula>0.1</x:formula>
    </x:cfRule>
  </x:conditionalFormatting>
  <x:conditionalFormatting sqref="I215:M215">
    <x:cfRule type="cellIs" dxfId="12" priority="12" operator="notBetween">
      <x:formula>-0.1</x:formula>
      <x:formula>0.1</x:formula>
    </x:cfRule>
  </x:conditionalFormatting>
  <x:conditionalFormatting sqref="I216:M216">
    <x:cfRule type="cellIs" dxfId="13" priority="13" operator="notBetween">
      <x:formula>-0.1</x:formula>
      <x:formula>0.1</x:formula>
    </x:cfRule>
  </x:conditionalFormatting>
  <x:conditionalFormatting sqref="I217:M217">
    <x:cfRule type="cellIs" dxfId="14" priority="14" operator="notBetween">
      <x:formula>-0.1</x:formula>
      <x:formula>0.1</x:formula>
    </x:cfRule>
  </x:conditionalFormatting>
  <x:conditionalFormatting sqref="I218:M218">
    <x:cfRule type="cellIs" dxfId="15" priority="15" operator="notBetween">
      <x:formula>-0.1</x:formula>
      <x:formula>0.1</x:formula>
    </x:cfRule>
  </x:conditionalFormatting>
  <x:conditionalFormatting sqref="I220:M220">
    <x:cfRule type="cellIs" dxfId="16" priority="16" operator="greaterThan">
      <x:formula>0.1</x:formula>
    </x:cfRule>
  </x:conditionalFormatting>
  <x:conditionalFormatting sqref="I221:M221">
    <x:cfRule type="cellIs" dxfId="17" priority="17" operator="greaterThan">
      <x:formula>0.1</x:formula>
    </x:cfRule>
  </x:conditionalFormatting>
  <x:conditionalFormatting sqref="I222:M222">
    <x:cfRule type="cellIs" dxfId="18" priority="18" operator="greaterThan">
      <x:formula>0.1</x:formula>
    </x:cfRule>
  </x:conditionalFormatting>
  <x:pageMargins left="0.7" right="0.7" top="0.75" bottom="0.75" header="0.3" footer="0.3"/>
</x:worksheet>
</file>

<file path=xl/worksheets/sheet5.xml><?xml version="1.0" encoding="utf-8"?>
<x:worksheet xmlns:x="http://schemas.openxmlformats.org/spreadsheetml/2006/main">
  <x:sheetPr>
    <x:tabColor rgb="FF17324F"/>
  </x:sheetPr>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5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 hidden="0" customWidth="1"/>
    <x:col min="15" max="15" width="96" hidden="0" customWidth="1"/>
  </x:cols>
  <x:sheetData>
    <x:row r="1" ht="20" customHeight="1">
      <x:c r="A1" s="2"/>
      <x:c r="B1" s="2"/>
      <x:c r="C1" s="2"/>
      <x:c r="D1" s="2"/>
      <x:c r="E1" s="2"/>
      <x:c r="F1" s="2"/>
      <x:c r="G1" s="2"/>
      <x:c r="H1" s="2"/>
      <x:c r="I1" s="2"/>
      <x:c r="J1" s="2"/>
      <x:c r="K1" s="2"/>
      <x:c r="L1" s="2"/>
      <x:c r="M1" s="2"/>
      <x:c r="N1" s="2"/>
      <x:c r="O1" s="2"/>
    </x:row>
    <x:row r="2" ht="20" customHeight="1">
      <x:c r="A2" s="2"/>
      <x:c r="B2" s="2"/>
      <x:c r="C2" s="4" t="str">
        <x:v>DCF, comparable companies and sensitivity</x:v>
      </x:c>
      <x:c r="D2" s="2"/>
      <x:c r="E2" s="2"/>
      <x:c r="F2" s="2"/>
      <x:c r="G2" s="2"/>
      <x:c r="H2" s="2"/>
      <x:c r="I2" s="2"/>
      <x:c r="J2" s="2"/>
      <x:c r="K2" s="2"/>
      <x:c r="L2" s="2"/>
      <x:c r="M2" s="2"/>
      <x:c r="N2" s="2"/>
      <x:c r="O2" s="2"/>
    </x:row>
    <x:row r="3" ht="20" customHeight="1">
      <x:c r="A3" s="2"/>
      <x:c r="B3" s="2"/>
      <x:c r="C3" s="5"/>
      <x:c r="D3" s="5"/>
      <x:c r="E3" s="5"/>
      <x:c r="F3" s="5"/>
      <x:c r="G3" s="5"/>
      <x:c r="H3" s="5"/>
      <x:c r="I3" s="5"/>
      <x:c r="J3" s="5"/>
      <x:c r="K3" s="5"/>
      <x:c r="L3" s="5"/>
      <x:c r="M3" s="5"/>
      <x:c r="N3" s="2"/>
      <x:c r="O3" s="2"/>
    </x:row>
    <x:row r="4" ht="20" customHeight="1">
      <x:c r="A4" s="2"/>
      <x:c r="B4" s="2"/>
      <x:c r="C4" s="6" t="str">
        <x:v>INR million. March year-end. A = actual; E = estimate.</x:v>
      </x:c>
      <x:c r="D4" s="2"/>
      <x:c r="E4" s="2"/>
      <x:c r="F4" s="2"/>
      <x:c r="G4" s="2"/>
      <x:c r="H4" s="2"/>
      <x:c r="I4" s="2"/>
      <x:c r="J4" s="2"/>
      <x:c r="K4" s="2"/>
      <x:c r="L4" s="2"/>
      <x:c r="M4" s="2"/>
      <x:c r="N4" s="2"/>
      <x:c r="O4" s="2"/>
    </x:row>
    <x:row r="5" ht="20" customHeight="1">
      <x:c r="A5" s="2"/>
      <x:c r="B5" s="2"/>
      <x:c r="C5" s="2" t="str">
        <x:v>Case selected</x:v>
      </x:c>
      <x:c r="D5" s="7" t="str">
        <x:f>CHOOSE('02_Drivers+Scenarios'!$D$3,"Base","Bull","Bear")</x:f>
        <x:v>Base</x:v>
      </x:c>
      <x:c r="E5" s="2"/>
      <x:c r="F5" s="2"/>
      <x:c r="G5" s="2"/>
      <x:c r="H5" s="2"/>
      <x:c r="I5" s="2"/>
      <x:c r="J5" s="2"/>
      <x:c r="K5" s="2"/>
      <x:c r="L5" s="2"/>
      <x:c r="M5" s="2"/>
      <x:c r="N5" s="2"/>
      <x:c r="O5" s="2"/>
    </x:row>
    <x:row r="6" ht="20" customHeight="1">
      <x:c r="A6" s="2"/>
      <x:c r="B6" s="2"/>
      <x:c r="C6" s="9" t="str">
        <x:v>Metric</x:v>
      </x:c>
      <x:c r="D6" s="12" t="str">
        <x:v>FY22A</x:v>
      </x:c>
      <x:c r="E6" s="12" t="str">
        <x:v>FY23A</x:v>
      </x:c>
      <x:c r="F6" s="12" t="str">
        <x:v>FY24A</x:v>
      </x:c>
      <x:c r="G6" s="12" t="str">
        <x:v>FY25A</x:v>
      </x:c>
      <x:c r="H6" s="12" t="str">
        <x:v>FY26A</x:v>
      </x:c>
      <x:c r="I6" s="13" t="str">
        <x:v>FY27E</x:v>
      </x:c>
      <x:c r="J6" s="13" t="str">
        <x:v>FY28E</x:v>
      </x:c>
      <x:c r="K6" s="13" t="str">
        <x:v>FY29E</x:v>
      </x:c>
      <x:c r="L6" s="13" t="str">
        <x:v>FY30E</x:v>
      </x:c>
      <x:c r="M6" s="13" t="str">
        <x:v>FY31E</x:v>
      </x:c>
      <x:c r="N6" s="2"/>
      <x:c r="O6" s="2"/>
    </x:row>
    <x:row r="7" ht="20" customHeight="1">
      <x:c r="A7" s="2"/>
      <x:c r="B7" s="2"/>
      <x:c r="C7" s="2"/>
      <x:c r="D7" s="3"/>
      <x:c r="E7" s="3"/>
      <x:c r="F7" s="3"/>
      <x:c r="G7" s="3"/>
      <x:c r="H7" s="3"/>
      <x:c r="I7" s="3"/>
      <x:c r="J7" s="3"/>
      <x:c r="K7" s="3"/>
      <x:c r="L7" s="3"/>
      <x:c r="M7" s="3"/>
      <x:c r="N7" s="2"/>
      <x:c r="O7" s="2"/>
    </x:row>
    <x:row r="8" ht="20" customHeight="1">
      <x:c r="A8" s="2"/>
      <x:c r="B8" s="2"/>
      <x:c r="C8" s="2"/>
      <x:c r="D8" s="3"/>
      <x:c r="E8" s="3"/>
      <x:c r="F8" s="3"/>
      <x:c r="G8" s="3"/>
      <x:c r="H8" s="3"/>
      <x:c r="I8" s="3"/>
      <x:c r="J8" s="3"/>
      <x:c r="K8" s="3"/>
      <x:c r="L8" s="3"/>
      <x:c r="M8" s="3"/>
      <x:c r="N8" s="2"/>
      <x:c r="O8" s="2"/>
    </x:row>
    <x:row r="9" ht="20" customHeight="1">
      <x:c r="A9" s="2"/>
      <x:c r="B9" s="2"/>
      <x:c r="C9" s="2" t="str">
        <x:v>Operating EBIT</x:v>
      </x:c>
      <x:c r="D9" s="22" t="n">
        <x:f>'03_3Statement+Schedules'!D15</x:f>
        <x:v>10636.79999999999</x:v>
      </x:c>
      <x:c r="E9" s="22" t="n">
        <x:f>'03_3Statement+Schedules'!E15</x:f>
        <x:v>16429.500000000007</x:v>
      </x:c>
      <x:c r="F9" s="22" t="n">
        <x:f>'03_3Statement+Schedules'!F15</x:f>
        <x:v>22467.649999999994</x:v>
      </x:c>
      <x:c r="G9" s="22" t="n">
        <x:f>'03_3Statement+Schedules'!G15</x:f>
        <x:v>26621.370000000017</x:v>
      </x:c>
      <x:c r="H9" s="22" t="n">
        <x:f>'03_3Statement+Schedules'!H15</x:f>
        <x:v>36198.58999999995</x:v>
      </x:c>
      <x:c r="I9" s="22" t="n">
        <x:f>'03_3Statement+Schedules'!I15</x:f>
        <x:v>41874.188584998905</x:v>
      </x:c>
      <x:c r="J9" s="22" t="n">
        <x:f>'03_3Statement+Schedules'!J15</x:f>
        <x:v>47588.372278047624</x:v>
      </x:c>
      <x:c r="K9" s="22" t="n">
        <x:f>'03_3Statement+Schedules'!K15</x:f>
        <x:v>53863.03120461331</x:v>
      </x:c>
      <x:c r="L9" s="22" t="n">
        <x:f>'03_3Statement+Schedules'!L15</x:f>
        <x:v>60140.81475564789</x:v>
      </x:c>
      <x:c r="M9" s="22" t="n">
        <x:f>'03_3Statement+Schedules'!M15</x:f>
        <x:v>68776.18276938087</x:v>
      </x:c>
      <x:c r="N9" s="2"/>
      <x:c r="O9" s="2"/>
    </x:row>
    <x:row r="10" ht="20" customHeight="1">
      <x:c r="A10" s="2"/>
      <x:c r="B10" s="2"/>
      <x:c r="C10" s="24" t="str">
        <x:v>Operating tax rate</x:v>
      </x:c>
      <x:c r="D10" s="26" t="n">
        <x:f>'01_Historical+Segments'!D122</x:f>
        <x:v>0.24252817114722483</x:v>
      </x:c>
      <x:c r="E10" s="26" t="n">
        <x:f>'01_Historical+Segments'!E122</x:f>
        <x:v>0.2484513160299334</x:v>
      </x:c>
      <x:c r="F10" s="26" t="n">
        <x:f>'01_Historical+Segments'!F122</x:f>
        <x:v>0.23582545670325944</x:v>
      </x:c>
      <x:c r="G10" s="26" t="n">
        <x:f>'01_Historical+Segments'!G122</x:f>
        <x:v>0.24263073223380088</x:v>
      </x:c>
      <x:c r="H10" s="26" t="n">
        <x:f>'01_Historical+Segments'!H122</x:f>
        <x:v>0.2503817385468057</x:v>
      </x:c>
      <x:c r="I10" s="26" t="n">
        <x:f>'02_Drivers+Scenarios'!I114</x:f>
        <x:v>0.2503817385468057</x:v>
      </x:c>
      <x:c r="J10" s="26" t="n">
        <x:f>'02_Drivers+Scenarios'!J114</x:f>
        <x:v>0.2503817385468057</x:v>
      </x:c>
      <x:c r="K10" s="26" t="n">
        <x:f>'02_Drivers+Scenarios'!K114</x:f>
        <x:v>0.2503817385468057</x:v>
      </x:c>
      <x:c r="L10" s="26" t="n">
        <x:f>'02_Drivers+Scenarios'!L114</x:f>
        <x:v>0.2503817385468057</x:v>
      </x:c>
      <x:c r="M10" s="26" t="n">
        <x:f>'02_Drivers+Scenarios'!M114</x:f>
        <x:v>0.2503817385468057</x:v>
      </x:c>
      <x:c r="N10" s="2"/>
      <x:c r="O10" s="2"/>
    </x:row>
    <x:row r="11" ht="20" customHeight="1">
      <x:c r="A11" s="2"/>
      <x:c r="B11" s="2"/>
      <x:c r="C11" s="47" t="str">
        <x:v>NOPAT</x:v>
      </x:c>
      <x:c r="D11" s="56" t="n">
        <x:f>D9*(1-D10)</x:f>
        <x:v>8057.076349141192</x:v>
      </x:c>
      <x:c r="E11" s="56" t="n">
        <x:f>E9*(1-E10)</x:f>
        <x:v>12347.569103286214</x:v>
      </x:c>
      <x:c r="F11" s="56" t="n">
        <x:f>F9*(1-F10)</x:f>
        <x:v>17169.20617770101</x:v>
      </x:c>
      <x:c r="G11" s="56" t="n">
        <x:f>G9*(1-G10)</x:f>
        <x:v>20162.207503833073</x:v>
      </x:c>
      <x:c r="H11" s="56" t="n">
        <x:f>H9*(1-H10)</x:f>
        <x:v>27135.12410285695</x:v>
      </x:c>
      <x:c r="I11" s="56" t="n">
        <x:f>I9*(1-I10)</x:f>
        <x:v>31389.656446850073</x:v>
      </x:c>
      <x:c r="J11" s="56" t="n">
        <x:f>J9*(1-J10)</x:f>
        <x:v>35673.11289245745</x:v>
      </x:c>
      <x:c r="K11" s="56" t="n">
        <x:f>K9*(1-K10)</x:f>
        <x:v>40376.711808201384</x:v>
      </x:c>
      <x:c r="L11" s="56" t="n">
        <x:f>L9*(1-L10)</x:f>
        <x:v>45082.65299950739</x:v>
      </x:c>
      <x:c r="M11" s="56" t="n">
        <x:f>M9*(1-M10)</x:f>
        <x:v>51555.88255697043</x:v>
      </x:c>
      <x:c r="N11" s="2"/>
      <x:c r="O11" s="2"/>
    </x:row>
    <x:row r="12" ht="20" customHeight="1">
      <x:c r="A12" s="2"/>
      <x:c r="B12" s="2"/>
      <x:c r="C12" s="2" t="str">
        <x:v>D&amp;A</x:v>
      </x:c>
      <x:c r="D12" s="22" t="n">
        <x:f>'03_3Statement+Schedules'!D14</x:f>
        <x:v>2015.19</x:v>
      </x:c>
      <x:c r="E12" s="22" t="n">
        <x:f>'03_3Statement+Schedules'!E14</x:f>
        <x:v>2091.64</x:v>
      </x:c>
      <x:c r="F12" s="22" t="n">
        <x:f>'03_3Statement+Schedules'!F14</x:f>
        <x:v>2450.4</x:v>
      </x:c>
      <x:c r="G12" s="22" t="n">
        <x:f>'03_3Statement+Schedules'!G14</x:f>
        <x:v>2981.03</x:v>
      </x:c>
      <x:c r="H12" s="22" t="n">
        <x:f>'03_3Statement+Schedules'!H14</x:f>
        <x:v>3858.69</x:v>
      </x:c>
      <x:c r="I12" s="22" t="n">
        <x:f>'03_3Statement+Schedules'!I14</x:f>
        <x:v>5358.721295892978</x:v>
      </x:c>
      <x:c r="J12" s="22" t="n">
        <x:f>'03_3Statement+Schedules'!J14</x:f>
        <x:v>6617.169130303889</x:v>
      </x:c>
      <x:c r="K12" s="22" t="n">
        <x:f>'03_3Statement+Schedules'!K14</x:f>
        <x:v>7482.853067482698</x:v>
      </x:c>
      <x:c r="L12" s="22" t="n">
        <x:f>'03_3Statement+Schedules'!L14</x:f>
        <x:v>8250.70172768138</x:v>
      </x:c>
      <x:c r="M12" s="22" t="n">
        <x:f>'03_3Statement+Schedules'!M14</x:f>
        <x:v>8983.566046381382</x:v>
      </x:c>
      <x:c r="N12" s="2"/>
      <x:c r="O12" s="2"/>
    </x:row>
    <x:row r="13" ht="20" customHeight="1">
      <x:c r="A13" s="2"/>
      <x:c r="B13" s="2"/>
      <x:c r="C13" s="2" t="str">
        <x:v>Gross cash capex</x:v>
      </x:c>
      <x:c r="D13" s="22" t="n">
        <x:f>'03_3Statement+Schedules'!D136</x:f>
        <x:v>5266.929999999999</x:v>
      </x:c>
      <x:c r="E13" s="22" t="n">
        <x:f>'03_3Statement+Schedules'!E136</x:f>
        <x:v>4794.53</x:v>
      </x:c>
      <x:c r="F13" s="22" t="n">
        <x:f>'03_3Statement+Schedules'!F136</x:f>
        <x:v>8585.189999999999</x:v>
      </x:c>
      <x:c r="G13" s="22" t="n">
        <x:f>'03_3Statement+Schedules'!G136</x:f>
        <x:v>9724.44</x:v>
      </x:c>
      <x:c r="H13" s="22" t="n">
        <x:f>'03_3Statement+Schedules'!H136</x:f>
        <x:v>14898.080000000002</x:v>
      </x:c>
      <x:c r="I13" s="22" t="n">
        <x:f>'03_3Statement+Schedules'!I136</x:f>
        <x:v>14000</x:v>
      </x:c>
      <x:c r="J13" s="22" t="n">
        <x:f>'03_3Statement+Schedules'!J136</x:f>
        <x:v>14000</x:v>
      </x:c>
      <x:c r="K13" s="22" t="n">
        <x:f>'03_3Statement+Schedules'!K136</x:f>
        <x:v>14000</x:v>
      </x:c>
      <x:c r="L13" s="22" t="n">
        <x:f>'03_3Statement+Schedules'!L136</x:f>
        <x:v>14000</x:v>
      </x:c>
      <x:c r="M13" s="22" t="n">
        <x:f>'03_3Statement+Schedules'!M136</x:f>
        <x:v>15819.999999999998</x:v>
      </x:c>
      <x:c r="N13" s="2"/>
      <x:c r="O13" s="2"/>
    </x:row>
    <x:row r="14" ht="20" customHeight="1">
      <x:c r="A14" s="2"/>
      <x:c r="B14" s="2"/>
      <x:c r="C14" s="2" t="str">
        <x:v>ROU additions treated as capex</x:v>
      </x:c>
      <x:c r="D14" s="22" t="n">
        <x:f>'03_3Statement+Schedules'!D137</x:f>
        <x:v>194.23</x:v>
      </x:c>
      <x:c r="E14" s="22" t="n">
        <x:f>'03_3Statement+Schedules'!E137</x:f>
        <x:v>173.44</x:v>
      </x:c>
      <x:c r="F14" s="22" t="n">
        <x:f>'03_3Statement+Schedules'!F137</x:f>
        <x:v>572.56</x:v>
      </x:c>
      <x:c r="G14" s="22" t="n">
        <x:f>'03_3Statement+Schedules'!G137</x:f>
        <x:v>899.01</x:v>
      </x:c>
      <x:c r="H14" s="22" t="n">
        <x:f>'03_3Statement+Schedules'!H137</x:f>
        <x:v>429.11</x:v>
      </x:c>
      <x:c r="I14" s="22" t="n">
        <x:f>'03_3Statement+Schedules'!I137</x:f>
        <x:v>248.42</x:v>
      </x:c>
      <x:c r="J14" s="22" t="n">
        <x:f>'03_3Statement+Schedules'!J137</x:f>
        <x:v>248.42</x:v>
      </x:c>
      <x:c r="K14" s="22" t="n">
        <x:f>'03_3Statement+Schedules'!K137</x:f>
        <x:v>248.42</x:v>
      </x:c>
      <x:c r="L14" s="22" t="n">
        <x:f>'03_3Statement+Schedules'!L137</x:f>
        <x:v>248.42</x:v>
      </x:c>
      <x:c r="M14" s="22" t="n">
        <x:f>'03_3Statement+Schedules'!M137</x:f>
        <x:v>248.42</x:v>
      </x:c>
      <x:c r="N14" s="2"/>
      <x:c r="O14" s="2"/>
    </x:row>
    <x:row r="15" ht="44" customHeight="1">
      <x:c r="A15" s="2"/>
      <x:c r="B15" s="2"/>
      <x:c r="C15" s="2" t="str">
        <x:v>Increase in operating NWC and required cash</x:v>
      </x:c>
      <x:c r="D15" s="22" t="str">
        <x:f>'03_3Statement+Schedules'!D131</x:f>
        <x:v>n.a.</x:v>
      </x:c>
      <x:c r="E15" s="22" t="n">
        <x:f>'03_3Statement+Schedules'!E131</x:f>
        <x:v>6151.839999999993</x:v>
      </x:c>
      <x:c r="F15" s="22" t="n">
        <x:f>'03_3Statement+Schedules'!F131</x:f>
        <x:v>14540.120000000003</x:v>
      </x:c>
      <x:c r="G15" s="22" t="n">
        <x:f>'03_3Statement+Schedules'!G131</x:f>
        <x:v>294.77999999999884</x:v>
      </x:c>
      <x:c r="H15" s="22" t="n">
        <x:f>'03_3Statement+Schedules'!H131</x:f>
        <x:v>23078.730000000018</x:v>
      </x:c>
      <x:c r="I15" s="22" t="n">
        <x:f>'03_3Statement+Schedules'!I131+'03_3Statement+Schedules'!I156-'03_3Statement+Schedules'!H156</x:f>
        <x:v>21379.15863704359</x:v>
      </x:c>
      <x:c r="J15" s="22" t="n">
        <x:f>'03_3Statement+Schedules'!J131+'03_3Statement+Schedules'!J156-'03_3Statement+Schedules'!I156</x:f>
        <x:v>18005.698077481626</x:v>
      </x:c>
      <x:c r="K15" s="22" t="n">
        <x:f>'03_3Statement+Schedules'!K131+'03_3Statement+Schedules'!K156-'03_3Statement+Schedules'!J156</x:f>
        <x:v>19520.05808520935</x:v>
      </x:c>
      <x:c r="L15" s="22" t="n">
        <x:f>'03_3Statement+Schedules'!L131+'03_3Statement+Schedules'!L156-'03_3Statement+Schedules'!K156</x:f>
        <x:v>20810.417408159392</x:v>
      </x:c>
      <x:c r="M15" s="22" t="n">
        <x:f>'03_3Statement+Schedules'!M131+'03_3Statement+Schedules'!M156-'03_3Statement+Schedules'!L156</x:f>
        <x:v>21121.236575137387</x:v>
      </x:c>
      <x:c r="N15" s="2"/>
      <x:c r="O15" s="16" t="str">
        <x:v>Forecast reinvestment includes the increase in required cash from the treasury schedule. Historical FCFF retains the original cash-excluding NWC definition. Terminal reinvestment covers all operating capital through the ROIC assumption.</x:v>
      </x:c>
    </x:row>
    <x:row r="16" ht="20" customHeight="1">
      <x:c r="A16" s="2"/>
      <x:c r="B16" s="2"/>
      <x:c r="C16" s="47" t="str">
        <x:v>Unlevered free cash flow</x:v>
      </x:c>
      <x:c r="D16" s="54" t="str">
        <x:v>n.a.</x:v>
      </x:c>
      <x:c r="E16" s="56" t="n">
        <x:f>E11+E12-E13-E14-E15</x:f>
        <x:v>3319.3991032862195</x:v>
      </x:c>
      <x:c r="F16" s="56" t="n">
        <x:f>F11+F12-F13-F14-F15</x:f>
        <x:v>-4078.26382229899</x:v>
      </x:c>
      <x:c r="G16" s="56" t="n">
        <x:f>G11+G12-G13-G14-G15</x:f>
        <x:v>12225.007503833072</x:v>
      </x:c>
      <x:c r="H16" s="56" t="n">
        <x:f>H11+H12-H13-H14-H15</x:f>
        <x:v>-7412.105897143072</x:v>
      </x:c>
      <x:c r="I16" s="56" t="n">
        <x:f>I11+I12-I13-I14-I15</x:f>
        <x:v>1120.7991056994579</x:v>
      </x:c>
      <x:c r="J16" s="56" t="n">
        <x:f>J11+J12-J13-J14-J15</x:f>
        <x:v>10036.163945279717</x:v>
      </x:c>
      <x:c r="K16" s="56" t="n">
        <x:f>K11+K12-K13-K14-K15</x:f>
        <x:v>14091.086790474732</x:v>
      </x:c>
      <x:c r="L16" s="56" t="n">
        <x:f>L11+L12-L13-L14-L15</x:f>
        <x:v>18274.517319029375</x:v>
      </x:c>
      <x:c r="M16" s="56" t="n">
        <x:f>M11+M12-M13-M14-M15</x:f>
        <x:v>23349.792028214426</x:v>
      </x:c>
      <x:c r="N16" s="2"/>
      <x:c r="O16" s="2"/>
    </x:row>
    <x:row r="17" ht="20" customHeight="1">
      <x:c r="A17" s="2"/>
      <x:c r="B17" s="2"/>
      <x:c r="C17" s="2"/>
      <x:c r="D17" s="3"/>
      <x:c r="E17" s="3"/>
      <x:c r="F17" s="3"/>
      <x:c r="G17" s="3"/>
      <x:c r="H17" s="3"/>
      <x:c r="I17" s="3"/>
      <x:c r="J17" s="3"/>
      <x:c r="K17" s="3"/>
      <x:c r="L17" s="3"/>
      <x:c r="M17" s="3"/>
      <x:c r="N17" s="2"/>
      <x:c r="O17" s="2"/>
    </x:row>
    <x:row r="18" ht="20" customHeight="1">
      <x:c r="A18" s="2"/>
      <x:c r="B18" s="2"/>
      <x:c r="C18" s="2" t="str">
        <x:v>Discount period, years</x:v>
      </x:c>
      <x:c r="D18" s="3"/>
      <x:c r="E18" s="3"/>
      <x:c r="F18" s="3"/>
      <x:c r="G18" s="3"/>
      <x:c r="H18" s="3"/>
      <x:c r="I18" s="17" t="n">
        <x:v>1</x:v>
      </x:c>
      <x:c r="J18" s="17" t="n">
        <x:v>2</x:v>
      </x:c>
      <x:c r="K18" s="17" t="n">
        <x:v>3</x:v>
      </x:c>
      <x:c r="L18" s="17" t="n">
        <x:v>4</x:v>
      </x:c>
      <x:c r="M18" s="17" t="n">
        <x:v>5</x:v>
      </x:c>
      <x:c r="N18" s="2"/>
      <x:c r="O18" s="2"/>
    </x:row>
    <x:row r="19" ht="20" customHeight="1">
      <x:c r="A19" s="2"/>
      <x:c r="B19" s="2"/>
      <x:c r="C19" s="2" t="str">
        <x:v>Discount factor</x:v>
      </x:c>
      <x:c r="D19" s="3"/>
      <x:c r="E19" s="3"/>
      <x:c r="F19" s="3"/>
      <x:c r="G19" s="3"/>
      <x:c r="H19" s="3"/>
      <x:c r="I19" s="14" t="n">
        <x:f>IF(ISNUMBER($H$24),1/(1+$H$24)^I18,"n.a.")</x:f>
        <x:v>0.889303975215923</x:v>
      </x:c>
      <x:c r="J19" s="14" t="n">
        <x:f>IF(ISNUMBER($H$24),1/(1+$H$24)^J18,"n.a.")</x:f>
        <x:v>0.790861560334843</x:v>
      </x:c>
      <x:c r="K19" s="14" t="n">
        <x:f>IF(ISNUMBER($H$24),1/(1+$H$24)^K18,"n.a.")</x:f>
        <x:v>0.7033163294512434</x:v>
      </x:c>
      <x:c r="L19" s="14" t="n">
        <x:f>IF(ISNUMBER($H$24),1/(1+$H$24)^L18,"n.a.")</x:f>
        <x:v>0.6254620076152625</x:v>
      </x:c>
      <x:c r="M19" s="14" t="n">
        <x:f>IF(ISNUMBER($H$24),1/(1+$H$24)^M18,"n.a.")</x:f>
        <x:v>0.5562258497187849</x:v>
      </x:c>
      <x:c r="N19" s="2"/>
      <x:c r="O19" s="2"/>
    </x:row>
    <x:row r="20" ht="20" customHeight="1">
      <x:c r="A20" s="2"/>
      <x:c r="B20" s="2"/>
      <x:c r="C20" s="47" t="str">
        <x:v>PV of FCFF</x:v>
      </x:c>
      <x:c r="D20" s="54"/>
      <x:c r="E20" s="54"/>
      <x:c r="F20" s="54"/>
      <x:c r="G20" s="54"/>
      <x:c r="H20" s="54"/>
      <x:c r="I20" s="56" t="n">
        <x:f>IF(ISNUMBER(I19),I16*I19,"n.a.")</x:f>
        <x:v>996.7311001169793</x:v>
      </x:c>
      <x:c r="J20" s="56" t="n">
        <x:f>IF(ISNUMBER(J19),J16*J19,"n.a.")</x:f>
        <x:v>7937.216277540211</x:v>
      </x:c>
      <x:c r="K20" s="56" t="n">
        <x:f>IF(ISNUMBER(K19),K16*K19,"n.a.")</x:f>
        <x:v>9910.49143945559</x:v>
      </x:c>
      <x:c r="L20" s="56" t="n">
        <x:f>IF(ISNUMBER(L19),L16*L19,"n.a.")</x:f>
        <x:v>11430.016290559997</x:v>
      </x:c>
      <x:c r="M20" s="56" t="n">
        <x:f>IF(ISNUMBER(M19),M16*M19,"n.a.")</x:f>
        <x:v>12987.757911650478</x:v>
      </x:c>
      <x:c r="N20" s="2"/>
      <x:c r="O20" s="2"/>
    </x:row>
    <x:row r="21" ht="20" customHeight="1">
      <x:c r="A21" s="2"/>
      <x:c r="B21" s="2"/>
      <x:c r="C21" s="2"/>
      <x:c r="D21" s="3"/>
      <x:c r="E21" s="3"/>
      <x:c r="F21" s="3"/>
      <x:c r="G21" s="3"/>
      <x:c r="H21" s="3"/>
      <x:c r="I21" s="3"/>
      <x:c r="J21" s="3"/>
      <x:c r="K21" s="3"/>
      <x:c r="L21" s="3"/>
      <x:c r="M21" s="3"/>
      <x:c r="N21" s="2"/>
      <x:c r="O21" s="2"/>
    </x:row>
    <x:row r="22" ht="20" customHeight="1">
      <x:c r="A22" s="2"/>
      <x:c r="B22" s="2"/>
      <x:c r="C22" s="2"/>
      <x:c r="D22" s="3"/>
      <x:c r="E22" s="3"/>
      <x:c r="F22" s="3"/>
      <x:c r="G22" s="3"/>
      <x:c r="H22" s="3"/>
      <x:c r="I22" s="3"/>
      <x:c r="J22" s="3"/>
      <x:c r="K22" s="3"/>
      <x:c r="L22" s="3"/>
      <x:c r="M22" s="3"/>
      <x:c r="N22" s="2"/>
      <x:c r="O22" s="2"/>
    </x:row>
    <x:row r="23" ht="20" customHeight="1">
      <x:c r="A23" s="2"/>
      <x:c r="B23" s="2"/>
      <x:c r="C23" s="2"/>
      <x:c r="D23" s="3"/>
      <x:c r="E23" s="3"/>
      <x:c r="F23" s="3"/>
      <x:c r="G23" s="3"/>
      <x:c r="H23" s="3"/>
      <x:c r="I23" s="3"/>
      <x:c r="J23" s="3"/>
      <x:c r="K23" s="3"/>
      <x:c r="L23" s="3"/>
      <x:c r="M23" s="3"/>
      <x:c r="N23" s="2"/>
      <x:c r="O23" s="2"/>
    </x:row>
    <x:row r="24" ht="32" customHeight="1">
      <x:c r="A24" s="2"/>
      <x:c r="B24" s="2"/>
      <x:c r="C24" s="24" t="str">
        <x:v>Nominal INR WACC</x:v>
      </x:c>
      <x:c r="D24" s="25"/>
      <x:c r="E24" s="25"/>
      <x:c r="F24" s="25"/>
      <x:c r="G24" s="25"/>
      <x:c r="H24" s="163" t="n">
        <x:f>H128</x:f>
        <x:v>0.12447490157367178</x:v>
      </x:c>
      <x:c r="I24" s="25"/>
      <x:c r="J24" s="25"/>
      <x:c r="K24" s="25"/>
      <x:c r="L24" s="25"/>
      <x:c r="M24" s="25"/>
      <x:c r="N24" s="2"/>
      <x:c r="O24" s="16" t="str">
        <x:v>WACC is calculated below. Inputs, dates and analyst choices are recorded in Cover+Sources.</x:v>
      </x:c>
    </x:row>
    <x:row r="25" ht="32" customHeight="1">
      <x:c r="A25" s="2"/>
      <x:c r="B25" s="2"/>
      <x:c r="C25" s="24" t="str">
        <x:v>Terminal nominal growth</x:v>
      </x:c>
      <x:c r="D25" s="25"/>
      <x:c r="E25" s="25"/>
      <x:c r="F25" s="25"/>
      <x:c r="G25" s="25"/>
      <x:c r="H25" s="164" t="n">
        <x:f>'00_Cover+Sources'!H242</x:f>
        <x:v>0.04</x:v>
      </x:c>
      <x:c r="I25" s="25"/>
      <x:c r="J25" s="25"/>
      <x:c r="K25" s="25"/>
      <x:c r="L25" s="25"/>
      <x:c r="M25" s="25"/>
      <x:c r="N25" s="2"/>
      <x:c r="O25" s="16" t="str">
        <x:v>Nominal terminal growth must be below WACC and terminal ROIC. Year-end discounting, five explicit forecast periods.</x:v>
      </x:c>
    </x:row>
    <x:row r="26" ht="44" customHeight="1">
      <x:c r="A26" s="2"/>
      <x:c r="B26" s="2"/>
      <x:c r="C26" s="24" t="str">
        <x:v>Terminal ROIC calibration</x:v>
      </x:c>
      <x:c r="D26" s="25"/>
      <x:c r="E26" s="25"/>
      <x:c r="F26" s="25"/>
      <x:c r="G26" s="25"/>
      <x:c r="H26" s="26" t="n">
        <x:f>MIN('01_Historical+Segments'!D266,'01_Historical+Segments'!E266,'01_Historical+Segments'!F266,'01_Historical+Segments'!G266,'01_Historical+Segments'!H266)*(1-'02_Drivers+Scenarios'!I114)</x:f>
        <x:v>0.15292212533645164</x:v>
      </x:c>
      <x:c r="I26" s="25"/>
      <x:c r="J26" s="25"/>
      <x:c r="K26" s="25"/>
      <x:c r="L26" s="25"/>
      <x:c r="M26" s="25"/>
      <x:c r="N26" s="2"/>
      <x:c r="O26" s="16" t="str">
        <x:v>Conservative analyst terminal ROIC proxy: lowest FY22–FY26 reported pre-tax ROCE × (1 – normalized tax). Different capital definitions limit comparability.</x:v>
      </x:c>
    </x:row>
    <x:row r="27" ht="20" customHeight="1">
      <x:c r="A27" s="2"/>
      <x:c r="B27" s="2"/>
      <x:c r="C27" s="2" t="str">
        <x:v>Borrowings + acceptances + lease liabilities</x:v>
      </x:c>
      <x:c r="D27" s="3"/>
      <x:c r="E27" s="3"/>
      <x:c r="F27" s="3"/>
      <x:c r="G27" s="3"/>
      <x:c r="H27" s="22" t="n">
        <x:f>'03_3Statement+Schedules'!H45+'03_3Statement+Schedules'!H46+'03_3Statement+Schedules'!H47</x:f>
        <x:v>45011.36</x:v>
      </x:c>
      <x:c r="I27" s="3"/>
      <x:c r="J27" s="3"/>
      <x:c r="K27" s="3"/>
      <x:c r="L27" s="3"/>
      <x:c r="M27" s="3"/>
      <x:c r="N27" s="2"/>
      <x:c r="O27" s="2"/>
    </x:row>
    <x:row r="28" ht="20" customHeight="1">
      <x:c r="A28" s="2"/>
      <x:c r="B28" s="2"/>
      <x:c r="C28" s="2" t="str">
        <x:v>Less: surplus treasury assets</x:v>
      </x:c>
      <x:c r="D28" s="3"/>
      <x:c r="E28" s="3"/>
      <x:c r="F28" s="3"/>
      <x:c r="G28" s="3"/>
      <x:c r="H28" s="22" t="n">
        <x:f>'03_3Statement+Schedules'!H39-'00_Cover+Sources'!H243-'00_Cover+Sources'!H244</x:f>
        <x:v>34048.23000000001</x:v>
      </x:c>
      <x:c r="I28" s="3"/>
      <x:c r="J28" s="3"/>
      <x:c r="K28" s="3"/>
      <x:c r="L28" s="3"/>
      <x:c r="M28" s="3"/>
      <x:c r="N28" s="2"/>
      <x:c r="O28" s="2"/>
    </x:row>
    <x:row r="29" ht="32" customHeight="1">
      <x:c r="A29" s="2"/>
      <x:c r="B29" s="2"/>
      <x:c r="C29" s="2" t="str">
        <x:v>Net financing claims after cash reserves</x:v>
      </x:c>
      <x:c r="D29" s="3"/>
      <x:c r="E29" s="3"/>
      <x:c r="F29" s="3"/>
      <x:c r="G29" s="3"/>
      <x:c r="H29" s="14" t="n">
        <x:f>H27-H28</x:f>
        <x:v>10963.12999999999</x:v>
      </x:c>
      <x:c r="I29" s="3"/>
      <x:c r="J29" s="3"/>
      <x:c r="K29" s="3"/>
      <x:c r="L29" s="3"/>
      <x:c r="M29" s="3"/>
      <x:c r="N29" s="2"/>
      <x:c r="O29" s="16" t="str">
        <x:v>Acceptances and leases are debt. Retain FY26 operating cash and all other bank balances. Only current investments count as surplus in the DCF bridge.</x:v>
      </x:c>
    </x:row>
    <x:row r="30" ht="32" customHeight="1">
      <x:c r="A30" s="2"/>
      <x:c r="B30" s="2"/>
      <x:c r="C30" s="2" t="str">
        <x:v>Non-controlling interest (book-value proxy)</x:v>
      </x:c>
      <x:c r="D30" s="3"/>
      <x:c r="E30" s="3"/>
      <x:c r="F30" s="3"/>
      <x:c r="G30" s="3"/>
      <x:c r="H30" s="22" t="n">
        <x:f>'01_Historical+Segments'!H194</x:f>
        <x:v>1181.93</x:v>
      </x:c>
      <x:c r="I30" s="3"/>
      <x:c r="J30" s="3"/>
      <x:c r="K30" s="3"/>
      <x:c r="L30" s="3"/>
      <x:c r="M30" s="3"/>
      <x:c r="N30" s="2"/>
      <x:c r="O30" s="16" t="str">
        <x:v>Book NCI proxy; material subsidiary valuation and restricted-cash review needed for an investable equity target.</x:v>
      </x:c>
    </x:row>
    <x:row r="31" ht="44" customHeight="1">
      <x:c r="A31" s="2"/>
      <x:c r="B31" s="2"/>
      <x:c r="C31" s="2" t="str">
        <x:v>FY26 diluted shares (million)</x:v>
      </x:c>
      <x:c r="D31" s="3"/>
      <x:c r="E31" s="3"/>
      <x:c r="F31" s="3"/>
      <x:c r="G31" s="3"/>
      <x:c r="H31" s="22" t="n">
        <x:f>'01_Historical+Segments'!H166</x:f>
        <x:v>151.001427</x:v>
      </x:c>
      <x:c r="I31" s="3"/>
      <x:c r="J31" s="3"/>
      <x:c r="K31" s="3"/>
      <x:c r="L31" s="3"/>
      <x:c r="M31" s="3"/>
      <x:c r="N31" s="2"/>
      <x:c r="O31" s="16" t="str">
        <x:v>FY26 weighted-average diluted shares retained. Current share count and outstanding option valuation have not been fully refreshed for a September target.</x:v>
      </x:c>
    </x:row>
    <x:row r="32" ht="20" customHeight="1">
      <x:c r="A32" s="2"/>
      <x:c r="B32" s="2"/>
      <x:c r="C32" s="2"/>
      <x:c r="D32" s="3"/>
      <x:c r="E32" s="3"/>
      <x:c r="F32" s="3"/>
      <x:c r="G32" s="3"/>
      <x:c r="H32" s="3"/>
      <x:c r="I32" s="3"/>
      <x:c r="J32" s="3"/>
      <x:c r="K32" s="3"/>
      <x:c r="L32" s="3"/>
      <x:c r="M32" s="3"/>
      <x:c r="N32" s="2"/>
      <x:c r="O32" s="2"/>
    </x:row>
    <x:row r="33" ht="20" customHeight="1">
      <x:c r="A33" s="2"/>
      <x:c r="B33" s="2"/>
      <x:c r="C33" s="2" t="str">
        <x:v>PV of explicit-period FCFF</x:v>
      </x:c>
      <x:c r="D33" s="3"/>
      <x:c r="E33" s="3"/>
      <x:c r="F33" s="3"/>
      <x:c r="G33" s="3"/>
      <x:c r="H33" s="14" t="n">
        <x:f>IF(COUNT(I20:M20)=5,SUM(I20:M20),"n.a.")</x:f>
        <x:v>43262.21301932326</x:v>
      </x:c>
      <x:c r="I33" s="3"/>
      <x:c r="J33" s="3"/>
      <x:c r="K33" s="3"/>
      <x:c r="L33" s="3"/>
      <x:c r="M33" s="3"/>
      <x:c r="N33" s="2"/>
      <x:c r="O33" s="2"/>
    </x:row>
    <x:row r="34" ht="20" customHeight="1">
      <x:c r="A34" s="2"/>
      <x:c r="B34" s="2"/>
      <x:c r="C34" s="2" t="str">
        <x:v>Terminal NOPAT</x:v>
      </x:c>
      <x:c r="D34" s="3"/>
      <x:c r="E34" s="3"/>
      <x:c r="F34" s="3"/>
      <x:c r="G34" s="3"/>
      <x:c r="H34" s="14" t="n">
        <x:f>IF(ISNUMBER(H25),M11*(1+H25),"n.a.")</x:f>
        <x:v>53618.11785924924</x:v>
      </x:c>
      <x:c r="I34" s="3"/>
      <x:c r="J34" s="3"/>
      <x:c r="K34" s="3"/>
      <x:c r="L34" s="3"/>
      <x:c r="M34" s="3"/>
      <x:c r="N34" s="2"/>
      <x:c r="O34" s="2"/>
    </x:row>
    <x:row r="35" ht="20" customHeight="1">
      <x:c r="A35" s="2"/>
      <x:c r="B35" s="2"/>
      <x:c r="C35" s="2" t="str">
        <x:v>Terminal reinvestment</x:v>
      </x:c>
      <x:c r="D35" s="3"/>
      <x:c r="E35" s="3"/>
      <x:c r="F35" s="3"/>
      <x:c r="G35" s="3"/>
      <x:c r="H35" s="14" t="n">
        <x:f>IF(ISNUMBER(H34),H34*H25/H26,"n.a.")</x:f>
        <x:v>14024.947074540412</x:v>
      </x:c>
      <x:c r="I35" s="3"/>
      <x:c r="J35" s="3"/>
      <x:c r="K35" s="3"/>
      <x:c r="L35" s="3"/>
      <x:c r="M35" s="3"/>
      <x:c r="N35" s="2"/>
      <x:c r="O35" s="2"/>
    </x:row>
    <x:row r="36" ht="20" customHeight="1">
      <x:c r="A36" s="2"/>
      <x:c r="B36" s="2"/>
      <x:c r="C36" s="2" t="str">
        <x:v>Terminal FCFF</x:v>
      </x:c>
      <x:c r="D36" s="3"/>
      <x:c r="E36" s="3"/>
      <x:c r="F36" s="3"/>
      <x:c r="G36" s="3"/>
      <x:c r="H36" s="14" t="n">
        <x:f>IF(ISNUMBER(H35),H34-H35,"n.a.")</x:f>
        <x:v>39593.17078470883</x:v>
      </x:c>
      <x:c r="I36" s="3"/>
      <x:c r="J36" s="3"/>
      <x:c r="K36" s="3"/>
      <x:c r="L36" s="3"/>
      <x:c r="M36" s="3"/>
      <x:c r="N36" s="2"/>
      <x:c r="O36" s="2"/>
    </x:row>
    <x:row r="37" ht="20" customHeight="1">
      <x:c r="A37" s="2"/>
      <x:c r="B37" s="2"/>
      <x:c r="C37" s="2" t="str">
        <x:v>PV of terminal value</x:v>
      </x:c>
      <x:c r="D37" s="3"/>
      <x:c r="E37" s="3"/>
      <x:c r="F37" s="3"/>
      <x:c r="G37" s="3"/>
      <x:c r="H37" s="14" t="n">
        <x:f>IF(AND(COUNT(H24:H26)=3,ISNUMBER(H36),H24&gt;H25),H36/(H24-H25)/(1+H24)^5,"n.a.")</x:f>
        <x:v>260701.63625558402</x:v>
      </x:c>
      <x:c r="I37" s="3"/>
      <x:c r="J37" s="3"/>
      <x:c r="K37" s="3"/>
      <x:c r="L37" s="3"/>
      <x:c r="M37" s="3"/>
      <x:c r="N37" s="2"/>
      <x:c r="O37" s="2"/>
    </x:row>
    <x:row r="38" ht="20" customHeight="1">
      <x:c r="A38" s="2"/>
      <x:c r="B38" s="2"/>
      <x:c r="C38" s="2"/>
      <x:c r="D38" s="3"/>
      <x:c r="E38" s="3"/>
      <x:c r="F38" s="3"/>
      <x:c r="G38" s="3"/>
      <x:c r="H38" s="3"/>
      <x:c r="I38" s="3"/>
      <x:c r="J38" s="3"/>
      <x:c r="K38" s="3"/>
      <x:c r="L38" s="3"/>
      <x:c r="M38" s="3"/>
      <x:c r="N38" s="2"/>
      <x:c r="O38" s="2"/>
    </x:row>
    <x:row r="39" ht="20" customHeight="1">
      <x:c r="A39" s="2"/>
      <x:c r="B39" s="2"/>
      <x:c r="C39" s="47" t="str">
        <x:v>Enterprise value</x:v>
      </x:c>
      <x:c r="D39" s="54"/>
      <x:c r="E39" s="54"/>
      <x:c r="F39" s="54"/>
      <x:c r="G39" s="54"/>
      <x:c r="H39" s="56" t="n">
        <x:f>IF(AND(ISNUMBER(H33),ISNUMBER(H37)),H33+H37,"n.a.")</x:f>
        <x:v>303963.84927490726</x:v>
      </x:c>
      <x:c r="I39" s="54"/>
      <x:c r="J39" s="54"/>
      <x:c r="K39" s="54"/>
      <x:c r="L39" s="54"/>
      <x:c r="M39" s="54"/>
      <x:c r="N39" s="2"/>
      <x:c r="O39" s="2"/>
    </x:row>
    <x:row r="40" ht="20" customHeight="1">
      <x:c r="A40" s="2"/>
      <x:c r="B40" s="2"/>
      <x:c r="C40" s="47" t="str">
        <x:v>Equity value</x:v>
      </x:c>
      <x:c r="D40" s="54"/>
      <x:c r="E40" s="54"/>
      <x:c r="F40" s="54"/>
      <x:c r="G40" s="54"/>
      <x:c r="H40" s="56" t="n">
        <x:f>IF(ISNUMBER(H39),H39-H29-H30,"n.a.")</x:f>
        <x:v>291818.78927490726</x:v>
      </x:c>
      <x:c r="I40" s="54"/>
      <x:c r="J40" s="54"/>
      <x:c r="K40" s="54"/>
      <x:c r="L40" s="54"/>
      <x:c r="M40" s="54"/>
      <x:c r="N40" s="2"/>
      <x:c r="O40" s="2"/>
    </x:row>
    <x:row r="41" ht="32" customHeight="1">
      <x:c r="A41" s="2"/>
      <x:c r="B41" s="2"/>
      <x:c r="C41" s="47" t="str">
        <x:v>Value per diluted share (INR)</x:v>
      </x:c>
      <x:c r="D41" s="70"/>
      <x:c r="E41" s="70"/>
      <x:c r="F41" s="70"/>
      <x:c r="G41" s="70"/>
      <x:c r="H41" s="71" t="n">
        <x:f>IF(ISNUMBER(H40),H40/H31,"n.a.")</x:f>
        <x:v>1932.5565001111363</x:v>
      </x:c>
      <x:c r="I41" s="70"/>
      <x:c r="J41" s="70"/>
      <x:c r="K41" s="70"/>
      <x:c r="L41" s="70"/>
      <x:c r="M41" s="70"/>
      <x:c r="N41" s="2"/>
      <x:c r="O41" s="16" t="str">
        <x:v>31 March 2026 cash-flow anchor using September information. Do not read this value as a September-dated target.</x:v>
      </x:c>
    </x:row>
    <x:row r="42" ht="20" customHeight="1">
      <x:c r="A42" s="2"/>
      <x:c r="B42" s="2"/>
      <x:c r="C42" s="2"/>
      <x:c r="D42" s="3"/>
      <x:c r="E42" s="3"/>
      <x:c r="F42" s="3"/>
      <x:c r="G42" s="3"/>
      <x:c r="H42" s="3"/>
      <x:c r="I42" s="3"/>
      <x:c r="J42" s="3"/>
      <x:c r="K42" s="3"/>
      <x:c r="L42" s="3"/>
      <x:c r="M42" s="3"/>
      <x:c r="N42" s="2"/>
      <x:c r="O42" s="2"/>
    </x:row>
    <x:row r="43" ht="44" customHeight="1">
      <x:c r="A43" s="2"/>
      <x:c r="B43" s="2"/>
      <x:c r="C43" s="2" t="str">
        <x:v>Company-reported FY26 net cash</x:v>
      </x:c>
      <x:c r="D43" s="3"/>
      <x:c r="E43" s="3"/>
      <x:c r="F43" s="3"/>
      <x:c r="G43" s="3"/>
      <x:c r="H43" s="22" t="n">
        <x:f>'01_Historical+Segments'!H268</x:f>
        <x:v>41940</x:v>
      </x:c>
      <x:c r="I43" s="3"/>
      <x:c r="J43" s="3"/>
      <x:c r="K43" s="3"/>
      <x:c r="L43" s="3"/>
      <x:c r="M43" s="3"/>
      <x:c r="N43" s="2"/>
      <x:c r="O43" s="16" t="str">
        <x:v>Company metric excludes supplier acceptances. DCF uses broader financing claims and reserves cash; this explains why the bridge can show net debt despite reported net cash.</x:v>
      </x:c>
    </x:row>
    <x:row r="44" ht="20" customHeight="1">
      <x:c r="A44" s="2"/>
      <x:c r="B44" s="2"/>
      <x:c r="C44" s="2"/>
      <x:c r="D44" s="3"/>
      <x:c r="E44" s="3"/>
      <x:c r="F44" s="3"/>
      <x:c r="G44" s="3"/>
      <x:c r="H44" s="3"/>
      <x:c r="I44" s="3"/>
      <x:c r="J44" s="3"/>
      <x:c r="K44" s="3"/>
      <x:c r="L44" s="3"/>
      <x:c r="M44" s="3"/>
      <x:c r="N44" s="2"/>
      <x:c r="O44" s="2"/>
    </x:row>
    <x:row r="45" ht="20" customHeight="1">
      <x:c r="A45" s="2"/>
      <x:c r="B45" s="2"/>
      <x:c r="C45" s="2"/>
      <x:c r="D45" s="3"/>
      <x:c r="E45" s="3"/>
      <x:c r="F45" s="3"/>
      <x:c r="G45" s="3"/>
      <x:c r="H45" s="3"/>
      <x:c r="I45" s="3"/>
      <x:c r="J45" s="3"/>
      <x:c r="K45" s="3"/>
      <x:c r="L45" s="3"/>
      <x:c r="M45" s="3"/>
      <x:c r="N45" s="2"/>
      <x:c r="O45" s="2"/>
    </x:row>
    <x:row r="46" ht="24" customHeight="1">
      <x:c r="A46" s="2"/>
      <x:c r="B46" s="2"/>
      <x:c r="C46" s="80" t="str">
        <x:v>September value per share: WACC and terminal growth</x:v>
      </x:c>
      <x:c r="D46" s="81"/>
      <x:c r="E46" s="81"/>
      <x:c r="F46" s="81"/>
      <x:c r="G46" s="81"/>
      <x:c r="H46" s="81"/>
      <x:c r="I46" s="81"/>
      <x:c r="J46" s="81"/>
      <x:c r="K46" s="81"/>
      <x:c r="L46" s="81"/>
      <x:c r="M46" s="81"/>
      <x:c r="N46" s="2"/>
      <x:c r="O46" s="2"/>
    </x:row>
    <x:row r="47" ht="20" customHeight="1">
      <x:c r="A47" s="2"/>
      <x:c r="B47" s="2"/>
      <x:c r="C47" s="2"/>
      <x:c r="D47" s="3"/>
      <x:c r="E47" s="3"/>
      <x:c r="F47" s="3"/>
      <x:c r="G47" s="3"/>
      <x:c r="H47" s="3"/>
      <x:c r="I47" s="3"/>
      <x:c r="J47" s="3"/>
      <x:c r="K47" s="3"/>
      <x:c r="L47" s="3"/>
      <x:c r="M47" s="3"/>
      <x:c r="N47" s="2"/>
      <x:c r="O47" s="2"/>
    </x:row>
    <x:row r="48" ht="20" customHeight="1">
      <x:c r="A48" s="2"/>
      <x:c r="B48" s="2"/>
      <x:c r="C48" s="2" t="str">
        <x:v>WACC down; growth across</x:v>
      </x:c>
      <x:c r="D48" s="3"/>
      <x:c r="E48" s="3"/>
      <x:c r="F48" s="3"/>
      <x:c r="G48" s="3"/>
      <x:c r="H48" s="3"/>
      <x:c r="I48" s="3"/>
      <x:c r="J48" s="3"/>
      <x:c r="K48" s="3"/>
      <x:c r="L48" s="3"/>
      <x:c r="M48" s="3"/>
      <x:c r="N48" s="2"/>
      <x:c r="O48" s="2"/>
    </x:row>
    <x:row r="49" ht="20" customHeight="1">
      <x:c r="A49" s="2"/>
      <x:c r="B49" s="2"/>
      <x:c r="C49" s="2"/>
      <x:c r="D49" s="3"/>
      <x:c r="E49" s="33" t="n">
        <x:f>$H$25+-0.01</x:f>
        <x:v>0.03</x:v>
      </x:c>
      <x:c r="F49" s="33" t="n">
        <x:f>$H$25+-0.005</x:f>
        <x:v>0.035</x:v>
      </x:c>
      <x:c r="G49" s="33" t="n">
        <x:f>$H$25+0</x:f>
        <x:v>0.04</x:v>
      </x:c>
      <x:c r="H49" s="33" t="n">
        <x:f>$H$25+0.005</x:f>
        <x:v>0.045</x:v>
      </x:c>
      <x:c r="I49" s="33" t="n">
        <x:f>$H$25+0.01</x:f>
        <x:v>0.05</x:v>
      </x:c>
      <x:c r="J49" s="3"/>
      <x:c r="K49" s="3"/>
      <x:c r="L49" s="3"/>
      <x:c r="M49" s="3"/>
      <x:c r="N49" s="2"/>
      <x:c r="O49" s="2"/>
    </x:row>
    <x:row r="50" ht="20" customHeight="1">
      <x:c r="A50" s="2"/>
      <x:c r="B50" s="2"/>
      <x:c r="C50" s="2"/>
      <x:c r="D50" s="33" t="n">
        <x:f>$H$24+-0.02</x:f>
        <x:v>0.10447490157367177</x:v>
      </x:c>
      <x:c r="E50" s="73" t="n">
        <x:f>IF(AND($D50&gt;E$49,$H$26&gt;E$49),(I$185/(1+$D50)^I$186+J$185/(1+$D50)^J$186+K$185/(1+$D50)^K$186+L$185/(1+$D50)^L$186+M$185/(1+$D50)^M$186+$M$11*(1+E$49)*(1-E$49/$H$26)/($D50-E$49)/(1+$D50)^$M$186-$H$203-$H$204)/$H$210,"n.a.")</x:f>
        <x:v>2604.8752567443125</x:v>
      </x:c>
      <x:c r="F50" s="73" t="n">
        <x:f>IF(AND($D50&gt;F$49,$H$26&gt;F$49),(I$185/(1+$D50)^I$186+J$185/(1+$D50)^J$186+K$185/(1+$D50)^K$186+L$185/(1+$D50)^L$186+M$185/(1+$D50)^M$186+$M$11*(1+F$49)*(1-F$49/$H$26)/($D50-F$49)/(1+$D50)^$M$186-$H$203-$H$204)/$H$210,"n.a.")</x:f>
        <x:v>2685.3364272556437</x:v>
      </x:c>
      <x:c r="G50" s="73" t="n">
        <x:f>IF(AND($D50&gt;G$49,$H$26&gt;G$49),(I$185/(1+$D50)^I$186+J$185/(1+$D50)^J$186+K$185/(1+$D50)^K$186+L$185/(1+$D50)^L$186+M$185/(1+$D50)^M$186+$M$11*(1+G$49)*(1-G$49/$H$26)/($D50-G$49)/(1+$D50)^$M$186-$H$203-$H$204)/$H$210,"n.a.")</x:f>
        <x:v>2777.176725993548</x:v>
      </x:c>
      <x:c r="H50" s="73" t="n">
        <x:f>IF(AND($D50&gt;H$49,$H$26&gt;H$49),(I$185/(1+$D50)^I$186+J$185/(1+$D50)^J$186+K$185/(1+$D50)^K$186+L$185/(1+$D50)^L$186+M$185/(1+$D50)^M$186+$M$11*(1+H$49)*(1-H$49/$H$26)/($D50-H$49)/(1+$D50)^$M$186-$H$203-$H$204)/$H$210,"n.a.")</x:f>
        <x:v>2883.2660513333467</x:v>
      </x:c>
      <x:c r="I50" s="73" t="n">
        <x:f>IF(AND($D50&gt;I$49,$H$26&gt;I$49),(I$185/(1+$D50)^I$186+J$185/(1+$D50)^J$186+K$185/(1+$D50)^K$186+L$185/(1+$D50)^L$186+M$185/(1+$D50)^M$186+$M$11*(1+I$49)*(1-I$49/$H$26)/($D50-I$49)/(1+$D50)^$M$186-$H$203-$H$204)/$H$210,"n.a.")</x:f>
        <x:v>3007.527960598761</x:v>
      </x:c>
      <x:c r="J50" s="3"/>
      <x:c r="K50" s="3"/>
      <x:c r="L50" s="3"/>
      <x:c r="M50" s="3"/>
      <x:c r="N50" s="2"/>
      <x:c r="O50" s="2"/>
    </x:row>
    <x:row r="51" ht="20" customHeight="1">
      <x:c r="A51" s="2"/>
      <x:c r="B51" s="2"/>
      <x:c r="C51" s="2"/>
      <x:c r="D51" s="33" t="n">
        <x:f>$H$24+-0.01</x:f>
        <x:v>0.11447490157367178</x:v>
      </x:c>
      <x:c r="E51" s="73" t="n">
        <x:f>IF(AND($D51&gt;E$49,$H$26&gt;E$49),(I$185/(1+$D51)^I$186+J$185/(1+$D51)^J$186+K$185/(1+$D51)^K$186+L$185/(1+$D51)^L$186+M$185/(1+$D51)^M$186+$M$11*(1+E$49)*(1-E$49/$H$26)/($D51-E$49)/(1+$D51)^$M$186-$H$203-$H$204)/$H$210,"n.a.")</x:f>
        <x:v>2224.7927373216858</x:v>
      </x:c>
      <x:c r="F51" s="73" t="n">
        <x:f>IF(AND($D51&gt;F$49,$H$26&gt;F$49),(I$185/(1+$D51)^I$186+J$185/(1+$D51)^J$186+K$185/(1+$D51)^K$186+L$185/(1+$D51)^L$186+M$185/(1+$D51)^M$186+$M$11*(1+F$49)*(1-F$49/$H$26)/($D51-F$49)/(1+$D51)^$M$186-$H$203-$H$204)/$H$210,"n.a.")</x:f>
        <x:v>2275.060717188828</x:v>
      </x:c>
      <x:c r="G51" s="73" t="n">
        <x:f>IF(AND($D51&gt;G$49,$H$26&gt;G$49),(I$185/(1+$D51)^I$186+J$185/(1+$D51)^J$186+K$185/(1+$D51)^K$186+L$185/(1+$D51)^L$186+M$185/(1+$D51)^M$186+$M$11*(1+G$49)*(1-G$49/$H$26)/($D51-G$49)/(1+$D51)^$M$186-$H$203-$H$204)/$H$210,"n.a.")</x:f>
        <x:v>2331.164049195758</x:v>
      </x:c>
      <x:c r="H51" s="73" t="n">
        <x:f>IF(AND($D51&gt;H$49,$H$26&gt;H$49),(I$185/(1+$D51)^I$186+J$185/(1+$D51)^J$186+K$185/(1+$D51)^K$186+L$185/(1+$D51)^L$186+M$185/(1+$D51)^M$186+$M$11*(1+H$49)*(1-H$49/$H$26)/($D51-H$49)/(1+$D51)^$M$186-$H$203-$H$204)/$H$210,"n.a.")</x:f>
        <x:v>2394.362616841612</x:v>
      </x:c>
      <x:c r="I51" s="73" t="n">
        <x:f>IF(AND($D51&gt;I$49,$H$26&gt;I$49),(I$185/(1+$D51)^I$186+J$185/(1+$D51)^J$186+K$185/(1+$D51)^K$186+L$185/(1+$D51)^L$186+M$185/(1+$D51)^M$186+$M$11*(1+I$49)*(1-I$49/$H$26)/($D51-I$49)/(1+$D51)^$M$186-$H$203-$H$204)/$H$210,"n.a.")</x:f>
        <x:v>2466.307117250174</x:v>
      </x:c>
      <x:c r="J51" s="3"/>
      <x:c r="K51" s="3"/>
      <x:c r="L51" s="3"/>
      <x:c r="M51" s="3"/>
      <x:c r="N51" s="2"/>
      <x:c r="O51" s="2"/>
    </x:row>
    <x:row r="52" ht="20" customHeight="1">
      <x:c r="A52" s="2"/>
      <x:c r="B52" s="2"/>
      <x:c r="C52" s="2"/>
      <x:c r="D52" s="33" t="n">
        <x:f>$H$24+0</x:f>
        <x:v>0.12447490157367178</x:v>
      </x:c>
      <x:c r="E52" s="73" t="n">
        <x:f>IF(AND($D52&gt;E$49,$H$26&gt;E$49),(I$185/(1+$D52)^I$186+J$185/(1+$D52)^J$186+K$185/(1+$D52)^K$186+L$185/(1+$D52)^L$186+M$185/(1+$D52)^M$186+$M$11*(1+E$49)*(1-E$49/$H$26)/($D52-E$49)/(1+$D52)^$M$186-$H$203-$H$204)/$H$210,"n.a.")</x:f>
        <x:v>1927.3320667945477</x:v>
      </x:c>
      <x:c r="F52" s="73" t="n">
        <x:f>IF(AND($D52&gt;F$49,$H$26&gt;F$49),(I$185/(1+$D52)^I$186+J$185/(1+$D52)^J$186+K$185/(1+$D52)^K$186+L$185/(1+$D52)^L$186+M$185/(1+$D52)^M$186+$M$11*(1+F$49)*(1-F$49/$H$26)/($D52-F$49)/(1+$D52)^$M$186-$H$203-$H$204)/$H$210,"n.a.")</x:f>
        <x:v>1958.6110640329748</x:v>
      </x:c>
      <x:c r="G52" s="73" t="n">
        <x:f>IF(AND($D52&gt;G$49,$H$26&gt;G$49),(I$185/(1+$D52)^I$186+J$185/(1+$D52)^J$186+K$185/(1+$D52)^K$186+L$185/(1+$D52)^L$186+M$185/(1+$D52)^M$186+$M$11*(1+G$49)*(1-G$49/$H$26)/($D52-G$49)/(1+$D52)^$M$186-$H$203-$H$204)/$H$210,"n.a.")</x:f>
        <x:v>1992.818859426222</x:v>
      </x:c>
      <x:c r="H52" s="73" t="n">
        <x:f>IF(AND($D52&gt;H$49,$H$26&gt;H$49),(I$185/(1+$D52)^I$186+J$185/(1+$D52)^J$186+K$185/(1+$D52)^K$186+L$185/(1+$D52)^L$186+M$185/(1+$D52)^M$186+$M$11*(1+H$49)*(1-H$49/$H$26)/($D52-H$49)/(1+$D52)^$M$186-$H$203-$H$204)/$H$210,"n.a.")</x:f>
        <x:v>2030.5082309136428</x:v>
      </x:c>
      <x:c r="I52" s="73" t="n">
        <x:f>IF(AND($D52&gt;I$49,$H$26&gt;I$49),(I$185/(1+$D52)^I$186+J$185/(1+$D52)^J$186+K$185/(1+$D52)^K$186+L$185/(1+$D52)^L$186+M$185/(1+$D52)^M$186+$M$11*(1+I$49)*(1-I$49/$H$26)/($D52-I$49)/(1+$D52)^$M$186-$H$203-$H$204)/$H$210,"n.a.")</x:f>
        <x:v>2072.3804032073117</x:v>
      </x:c>
      <x:c r="J52" s="3"/>
      <x:c r="K52" s="3"/>
      <x:c r="L52" s="3"/>
      <x:c r="M52" s="3"/>
      <x:c r="N52" s="2"/>
      <x:c r="O52" s="2"/>
    </x:row>
    <x:row r="53" ht="20" customHeight="1">
      <x:c r="A53" s="2"/>
      <x:c r="B53" s="2"/>
      <x:c r="C53" s="2"/>
      <x:c r="D53" s="33" t="n">
        <x:f>$H$24+0.01</x:f>
        <x:v>0.13447490157367178</x:v>
      </x:c>
      <x:c r="E53" s="73" t="n">
        <x:f>IF(AND($D53&gt;E$49,$H$26&gt;E$49),(I$185/(1+$D53)^I$186+J$185/(1+$D53)^J$186+K$185/(1+$D53)^K$186+L$185/(1+$D53)^L$186+M$185/(1+$D53)^M$186+$M$11*(1+E$49)*(1-E$49/$H$26)/($D53-E$49)/(1+$D53)^$M$186-$H$203-$H$204)/$H$210,"n.a.")</x:f>
        <x:v>1688.6646571514352</x:v>
      </x:c>
      <x:c r="F53" s="73" t="n">
        <x:f>IF(AND($D53&gt;F$49,$H$26&gt;F$49),(I$185/(1+$D53)^I$186+J$185/(1+$D53)^J$186+K$185/(1+$D53)^K$186+L$185/(1+$D53)^L$186+M$185/(1+$D53)^M$186+$M$11*(1+F$49)*(1-F$49/$H$26)/($D53-F$49)/(1+$D53)^$M$186-$H$203-$H$204)/$H$210,"n.a.")</x:f>
        <x:v>1707.5903154735274</x:v>
      </x:c>
      <x:c r="G53" s="73" t="n">
        <x:f>IF(AND($D53&gt;G$49,$H$26&gt;G$49),(I$185/(1+$D53)^I$186+J$185/(1+$D53)^J$186+K$185/(1+$D53)^K$186+L$185/(1+$D53)^L$186+M$185/(1+$D53)^M$186+$M$11*(1+G$49)*(1-G$49/$H$26)/($D53-G$49)/(1+$D53)^$M$186-$H$203-$H$204)/$H$210,"n.a.")</x:f>
        <x:v>1727.8545132397726</x:v>
      </x:c>
      <x:c r="H53" s="73" t="n">
        <x:f>IF(AND($D53&gt;H$49,$H$26&gt;H$49),(I$185/(1+$D53)^I$186+J$185/(1+$D53)^J$186+K$185/(1+$D53)^K$186+L$185/(1+$D53)^L$186+M$185/(1+$D53)^M$186+$M$11*(1+H$49)*(1-H$49/$H$26)/($D53-H$49)/(1+$D53)^$M$186-$H$203-$H$204)/$H$210,"n.a.")</x:f>
        <x:v>1749.6816495979674</x:v>
      </x:c>
      <x:c r="I53" s="73" t="n">
        <x:f>IF(AND($D53&gt;I$49,$H$26&gt;I$49),(I$185/(1+$D53)^I$186+J$185/(1+$D53)^J$186+K$185/(1+$D53)^K$186+L$185/(1+$D53)^L$186+M$185/(1+$D53)^M$186+$M$11*(1+I$49)*(1-I$49/$H$26)/($D53-I$49)/(1+$D53)^$M$186-$H$203-$H$204)/$H$210,"n.a.")</x:f>
        <x:v>1773.3492517004677</x:v>
      </x:c>
      <x:c r="J53" s="3"/>
      <x:c r="K53" s="3"/>
      <x:c r="L53" s="3"/>
      <x:c r="M53" s="3"/>
      <x:c r="N53" s="2"/>
      <x:c r="O53" s="2"/>
    </x:row>
    <x:row r="54" ht="20" customHeight="1">
      <x:c r="A54" s="2"/>
      <x:c r="B54" s="2"/>
      <x:c r="C54" s="2"/>
      <x:c r="D54" s="33" t="n">
        <x:f>$H$24+0.02</x:f>
        <x:v>0.14447490157367177</x:v>
      </x:c>
      <x:c r="E54" s="73" t="n">
        <x:f>IF(AND($D54&gt;E$49,$H$26&gt;E$49),(I$185/(1+$D54)^I$186+J$185/(1+$D54)^J$186+K$185/(1+$D54)^K$186+L$185/(1+$D54)^L$186+M$185/(1+$D54)^M$186+$M$11*(1+E$49)*(1-E$49/$H$26)/($D54-E$49)/(1+$D54)^$M$186-$H$203-$H$204)/$H$210,"n.a.")</x:f>
        <x:v>1493.2940438441478</x:v>
      </x:c>
      <x:c r="F54" s="73" t="n">
        <x:f>IF(AND($D54&gt;F$49,$H$26&gt;F$49),(I$185/(1+$D54)^I$186+J$185/(1+$D54)^J$186+K$185/(1+$D54)^K$186+L$185/(1+$D54)^L$186+M$185/(1+$D54)^M$186+$M$11*(1+F$49)*(1-F$49/$H$26)/($D54-F$49)/(1+$D54)^$M$186-$H$203-$H$204)/$H$210,"n.a.")</x:f>
        <x:v>1503.9827792925594</x:v>
      </x:c>
      <x:c r="G54" s="73" t="n">
        <x:f>IF(AND($D54&gt;G$49,$H$26&gt;G$49),(I$185/(1+$D54)^I$186+J$185/(1+$D54)^J$186+K$185/(1+$D54)^K$186+L$185/(1+$D54)^L$186+M$185/(1+$D54)^M$186+$M$11*(1+G$49)*(1-G$49/$H$26)/($D54-G$49)/(1+$D54)^$M$186-$H$203-$H$204)/$H$210,"n.a.")</x:f>
        <x:v>1515.1170542975108</x:v>
      </x:c>
      <x:c r="H54" s="73" t="n">
        <x:f>IF(AND($D54&gt;H$49,$H$26&gt;H$49),(I$185/(1+$D54)^I$186+J$185/(1+$D54)^J$186+K$185/(1+$D54)^K$186+L$185/(1+$D54)^L$186+M$185/(1+$D54)^M$186+$M$11*(1+H$49)*(1-H$49/$H$26)/($D54-H$49)/(1+$D54)^$M$186-$H$203-$H$204)/$H$210,"n.a.")</x:f>
        <x:v>1526.7640525731074</x:v>
      </x:c>
      <x:c r="I54" s="73" t="n">
        <x:f>IF(AND($D54&gt;I$49,$H$26&gt;I$49),(I$185/(1+$D54)^I$186+J$185/(1+$D54)^J$186+K$185/(1+$D54)^K$186+L$185/(1+$D54)^L$186+M$185/(1+$D54)^M$186+$M$11*(1+I$49)*(1-I$49/$H$26)/($D54-I$49)/(1+$D54)^$M$186-$H$203-$H$204)/$H$210,"n.a.")</x:f>
        <x:v>1539.005180386323</x:v>
      </x:c>
      <x:c r="J54" s="3"/>
      <x:c r="K54" s="3"/>
      <x:c r="L54" s="3"/>
      <x:c r="M54" s="3"/>
      <x:c r="N54" s="2"/>
      <x:c r="O54" s="2"/>
    </x:row>
    <x:row r="55" ht="20" customHeight="1">
      <x:c r="A55" s="2"/>
      <x:c r="B55" s="2"/>
      <x:c r="C55" s="2"/>
      <x:c r="D55" s="3"/>
      <x:c r="E55" s="3"/>
      <x:c r="F55" s="3"/>
      <x:c r="G55" s="3"/>
      <x:c r="H55" s="3"/>
      <x:c r="I55" s="3"/>
      <x:c r="J55" s="3"/>
      <x:c r="K55" s="3"/>
      <x:c r="L55" s="3"/>
      <x:c r="M55" s="3"/>
      <x:c r="N55" s="2"/>
      <x:c r="O55" s="2"/>
    </x:row>
    <x:row r="56" ht="32" customHeight="1">
      <x:c r="A56" s="2"/>
      <x:c r="B56" s="2"/>
      <x:c r="C56" s="2"/>
      <x:c r="D56" s="3"/>
      <x:c r="E56" s="3"/>
      <x:c r="F56" s="3"/>
      <x:c r="G56" s="3"/>
      <x:c r="H56" s="3"/>
      <x:c r="I56" s="3"/>
      <x:c r="J56" s="3"/>
      <x:c r="K56" s="3"/>
      <x:c r="L56" s="3"/>
      <x:c r="M56" s="3"/>
      <x:c r="N56" s="2"/>
      <x:c r="O56" s="16" t="str">
        <x:v>Current September sensitivities. Both centers equal the September value at H218, not the retained March-anchor reference at H41.</x:v>
      </x:c>
    </x:row>
    <x:row r="57" ht="20" customHeight="1">
      <x:c r="A57" s="2"/>
      <x:c r="B57" s="2"/>
      <x:c r="C57" s="2"/>
      <x:c r="D57" s="3"/>
      <x:c r="E57" s="3"/>
      <x:c r="F57" s="3"/>
      <x:c r="G57" s="3"/>
      <x:c r="H57" s="3"/>
      <x:c r="I57" s="3"/>
      <x:c r="J57" s="3"/>
      <x:c r="K57" s="3"/>
      <x:c r="L57" s="3"/>
      <x:c r="M57" s="3"/>
      <x:c r="N57" s="2"/>
      <x:c r="O57" s="2"/>
    </x:row>
    <x:row r="58" ht="20" customHeight="1">
      <x:c r="A58" s="2"/>
      <x:c r="B58" s="2"/>
      <x:c r="C58" s="2"/>
      <x:c r="D58" s="3"/>
      <x:c r="E58" s="3"/>
      <x:c r="F58" s="3"/>
      <x:c r="G58" s="3"/>
      <x:c r="H58" s="3"/>
      <x:c r="I58" s="3"/>
      <x:c r="J58" s="3"/>
      <x:c r="K58" s="3"/>
      <x:c r="L58" s="3"/>
      <x:c r="M58" s="3"/>
      <x:c r="N58" s="2"/>
      <x:c r="O58" s="2"/>
    </x:row>
    <x:row r="59" ht="20" customHeight="1">
      <x:c r="A59" s="2"/>
      <x:c r="B59" s="2"/>
      <x:c r="C59" s="2"/>
      <x:c r="D59" s="3"/>
      <x:c r="E59" s="3"/>
      <x:c r="F59" s="3"/>
      <x:c r="G59" s="3"/>
      <x:c r="H59" s="3"/>
      <x:c r="I59" s="3"/>
      <x:c r="J59" s="3"/>
      <x:c r="K59" s="3"/>
      <x:c r="L59" s="3"/>
      <x:c r="M59" s="3"/>
      <x:c r="N59" s="2"/>
      <x:c r="O59" s="2"/>
    </x:row>
    <x:row r="60" ht="24" customHeight="1">
      <x:c r="A60" s="2"/>
      <x:c r="B60" s="2"/>
      <x:c r="C60" s="117" t="str">
        <x:v>Trading comparables: FY26 and TTM to June 2026</x:v>
      </x:c>
      <x:c r="D60" s="117"/>
      <x:c r="E60" s="117"/>
      <x:c r="F60" s="117"/>
      <x:c r="G60" s="117"/>
      <x:c r="H60" s="117"/>
      <x:c r="I60" s="117"/>
      <x:c r="J60" s="117"/>
      <x:c r="K60" s="117"/>
      <x:c r="L60" s="117"/>
      <x:c r="M60" s="117"/>
      <x:c r="N60"/>
      <x:c r="O60"/>
    </x:row>
    <x:row r="61" ht="20" customHeight="1">
      <x:c r="A61" s="2"/>
      <x:c r="B61" s="2"/>
      <x:c r="C61"/>
      <x:c r="D61"/>
      <x:c r="E61"/>
      <x:c r="F61"/>
      <x:c r="G61"/>
      <x:c r="H61"/>
      <x:c r="I61"/>
      <x:c r="J61"/>
      <x:c r="K61"/>
      <x:c r="L61"/>
      <x:c r="M61"/>
      <x:c r="N61"/>
      <x:c r="O61"/>
    </x:row>
    <x:row r="62" ht="34" customHeight="1">
      <x:c r="A62" s="2"/>
      <x:c r="B62" s="2"/>
      <x:c r="C62" s="118"/>
      <x:c r="D62" s="118" t="str">
        <x:v>Polycab</x:v>
      </x:c>
      <x:c r="E62" s="118" t="str">
        <x:v>KEI Industries</x:v>
      </x:c>
      <x:c r="F62" s="118" t="str">
        <x:v>Havells</x:v>
      </x:c>
      <x:c r="G62" s="118" t="str">
        <x:v>RR Kabel</x:v>
      </x:c>
      <x:c r="H62" s="118" t="str">
        <x:v>Finolex Cables</x:v>
      </x:c>
      <x:c r="I62" s="118" t="str">
        <x:v>V-Guard</x:v>
      </x:c>
      <x:c r="J62"/>
      <x:c r="K62"/>
      <x:c r="L62"/>
      <x:c r="M62"/>
      <x:c r="N62"/>
      <x:c r="O62"/>
    </x:row>
    <x:row r="63" ht="20" customHeight="1">
      <x:c r="A63" s="2"/>
      <x:c r="B63" s="2"/>
      <x:c r="C63"/>
      <x:c r="D63"/>
      <x:c r="E63"/>
      <x:c r="F63"/>
      <x:c r="G63"/>
      <x:c r="H63"/>
      <x:c r="I63"/>
      <x:c r="J63"/>
      <x:c r="K63"/>
      <x:c r="L63"/>
      <x:c r="M63"/>
      <x:c r="N63"/>
      <x:c r="O63"/>
    </x:row>
    <x:row r="64" ht="20" customHeight="1">
      <x:c r="A64" s="2"/>
      <x:c r="B64" s="2"/>
      <x:c r="C64" s="114" t="str">
        <x:v>Observed price (INR)</x:v>
      </x:c>
      <x:c r="D64" s="131" t="n">
        <x:f>'00_Cover+Sources'!D150</x:f>
        <x:v>8241</x:v>
      </x:c>
      <x:c r="E64" s="131" t="n">
        <x:f>'00_Cover+Sources'!E150</x:f>
        <x:v>4578</x:v>
      </x:c>
      <x:c r="F64" s="131" t="n">
        <x:f>'00_Cover+Sources'!F150</x:f>
        <x:v>1111</x:v>
      </x:c>
      <x:c r="G64" s="131" t="n">
        <x:f>'00_Cover+Sources'!G150</x:f>
        <x:v>2424.4</x:v>
      </x:c>
      <x:c r="H64" s="131" t="n">
        <x:f>'00_Cover+Sources'!H150</x:f>
        <x:v>1424</x:v>
      </x:c>
      <x:c r="I64" s="131" t="n">
        <x:f>'00_Cover+Sources'!I150</x:f>
        <x:v>323.7</x:v>
      </x:c>
      <x:c r="J64" s="119"/>
      <x:c r="K64" s="119"/>
      <x:c r="L64" s="119"/>
      <x:c r="M64" s="119"/>
      <x:c r="N64"/>
      <x:c r="O64"/>
    </x:row>
    <x:row r="65" ht="34" customHeight="1">
      <x:c r="A65" s="2"/>
      <x:c r="B65" s="2"/>
      <x:c r="C65" s="114" t="str">
        <x:v>Quote timestamp (2026)</x:v>
      </x:c>
      <x:c r="D65" s="162" t="str">
        <x:f>'00_Cover+Sources'!D152</x:f>
        <x:v>11-Sep close</x:v>
      </x:c>
      <x:c r="E65" s="162" t="str">
        <x:f>'00_Cover+Sources'!E152</x:f>
        <x:v>11-Sep close</x:v>
      </x:c>
      <x:c r="F65" s="162" t="str">
        <x:f>'00_Cover+Sources'!F152</x:f>
        <x:v>11-Sep close</x:v>
      </x:c>
      <x:c r="G65" s="162" t="str">
        <x:f>'00_Cover+Sources'!G152</x:f>
        <x:v>11-Sep close</x:v>
      </x:c>
      <x:c r="H65" s="162" t="str">
        <x:f>'00_Cover+Sources'!H152</x:f>
        <x:v>11-Sep close</x:v>
      </x:c>
      <x:c r="I65" s="162" t="str">
        <x:f>'00_Cover+Sources'!I152</x:f>
        <x:v>11-Sep close</x:v>
      </x:c>
      <x:c r="J65" s="120"/>
      <x:c r="K65" s="120"/>
      <x:c r="L65" s="120"/>
      <x:c r="M65" s="120"/>
      <x:c r="N65"/>
      <x:c r="O65"/>
    </x:row>
    <x:row r="66" ht="20" customHeight="1">
      <x:c r="A66" s="2"/>
      <x:c r="B66" s="2"/>
      <x:c r="C66" s="114" t="str">
        <x:v>Market capitalisation</x:v>
      </x:c>
      <x:c r="D66" s="132" t="n">
        <x:f>'00_Cover+Sources'!D151</x:f>
        <x:v>1241769.7759376522</x:v>
      </x:c>
      <x:c r="E66" s="132" t="n">
        <x:f>'00_Cover+Sources'!E151</x:f>
        <x:v>437676.59020732244</x:v>
      </x:c>
      <x:c r="F66" s="132" t="n">
        <x:f>'00_Cover+Sources'!F151</x:f>
        <x:v>697220</x:v>
      </x:c>
      <x:c r="G66" s="132" t="n">
        <x:f>'00_Cover+Sources'!G151</x:f>
        <x:v>274255.2491749175</x:v>
      </x:c>
      <x:c r="H66" s="132" t="n">
        <x:f>'00_Cover+Sources'!H151</x:f>
        <x:v>217790</x:v>
      </x:c>
      <x:c r="I66" s="132" t="n">
        <x:f>'00_Cover+Sources'!I151</x:f>
        <x:v>141299.0462962963</x:v>
      </x:c>
      <x:c r="J66" s="120"/>
      <x:c r="K66" s="120"/>
      <x:c r="L66" s="120"/>
      <x:c r="M66" s="120"/>
      <x:c r="N66"/>
      <x:c r="O66"/>
    </x:row>
    <x:row r="67" ht="20" customHeight="1">
      <x:c r="A67" s="2"/>
      <x:c r="B67" s="2"/>
      <x:c r="C67" s="114" t="str">
        <x:v>FY26 net debt and NCI proxy</x:v>
      </x:c>
      <x:c r="D67" s="132" t="n">
        <x:f>SUM('00_Cover+Sources'!D163,'00_Cover+Sources'!D164,'00_Cover+Sources'!D167)-SUM('00_Cover+Sources'!D165,'00_Cover+Sources'!D166)</x:f>
        <x:v>3320.3600000000006</x:v>
      </x:c>
      <x:c r="E67" s="132" t="n">
        <x:f>SUM('00_Cover+Sources'!E163,'00_Cover+Sources'!E164,'00_Cover+Sources'!E167)-SUM('00_Cover+Sources'!E165,'00_Cover+Sources'!E166)</x:f>
        <x:v>-5246.5</x:v>
      </x:c>
      <x:c r="F67" s="132" t="n">
        <x:f>SUM('00_Cover+Sources'!F163,'00_Cover+Sources'!F164,'00_Cover+Sources'!F167)-SUM('00_Cover+Sources'!F165,'00_Cover+Sources'!F166)</x:f>
        <x:v>-20851</x:v>
      </x:c>
      <x:c r="G67" s="132" t="n">
        <x:f>SUM('00_Cover+Sources'!G163,'00_Cover+Sources'!G164,'00_Cover+Sources'!G167)-SUM('00_Cover+Sources'!G165,'00_Cover+Sources'!G166)</x:f>
        <x:v>1962.31</x:v>
      </x:c>
      <x:c r="H67" s="132" t="n">
        <x:f>SUM('00_Cover+Sources'!H163,'00_Cover+Sources'!H164,'00_Cover+Sources'!H167)-SUM('00_Cover+Sources'!H165,'00_Cover+Sources'!H166)</x:f>
        <x:v>-26012.499999999996</x:v>
      </x:c>
      <x:c r="I67" s="132" t="n">
        <x:f>SUM('00_Cover+Sources'!I163,'00_Cover+Sources'!I164,'00_Cover+Sources'!I167)-SUM('00_Cover+Sources'!I165,'00_Cover+Sources'!I166)</x:f>
        <x:v>-750</x:v>
      </x:c>
      <x:c r="J67" s="120"/>
      <x:c r="K67" s="120"/>
      <x:c r="L67" s="120"/>
      <x:c r="M67" s="120"/>
      <x:c r="N67"/>
      <x:c r="O67"/>
    </x:row>
    <x:row r="68" ht="20" customHeight="1">
      <x:c r="A68" s="2"/>
      <x:c r="B68" s="2"/>
      <x:c r="C68" s="125" t="str">
        <x:v>Enterprise value proxy</x:v>
      </x:c>
      <x:c r="D68" s="133" t="n">
        <x:f>SUM(D66:D67)</x:f>
        <x:v>1245090.1359376523</x:v>
      </x:c>
      <x:c r="E68" s="133" t="n">
        <x:f>SUM(E66:E67)</x:f>
        <x:v>432430.09020732244</x:v>
      </x:c>
      <x:c r="F68" s="133" t="n">
        <x:f>SUM(F66:F67)</x:f>
        <x:v>676369</x:v>
      </x:c>
      <x:c r="G68" s="133" t="n">
        <x:f>SUM(G66:G67)</x:f>
        <x:v>276217.5591749175</x:v>
      </x:c>
      <x:c r="H68" s="133" t="n">
        <x:f>SUM(H66:H67)</x:f>
        <x:v>191777.5</x:v>
      </x:c>
      <x:c r="I68" s="133" t="n">
        <x:f>SUM(I66:I67)</x:f>
        <x:v>140549.0462962963</x:v>
      </x:c>
      <x:c r="J68" s="126"/>
      <x:c r="K68" s="126"/>
      <x:c r="L68" s="126"/>
      <x:c r="M68" s="126"/>
      <x:c r="N68"/>
      <x:c r="O68"/>
    </x:row>
    <x:row r="69" ht="44" customHeight="1">
      <x:c r="A69" s="2"/>
      <x:c r="B69" s="2"/>
      <x:c r="C69"/>
      <x:c r="D69"/>
      <x:c r="E69"/>
      <x:c r="F69"/>
      <x:c r="G69"/>
      <x:c r="H69"/>
      <x:c r="I69"/>
      <x:c r="J69"/>
      <x:c r="K69"/>
      <x:c r="L69"/>
      <x:c r="M69"/>
      <x:c r="N69"/>
      <x:c r="O69"/>
    </x:row>
    <x:row r="70" ht="20" customHeight="1">
      <x:c r="A70" s="2"/>
      <x:c r="B70" s="2"/>
      <x:c r="C70" s="114" t="str">
        <x:v>FY26 revenue</x:v>
      </x:c>
      <x:c r="D70" s="132" t="n">
        <x:f>'00_Cover+Sources'!D154</x:f>
        <x:v>288837.92</x:v>
      </x:c>
      <x:c r="E70" s="132" t="n">
        <x:f>'00_Cover+Sources'!E154</x:f>
        <x:v>117480</x:v>
      </x:c>
      <x:c r="F70" s="132" t="n">
        <x:f>'00_Cover+Sources'!F154</x:f>
        <x:v>225280</x:v>
      </x:c>
      <x:c r="G70" s="132" t="n">
        <x:f>'00_Cover+Sources'!G154</x:f>
        <x:v>97223.586</x:v>
      </x:c>
      <x:c r="H70" s="132" t="n">
        <x:f>'00_Cover+Sources'!H154</x:f>
        <x:v>63210</x:v>
      </x:c>
      <x:c r="I70" s="132" t="n">
        <x:f>'00_Cover+Sources'!I154</x:f>
        <x:v>59657.8</x:v>
      </x:c>
      <x:c r="J70" s="120"/>
      <x:c r="K70" s="120"/>
      <x:c r="L70" s="120"/>
      <x:c r="M70" s="120"/>
      <x:c r="N70"/>
      <x:c r="O70"/>
    </x:row>
    <x:row r="71" ht="20" customHeight="1">
      <x:c r="A71" s="2"/>
      <x:c r="B71" s="2"/>
      <x:c r="C71" s="128" t="str">
        <x:v>FY26 revenue growth</x:v>
      </x:c>
      <x:c r="D71" s="134" t="n">
        <x:f>D70/'00_Cover+Sources'!D153-1</x:f>
        <x:v>0.28897664005318013</x:v>
      </x:c>
      <x:c r="E71" s="134" t="n">
        <x:f>E70/'00_Cover+Sources'!E153-1</x:f>
        <x:v>0.20665571076417422</x:v>
      </x:c>
      <x:c r="F71" s="134" t="n">
        <x:f>F70/'00_Cover+Sources'!F153-1</x:f>
        <x:v>0.03443842409771336</x:v>
      </x:c>
      <x:c r="G71" s="134" t="n">
        <x:f>G70/'00_Cover+Sources'!G153-1</x:f>
        <x:v>0.27619603228459977</x:v>
      </x:c>
      <x:c r="H71" s="134" t="n">
        <x:f>H70/'00_Cover+Sources'!H153-1</x:f>
        <x:v>0.188381274675691</x:v>
      </x:c>
      <x:c r="I71" s="134" t="n">
        <x:f>I70/'00_Cover+Sources'!I153-1</x:f>
        <x:v>0.06955405516850677</x:v>
      </x:c>
      <x:c r="J71" s="129"/>
      <x:c r="K71" s="129"/>
      <x:c r="L71" s="129"/>
      <x:c r="M71" s="129"/>
      <x:c r="N71"/>
      <x:c r="O71"/>
    </x:row>
    <x:row r="72" ht="20" customHeight="1">
      <x:c r="A72" s="2"/>
      <x:c r="B72" s="2"/>
      <x:c r="C72" s="125" t="str">
        <x:v>FY26 operating EBITDA</x:v>
      </x:c>
      <x:c r="D72" s="135" t="n">
        <x:f>'00_Cover+Sources'!D155</x:f>
        <x:v>40057.279999999955</x:v>
      </x:c>
      <x:c r="E72" s="135" t="n">
        <x:f>'00_Cover+Sources'!E155</x:f>
        <x:v>12290</x:v>
      </x:c>
      <x:c r="F72" s="135" t="n">
        <x:f>'00_Cover+Sources'!F155</x:f>
        <x:v>22410</x:v>
      </x:c>
      <x:c r="G72" s="135" t="n">
        <x:f>'00_Cover+Sources'!G155</x:f>
        <x:v>7860</x:v>
      </x:c>
      <x:c r="H72" s="135" t="n">
        <x:f>'00_Cover+Sources'!H155</x:f>
        <x:v>6200</x:v>
      </x:c>
      <x:c r="I72" s="135" t="n">
        <x:f>'00_Cover+Sources'!I155</x:f>
        <x:v>5267.6</x:v>
      </x:c>
      <x:c r="J72" s="126"/>
      <x:c r="K72" s="126"/>
      <x:c r="L72" s="126"/>
      <x:c r="M72" s="126"/>
      <x:c r="N72"/>
      <x:c r="O72"/>
    </x:row>
    <x:row r="73" ht="20" customHeight="1">
      <x:c r="A73" s="2"/>
      <x:c r="B73" s="2"/>
      <x:c r="C73" s="128" t="str">
        <x:v>FY26 EBITDA margin</x:v>
      </x:c>
      <x:c r="D73" s="136" t="n">
        <x:f>D72/D70</x:f>
        <x:v>0.13868428355944384</x:v>
      </x:c>
      <x:c r="E73" s="136" t="n">
        <x:f>E72/E70</x:f>
        <x:v>0.10461355124276472</x:v>
      </x:c>
      <x:c r="F73" s="136" t="n">
        <x:f>F72/F70</x:f>
        <x:v>0.09947620738636363</x:v>
      </x:c>
      <x:c r="G73" s="136" t="n">
        <x:f>G72/G70</x:f>
        <x:v>0.08084458024413953</x:v>
      </x:c>
      <x:c r="H73" s="136" t="n">
        <x:f>H72/H70</x:f>
        <x:v>0.09808574592627749</x:v>
      </x:c>
      <x:c r="I73" s="136" t="n">
        <x:f>I72/I70</x:f>
        <x:v>0.0882969201009759</x:v>
      </x:c>
      <x:c r="J73" s="129"/>
      <x:c r="K73" s="129"/>
      <x:c r="L73" s="129"/>
      <x:c r="M73" s="129"/>
      <x:c r="N73"/>
      <x:c r="O73"/>
    </x:row>
    <x:row r="74" ht="20" customHeight="1">
      <x:c r="A74" s="2"/>
      <x:c r="B74" s="2"/>
      <x:c r="C74" s="128" t="str">
        <x:v>FY26 PAT margin (source basis)</x:v>
      </x:c>
      <x:c r="D74" s="134" t="n">
        <x:f>'00_Cover+Sources'!D157/D70</x:f>
        <x:v>0.0925097715701595</x:v>
      </x:c>
      <x:c r="E74" s="134" t="n">
        <x:f>'00_Cover+Sources'!E157/E70</x:f>
        <x:v>0.07814096016343207</x:v>
      </x:c>
      <x:c r="F74" s="134" t="n">
        <x:f>'00_Cover+Sources'!F157/F70</x:f>
        <x:v>0.07497336647727272</x:v>
      </x:c>
      <x:c r="G74" s="134" t="n">
        <x:f>'00_Cover+Sources'!G157/G70</x:f>
        <x:v>0.050627540111511625</x:v>
      </x:c>
      <x:c r="H74" s="134" t="n">
        <x:f>'00_Cover+Sources'!H157/H70</x:f>
        <x:v>0.11295681063122924</x:v>
      </x:c>
      <x:c r="I74" s="134" t="n">
        <x:f>'00_Cover+Sources'!I157/I70</x:f>
        <x:v>0.05168309927620529</x:v>
      </x:c>
      <x:c r="J74" s="129"/>
      <x:c r="K74" s="129"/>
      <x:c r="L74" s="129"/>
      <x:c r="M74" s="129"/>
      <x:c r="N74"/>
      <x:c r="O74"/>
    </x:row>
    <x:row r="75" ht="20" customHeight="1">
      <x:c r="A75" s="2"/>
      <x:c r="B75" s="2"/>
      <x:c r="C75" s="128" t="str">
        <x:v>Provider FY26 ROCE</x:v>
      </x:c>
      <x:c r="D75" s="134" t="n">
        <x:f>'00_Cover+Sources'!D170</x:f>
        <x:v>0.332</x:v>
      </x:c>
      <x:c r="E75" s="134" t="n">
        <x:f>'00_Cover+Sources'!E170</x:f>
        <x:v>0.2</x:v>
      </x:c>
      <x:c r="F75" s="134" t="n">
        <x:f>'00_Cover+Sources'!F170</x:f>
        <x:v>0.249</x:v>
      </x:c>
      <x:c r="G75" s="134" t="n">
        <x:f>'00_Cover+Sources'!G170</x:f>
        <x:v>0.281</x:v>
      </x:c>
      <x:c r="H75" s="134" t="n">
        <x:f>'00_Cover+Sources'!H170</x:f>
        <x:v>0.16</x:v>
      </x:c>
      <x:c r="I75" s="134" t="n">
        <x:f>'00_Cover+Sources'!I170</x:f>
        <x:v>0.184</x:v>
      </x:c>
      <x:c r="J75" s="129"/>
      <x:c r="K75" s="129"/>
      <x:c r="L75" s="129"/>
      <x:c r="M75" s="129"/>
      <x:c r="N75"/>
      <x:c r="O75"/>
    </x:row>
    <x:row r="76" ht="20" customHeight="1">
      <x:c r="A76" s="2"/>
      <x:c r="B76" s="2"/>
      <x:c r="C76"/>
      <x:c r="D76"/>
      <x:c r="E76"/>
      <x:c r="F76"/>
      <x:c r="G76"/>
      <x:c r="H76"/>
      <x:c r="I76"/>
      <x:c r="J76"/>
      <x:c r="K76"/>
      <x:c r="L76"/>
      <x:c r="M76"/>
      <x:c r="N76"/>
      <x:c r="O76"/>
    </x:row>
    <x:row r="77" ht="20" customHeight="1">
      <x:c r="A77" s="2"/>
      <x:c r="B77" s="2"/>
      <x:c r="C77" s="114" t="str">
        <x:v>EV / FY26 operating EBITDA</x:v>
      </x:c>
      <x:c r="D77" s="137" t="n">
        <x:f>D68/D72</x:f>
        <x:v>31.082742910593375</x:v>
      </x:c>
      <x:c r="E77" s="137" t="n">
        <x:f>E68/E72</x:f>
        <x:v>35.18552402012388</x:v>
      </x:c>
      <x:c r="F77" s="137" t="n">
        <x:f>F68/F72</x:f>
        <x:v>30.18157072735386</x:v>
      </x:c>
      <x:c r="G77" s="137" t="n">
        <x:f>G68/G72</x:f>
        <x:v>35.14218310113454</x:v>
      </x:c>
      <x:c r="H77" s="137" t="n">
        <x:f>H68/H72</x:f>
        <x:v>30.93185483870968</x:v>
      </x:c>
      <x:c r="I77" s="137" t="n">
        <x:f>I68/I72</x:f>
        <x:v>26.681799357638447</x:v>
      </x:c>
      <x:c r="J77" s="130"/>
      <x:c r="K77" s="130"/>
      <x:c r="L77" s="130"/>
      <x:c r="M77" s="130"/>
      <x:c r="N77"/>
      <x:c r="O77"/>
    </x:row>
    <x:row r="78" ht="20" customHeight="1">
      <x:c r="A78" s="2"/>
      <x:c r="B78" s="2"/>
      <x:c r="C78" s="114" t="str">
        <x:v>EV / FY26 revenue</x:v>
      </x:c>
      <x:c r="D78" s="137" t="n">
        <x:f>D68/D70</x:f>
        <x:v>4.310687931618024</x:v>
      </x:c>
      <x:c r="E78" s="137" t="n">
        <x:f>E68/E70</x:f>
        <x:v>3.6808826200827585</x:v>
      </x:c>
      <x:c r="F78" s="137" t="n">
        <x:f>F68/F70</x:f>
        <x:v>3.0023481889204544</x:v>
      </x:c>
      <x:c r="G78" s="137" t="n">
        <x:f>G68/G70</x:f>
        <x:v>2.8410550416739158</x:v>
      </x:c>
      <x:c r="H78" s="137" t="n">
        <x:f>H68/H70</x:f>
        <x:v>3.033974054738174</x:v>
      </x:c>
      <x:c r="I78" s="137" t="n">
        <x:f>I68/I70</x:f>
        <x:v>2.355920706031672</x:v>
      </x:c>
      <x:c r="J78" s="130"/>
      <x:c r="K78" s="130"/>
      <x:c r="L78" s="130"/>
      <x:c r="M78" s="130"/>
      <x:c r="N78"/>
      <x:c r="O78"/>
    </x:row>
    <x:row r="79" ht="20" customHeight="1">
      <x:c r="A79" s="2"/>
      <x:c r="B79" s="2"/>
      <x:c r="C79" s="114" t="str">
        <x:v>Price / FY26 EPS</x:v>
      </x:c>
      <x:c r="D79" s="138" t="n">
        <x:f>D64/'00_Cover+Sources'!D158</x:f>
        <x:v>46.572478101158524</x:v>
      </x:c>
      <x:c r="E79" s="138" t="n">
        <x:f>E64/'00_Cover+Sources'!E158</x:f>
        <x:v>47.652753200791096</x:v>
      </x:c>
      <x:c r="F79" s="138" t="n">
        <x:f>F64/'00_Cover+Sources'!F158</x:f>
        <x:v>41.224489795918366</x:v>
      </x:c>
      <x:c r="G79" s="138" t="n">
        <x:f>G64/'00_Cover+Sources'!G158</x:f>
        <x:v>55.70772058823529</x:v>
      </x:c>
      <x:c r="H79" s="138" t="n">
        <x:f>H64/'00_Cover+Sources'!H158</x:f>
        <x:v>30.51210627812299</x:v>
      </x:c>
      <x:c r="I79" s="138" t="n">
        <x:f>I64/'00_Cover+Sources'!I158</x:f>
        <x:v>46.17689015691869</x:v>
      </x:c>
      <x:c r="J79" s="130"/>
      <x:c r="K79" s="130"/>
      <x:c r="L79" s="130"/>
      <x:c r="M79" s="130"/>
      <x:c r="N79"/>
      <x:c r="O79"/>
    </x:row>
    <x:row r="80" ht="20" customHeight="1">
      <x:c r="A80" s="2"/>
      <x:c r="B80" s="2"/>
      <x:c r="C80"/>
      <x:c r="D80"/>
      <x:c r="E80"/>
      <x:c r="F80"/>
      <x:c r="G80"/>
      <x:c r="H80"/>
      <x:c r="I80"/>
      <x:c r="J80"/>
      <x:c r="K80"/>
      <x:c r="L80"/>
      <x:c r="M80"/>
      <x:c r="N80"/>
      <x:c r="O80"/>
    </x:row>
    <x:row r="81" ht="20" customHeight="1">
      <x:c r="A81" s="2"/>
      <x:c r="B81" s="2"/>
      <x:c r="C81" s="114" t="str">
        <x:v>TTM revenue</x:v>
      </x:c>
      <x:c r="D81" s="132" t="n">
        <x:f>'00_Cover+Sources'!D159</x:f>
        <x:v>311880</x:v>
      </x:c>
      <x:c r="E81" s="132" t="n">
        <x:f>'00_Cover+Sources'!E159</x:f>
        <x:v>123430</x:v>
      </x:c>
      <x:c r="F81" s="132" t="n">
        <x:f>'00_Cover+Sources'!F159</x:f>
        <x:v>235910</x:v>
      </x:c>
      <x:c r="G81" s="132" t="n">
        <x:f>'00_Cover+Sources'!G159</x:f>
        <x:v>108320</x:v>
      </x:c>
      <x:c r="H81" s="132" t="n">
        <x:f>'00_Cover+Sources'!H159</x:f>
        <x:v>69390</x:v>
      </x:c>
      <x:c r="I81" s="132" t="n">
        <x:f>'00_Cover+Sources'!I159</x:f>
        <x:v>63100</x:v>
      </x:c>
      <x:c r="J81" s="120"/>
      <x:c r="K81" s="120"/>
      <x:c r="L81" s="120"/>
      <x:c r="M81" s="120"/>
      <x:c r="N81"/>
      <x:c r="O81"/>
    </x:row>
    <x:row r="82" ht="20" customHeight="1">
      <x:c r="A82" s="2"/>
      <x:c r="B82" s="2"/>
      <x:c r="C82" s="114" t="str">
        <x:v>TTM operating EBITDA</x:v>
      </x:c>
      <x:c r="D82" s="132" t="n">
        <x:f>'00_Cover+Sources'!D160</x:f>
        <x:v>42840</x:v>
      </x:c>
      <x:c r="E82" s="132" t="n">
        <x:f>'00_Cover+Sources'!E160</x:f>
        <x:v>13670</x:v>
      </x:c>
      <x:c r="F82" s="132" t="n">
        <x:f>'00_Cover+Sources'!F160</x:f>
        <x:v>21500</x:v>
      </x:c>
      <x:c r="G82" s="132" t="n">
        <x:f>'00_Cover+Sources'!G160</x:f>
        <x:v>9250</x:v>
      </x:c>
      <x:c r="H82" s="132" t="n">
        <x:f>'00_Cover+Sources'!H160</x:f>
        <x:v>7270</x:v>
      </x:c>
      <x:c r="I82" s="132" t="n">
        <x:f>'00_Cover+Sources'!I160</x:f>
        <x:v>5940</x:v>
      </x:c>
      <x:c r="J82" s="120"/>
      <x:c r="K82" s="120"/>
      <x:c r="L82" s="120"/>
      <x:c r="M82" s="120"/>
      <x:c r="N82"/>
      <x:c r="O82"/>
    </x:row>
    <x:row r="83" ht="20" customHeight="1">
      <x:c r="A83" s="2"/>
      <x:c r="B83" s="2"/>
      <x:c r="C83" s="128" t="str">
        <x:v>TTM EBITDA margin</x:v>
      </x:c>
      <x:c r="D83" s="136" t="n">
        <x:f>D82/D81</x:f>
        <x:v>0.1373605232781839</x:v>
      </x:c>
      <x:c r="E83" s="136" t="n">
        <x:f>E82/E81</x:f>
        <x:v>0.1107510329741554</x:v>
      </x:c>
      <x:c r="F83" s="136" t="n">
        <x:f>F82/F81</x:f>
        <x:v>0.09113645034123183</x:v>
      </x:c>
      <x:c r="G83" s="136" t="n">
        <x:f>G82/G81</x:f>
        <x:v>0.08539512555391433</x:v>
      </x:c>
      <x:c r="H83" s="136" t="n">
        <x:f>H82/H81</x:f>
        <x:v>0.10477013978959504</x:v>
      </x:c>
      <x:c r="I83" s="136" t="n">
        <x:f>I82/I81</x:f>
        <x:v>0.09413629160063391</x:v>
      </x:c>
      <x:c r="J83" s="129"/>
      <x:c r="K83" s="129"/>
      <x:c r="L83" s="129"/>
      <x:c r="M83" s="129"/>
      <x:c r="N83"/>
      <x:c r="O83"/>
    </x:row>
    <x:row r="84" ht="20" customHeight="1">
      <x:c r="A84" s="2"/>
      <x:c r="B84" s="2"/>
      <x:c r="C84" s="114" t="str">
        <x:v>EV / TTM operating EBITDA</x:v>
      </x:c>
      <x:c r="D84" s="137" t="n">
        <x:f>D68/D82</x:f>
        <x:v>29.06372866334389</x:v>
      </x:c>
      <x:c r="E84" s="137" t="n">
        <x:f>E68/E82</x:f>
        <x:v>31.63351062233522</x:v>
      </x:c>
      <x:c r="F84" s="137" t="n">
        <x:f>F68/F82</x:f>
        <x:v>31.459023255813953</x:v>
      </x:c>
      <x:c r="G84" s="137" t="n">
        <x:f>G68/G82</x:f>
        <x:v>29.861357748639733</x:v>
      </x:c>
      <x:c r="H84" s="137" t="n">
        <x:f>H68/H82</x:f>
        <x:v>26.3792984869326</x:v>
      </x:c>
      <x:c r="I84" s="137" t="n">
        <x:f>I68/I82</x:f>
        <x:v>23.661455605437087</x:v>
      </x:c>
      <x:c r="J84" s="130"/>
      <x:c r="K84" s="130"/>
      <x:c r="L84" s="130"/>
      <x:c r="M84" s="130"/>
      <x:c r="N84"/>
      <x:c r="O84"/>
    </x:row>
    <x:row r="85" ht="20" customHeight="1">
      <x:c r="A85" s="2"/>
      <x:c r="B85" s="2"/>
      <x:c r="C85" s="114" t="str">
        <x:v>Price / TTM EPS</x:v>
      </x:c>
      <x:c r="D85" s="138" t="n">
        <x:f>D64/'00_Cover+Sources'!D162</x:f>
        <x:v>43.31896551724138</x:v>
      </x:c>
      <x:c r="E85" s="138" t="n">
        <x:f>E64/'00_Cover+Sources'!E162</x:f>
        <x:v>43.90103567318757</x:v>
      </x:c>
      <x:c r="F85" s="138" t="n">
        <x:f>F64/'00_Cover+Sources'!F162</x:f>
        <x:v>42.648752399232244</x:v>
      </x:c>
      <x:c r="G85" s="138" t="n">
        <x:f>G64/'00_Cover+Sources'!G162</x:f>
        <x:v>45.130305286671636</x:v>
      </x:c>
      <x:c r="H85" s="138" t="n">
        <x:f>H64/'00_Cover+Sources'!H162</x:f>
        <x:v>27.222328426687056</x:v>
      </x:c>
      <x:c r="I85" s="138" t="n">
        <x:f>I64/'00_Cover+Sources'!I162</x:f>
        <x:v>38.7200956937799</x:v>
      </x:c>
      <x:c r="J85" s="130"/>
      <x:c r="K85" s="130"/>
      <x:c r="L85" s="130"/>
      <x:c r="M85" s="130"/>
      <x:c r="N85"/>
      <x:c r="O85"/>
    </x:row>
    <x:row r="86" ht="20" customHeight="1">
      <x:c r="A86" s="2"/>
      <x:c r="B86" s="2"/>
      <x:c r="C86" s="114" t="str">
        <x:v>Price / book equity</x:v>
      </x:c>
      <x:c r="D86" s="138" t="n">
        <x:f>D66/'00_Cover+Sources'!D169</x:f>
        <x:v>10.3406913187513</x:v>
      </x:c>
      <x:c r="E86" s="138" t="n">
        <x:f>E66/'00_Cover+Sources'!E169</x:f>
        <x:v>6.566790550747523</x:v>
      </x:c>
      <x:c r="F86" s="138" t="n">
        <x:f>F66/'00_Cover+Sources'!F169</x:f>
        <x:v>7.373721242836157</x:v>
      </x:c>
      <x:c r="G86" s="138" t="n">
        <x:f>G66/'00_Cover+Sources'!G169</x:f>
        <x:v>10.653171994565318</x:v>
      </x:c>
      <x:c r="H86" s="138" t="n">
        <x:f>H66/'00_Cover+Sources'!H169</x:f>
        <x:v>3.578540913572133</x:v>
      </x:c>
      <x:c r="I86" s="138" t="n">
        <x:f>I66/'00_Cover+Sources'!I169</x:f>
        <x:v>5.954322340291873</x:v>
      </x:c>
      <x:c r="J86" s="130"/>
      <x:c r="K86" s="130"/>
      <x:c r="L86" s="130"/>
      <x:c r="M86" s="130"/>
      <x:c r="N86"/>
      <x:c r="O86"/>
    </x:row>
    <x:row r="87" ht="20" customHeight="1">
      <x:c r="A87" s="2"/>
      <x:c r="B87" s="2"/>
      <x:c r="C87"/>
      <x:c r="D87"/>
      <x:c r="E87"/>
      <x:c r="F87"/>
      <x:c r="G87"/>
      <x:c r="H87"/>
      <x:c r="I87"/>
      <x:c r="J87"/>
      <x:c r="K87"/>
      <x:c r="L87"/>
      <x:c r="M87"/>
      <x:c r="N87"/>
      <x:c r="O87"/>
    </x:row>
    <x:row r="88" ht="20" customHeight="1">
      <x:c r="A88" s="2"/>
      <x:c r="B88" s="2"/>
      <x:c r="C88" s="114" t="str">
        <x:v>Current shares implied (million)</x:v>
      </x:c>
      <x:c r="D88" s="139" t="n">
        <x:f>D66/D64</x:f>
        <x:v>150.68192888455917</x:v>
      </x:c>
      <x:c r="E88" s="139" t="n">
        <x:f>E66/E64</x:f>
        <x:v>95.6043228936921</x:v>
      </x:c>
      <x:c r="F88" s="139" t="n">
        <x:f>F66/F64</x:f>
        <x:v>627.5607560756075</x:v>
      </x:c>
      <x:c r="G88" s="139" t="n">
        <x:f>G66/G64</x:f>
        <x:v>113.12293729372938</x:v>
      </x:c>
      <x:c r="H88" s="139" t="n">
        <x:f>H66/H64</x:f>
        <x:v>152.94241573033707</x:v>
      </x:c>
      <x:c r="I88" s="139" t="n">
        <x:f>I66/I64</x:f>
        <x:v>436.51234567901236</x:v>
      </x:c>
      <x:c r="J88" s="120"/>
      <x:c r="K88" s="120"/>
      <x:c r="L88" s="120"/>
      <x:c r="M88" s="120"/>
      <x:c r="N88"/>
      <x:c r="O88"/>
    </x:row>
    <x:row r="89" ht="20" customHeight="1">
      <x:c r="A89" s="2"/>
      <x:c r="B89" s="2"/>
      <x:c r="C89"/>
      <x:c r="D89"/>
      <x:c r="E89"/>
      <x:c r="F89"/>
      <x:c r="G89"/>
      <x:c r="H89"/>
      <x:c r="I89"/>
      <x:c r="J89"/>
      <x:c r="K89"/>
      <x:c r="L89"/>
      <x:c r="M89"/>
      <x:c r="N89"/>
      <x:c r="O89"/>
    </x:row>
    <x:row r="90" ht="44" customHeight="1">
      <x:c r="A90" s="2"/>
      <x:c r="B90" s="2"/>
      <x:c r="C90" s="141" t="str">
        <x:v>EV proxies use FY26 balance sheets and dated market capitalisations. Strategic investments are not deducted. Comparability limits and source-specific adjustments are recorded beside the source inputs.</x:v>
      </x:c>
      <x:c r="D90" s="141"/>
      <x:c r="E90" s="141"/>
      <x:c r="F90" s="141"/>
      <x:c r="G90" s="141"/>
      <x:c r="H90" s="141"/>
      <x:c r="I90" s="141"/>
      <x:c r="J90" s="141"/>
      <x:c r="K90" s="141"/>
      <x:c r="L90" s="141"/>
      <x:c r="M90" s="141"/>
      <x:c r="N90"/>
      <x:c r="O90"/>
    </x:row>
    <x:row r="91" ht="20" customHeight="1">
      <x:c r="A91" s="2"/>
      <x:c r="B91" s="2"/>
      <x:c r="C91"/>
      <x:c r="D91"/>
      <x:c r="E91"/>
      <x:c r="F91"/>
      <x:c r="G91"/>
      <x:c r="H91"/>
      <x:c r="I91"/>
      <x:c r="J91"/>
      <x:c r="K91"/>
      <x:c r="L91"/>
      <x:c r="M91"/>
      <x:c r="N91"/>
      <x:c r="O91"/>
    </x:row>
    <x:row r="92" ht="20" customHeight="1">
      <x:c r="A92" s="2"/>
      <x:c r="B92" s="2"/>
      <x:c r="C92"/>
      <x:c r="D92"/>
      <x:c r="E92"/>
      <x:c r="F92"/>
      <x:c r="G92"/>
      <x:c r="H92"/>
      <x:c r="I92"/>
      <x:c r="J92"/>
      <x:c r="K92"/>
      <x:c r="L92"/>
      <x:c r="M92"/>
      <x:c r="N92"/>
      <x:c r="O92"/>
    </x:row>
    <x:row r="93" ht="20" customHeight="1">
      <x:c r="A93" s="2"/>
      <x:c r="B93" s="2"/>
      <x:c r="C93" s="114" t="str">
        <x:v>Closer peers: KEI + RR FY26 EV/EBITDA</x:v>
      </x:c>
      <x:c r="D93" s="130"/>
      <x:c r="E93" s="130"/>
      <x:c r="F93" s="130"/>
      <x:c r="G93" s="130"/>
      <x:c r="H93" s="137" t="n">
        <x:f>MEDIAN(E77,G77)</x:f>
        <x:v>35.16385356062921</x:v>
      </x:c>
      <x:c r="I93" s="130"/>
      <x:c r="J93" s="130"/>
      <x:c r="K93" s="130"/>
      <x:c r="L93" s="130"/>
      <x:c r="M93" s="130"/>
      <x:c r="N93"/>
      <x:c r="O93"/>
    </x:row>
    <x:row r="94" ht="20" customHeight="1">
      <x:c r="A94" s="2"/>
      <x:c r="B94" s="2"/>
      <x:c r="C94" s="114" t="str">
        <x:v>All five peers: FY26 EV/EBITDA median</x:v>
      </x:c>
      <x:c r="D94" s="130"/>
      <x:c r="E94" s="130"/>
      <x:c r="F94" s="130"/>
      <x:c r="G94" s="130"/>
      <x:c r="H94" s="137" t="n">
        <x:f>MEDIAN(E77:I77)</x:f>
        <x:v>30.93185483870968</x:v>
      </x:c>
      <x:c r="I94" s="130"/>
      <x:c r="J94" s="130"/>
      <x:c r="K94" s="130"/>
      <x:c r="L94" s="130"/>
      <x:c r="M94" s="130"/>
      <x:c r="N94"/>
      <x:c r="O94"/>
    </x:row>
    <x:row r="95" ht="20" customHeight="1">
      <x:c r="A95" s="2"/>
      <x:c r="B95" s="2"/>
      <x:c r="C95" s="114" t="str">
        <x:v>All five peers: FY26 P/E median</x:v>
      </x:c>
      <x:c r="D95" s="130"/>
      <x:c r="E95" s="130"/>
      <x:c r="F95" s="130"/>
      <x:c r="G95" s="130"/>
      <x:c r="H95" s="137" t="n">
        <x:f>MEDIAN(E79:I79)</x:f>
        <x:v>46.17689015691869</x:v>
      </x:c>
      <x:c r="I95" s="130"/>
      <x:c r="J95" s="130"/>
      <x:c r="K95" s="130"/>
      <x:c r="L95" s="130"/>
      <x:c r="M95" s="130"/>
      <x:c r="N95"/>
      <x:c r="O95"/>
    </x:row>
    <x:row r="96" ht="20" customHeight="1">
      <x:c r="A96" s="2"/>
      <x:c r="B96" s="2"/>
      <x:c r="C96"/>
      <x:c r="D96"/>
      <x:c r="E96"/>
      <x:c r="F96"/>
      <x:c r="G96"/>
      <x:c r="H96"/>
      <x:c r="I96"/>
      <x:c r="J96"/>
      <x:c r="K96"/>
      <x:c r="L96"/>
      <x:c r="M96"/>
      <x:c r="N96"/>
      <x:c r="O96"/>
    </x:row>
    <x:row r="97" ht="20" customHeight="1">
      <x:c r="A97" s="2"/>
      <x:c r="B97" s="2"/>
      <x:c r="C97" s="114" t="str">
        <x:v>Polycab at closer-peer EV/EBITDA (INR)</x:v>
      </x:c>
      <x:c r="D97" s="119"/>
      <x:c r="E97" s="119"/>
      <x:c r="F97" s="119"/>
      <x:c r="G97" s="119"/>
      <x:c r="H97" s="142" t="n">
        <x:f>(H93*D72-D67)/D88</x:f>
        <x:v>9325.922347554442</x:v>
      </x:c>
      <x:c r="I97" s="119"/>
      <x:c r="J97" s="119"/>
      <x:c r="K97" s="119"/>
      <x:c r="L97" s="119"/>
      <x:c r="M97" s="119"/>
      <x:c r="N97"/>
      <x:c r="O97"/>
    </x:row>
    <x:row r="98" ht="20" customHeight="1">
      <x:c r="A98" s="2"/>
      <x:c r="B98" s="2"/>
      <x:c r="C98" s="114" t="str">
        <x:v>Polycab at all-peer FY26 P/E (INR)</x:v>
      </x:c>
      <x:c r="D98" s="119"/>
      <x:c r="E98" s="119"/>
      <x:c r="F98" s="119"/>
      <x:c r="G98" s="119"/>
      <x:c r="H98" s="131" t="n">
        <x:f>H95*'00_Cover+Sources'!D158</x:f>
        <x:v>8171.0007132667615</x:v>
      </x:c>
      <x:c r="I98" s="119"/>
      <x:c r="J98" s="119"/>
      <x:c r="K98" s="119"/>
      <x:c r="L98" s="119"/>
      <x:c r="M98" s="119"/>
      <x:c r="N98"/>
      <x:c r="O98"/>
    </x:row>
    <x:row r="99" ht="20" customHeight="1">
      <x:c r="A99" s="2"/>
      <x:c r="B99" s="2"/>
      <x:c r="C99"/>
      <x:c r="D99"/>
      <x:c r="E99"/>
      <x:c r="F99"/>
      <x:c r="G99"/>
      <x:c r="H99"/>
      <x:c r="I99"/>
      <x:c r="J99"/>
      <x:c r="K99"/>
      <x:c r="L99"/>
      <x:c r="M99"/>
      <x:c r="N99"/>
      <x:c r="O99"/>
    </x:row>
    <x:row r="100" ht="20" customHeight="1">
      <x:c r="A100" s="2"/>
      <x:c r="B100" s="2"/>
      <x:c r="C100" s="114" t="str">
        <x:v>Polycab price / FY27E model EPS</x:v>
      </x:c>
      <x:c r="D100" s="130"/>
      <x:c r="E100" s="130"/>
      <x:c r="F100" s="130"/>
      <x:c r="G100" s="130"/>
      <x:c r="H100" s="138" t="n">
        <x:f>D64/'03_3Statement+Schedules'!I25</x:f>
        <x:v>39.53399155211521</x:v>
      </x:c>
      <x:c r="I100" s="130"/>
      <x:c r="J100" s="130"/>
      <x:c r="K100" s="130"/>
      <x:c r="L100" s="130"/>
      <x:c r="M100" s="130"/>
      <x:c r="N100"/>
      <x:c r="O100"/>
    </x:row>
    <x:row r="101" ht="20" customHeight="1">
      <x:c r="A101" s="2"/>
      <x:c r="B101" s="2"/>
      <x:c r="C101"/>
      <x:c r="D101"/>
      <x:c r="E101"/>
      <x:c r="F101"/>
      <x:c r="G101"/>
      <x:c r="H101"/>
      <x:c r="I101"/>
      <x:c r="J101"/>
      <x:c r="K101"/>
      <x:c r="L101"/>
      <x:c r="M101"/>
      <x:c r="N101"/>
      <x:c r="O101"/>
    </x:row>
    <x:row r="102" ht="20" customHeight="1">
      <x:c r="A102" s="2"/>
      <x:c r="B102" s="2"/>
      <x:c r="C102"/>
      <x:c r="D102"/>
      <x:c r="E102"/>
      <x:c r="F102"/>
      <x:c r="G102"/>
      <x:c r="H102"/>
      <x:c r="I102"/>
      <x:c r="J102"/>
      <x:c r="K102"/>
      <x:c r="L102"/>
      <x:c r="M102"/>
      <x:c r="N102"/>
      <x:c r="O102"/>
    </x:row>
    <x:row r="103" ht="44" customHeight="1">
      <x:c r="A103" s="2"/>
      <x:c r="B103" s="2"/>
      <x:c r="C103" s="141" t="str">
        <x:v>Peer-derived values are cross-checks, not a blended target. Faster growth, margins, returns and business mix matter. Havells fair-value income and Finolex investment/associate earnings weaken P/E comparisons.</x:v>
      </x:c>
      <x:c r="D103" s="141"/>
      <x:c r="E103" s="141"/>
      <x:c r="F103" s="141"/>
      <x:c r="G103" s="141"/>
      <x:c r="H103" s="141"/>
      <x:c r="I103" s="141"/>
      <x:c r="J103" s="141"/>
      <x:c r="K103" s="141"/>
      <x:c r="L103" s="141"/>
      <x:c r="M103" s="141"/>
      <x:c r="N103"/>
      <x:c r="O103"/>
    </x:row>
    <x:row r="104" ht="20" customHeight="1">
      <x:c r="A104" s="2"/>
      <x:c r="B104" s="2"/>
      <x:c r="C104"/>
      <x:c r="D104"/>
      <x:c r="E104"/>
      <x:c r="F104"/>
      <x:c r="G104"/>
      <x:c r="H104"/>
      <x:c r="I104"/>
      <x:c r="J104"/>
      <x:c r="K104"/>
      <x:c r="L104"/>
      <x:c r="M104"/>
      <x:c r="N104"/>
      <x:c r="O104"/>
    </x:row>
    <x:row r="105" ht="44" customHeight="1">
      <x:c r="A105" s="2"/>
      <x:c r="B105" s="2"/>
      <x:c r="C105" s="141" t="str">
        <x:v>All prices use 11 September close. Shares are current provider proxies, and peer claims retain FY26 disclosures. This synchronizes the price observation; it does not turn historical financial balances into current audited data.</x:v>
      </x:c>
      <x:c r="D105" s="141"/>
      <x:c r="E105" s="141"/>
      <x:c r="F105" s="141"/>
      <x:c r="G105" s="141"/>
      <x:c r="H105" s="141"/>
      <x:c r="I105" s="141"/>
      <x:c r="J105" s="141"/>
      <x:c r="K105" s="141"/>
      <x:c r="L105" s="141"/>
      <x:c r="M105" s="141"/>
      <x:c r="N105"/>
      <x:c r="O105"/>
    </x:row>
    <x:row r="106" ht="20" customHeight="1">
      <x:c r="A106" s="2"/>
      <x:c r="B106" s="2"/>
      <x:c r="C106"/>
      <x:c r="D106"/>
      <x:c r="E106"/>
      <x:c r="F106"/>
      <x:c r="G106"/>
      <x:c r="H106"/>
      <x:c r="I106"/>
      <x:c r="J106"/>
      <x:c r="K106"/>
      <x:c r="L106"/>
      <x:c r="M106"/>
      <x:c r="N106"/>
      <x:c r="O106"/>
    </x:row>
    <x:row r="107" ht="20" customHeight="1">
      <x:c r="A107" s="2"/>
      <x:c r="B107" s="2"/>
      <x:c r="C107"/>
      <x:c r="D107"/>
      <x:c r="E107"/>
      <x:c r="F107"/>
      <x:c r="G107"/>
      <x:c r="H107"/>
      <x:c r="I107"/>
      <x:c r="J107"/>
      <x:c r="K107"/>
      <x:c r="L107"/>
      <x:c r="M107"/>
      <x:c r="N107"/>
      <x:c r="O107"/>
    </x:row>
    <x:row r="108" ht="20" customHeight="1">
      <x:c r="A108" s="2"/>
      <x:c r="B108" s="2"/>
      <x:c r="C108"/>
      <x:c r="D108"/>
      <x:c r="E108"/>
      <x:c r="F108"/>
      <x:c r="G108"/>
      <x:c r="H108"/>
      <x:c r="I108"/>
      <x:c r="J108"/>
      <x:c r="K108"/>
      <x:c r="L108"/>
      <x:c r="M108"/>
      <x:c r="N108"/>
      <x:c r="O108"/>
    </x:row>
    <x:row r="109" ht="20" customHeight="1">
      <x:c r="A109" s="2"/>
      <x:c r="B109" s="2"/>
      <x:c r="C109" s="2"/>
      <x:c r="D109" s="3"/>
      <x:c r="E109" s="3"/>
      <x:c r="F109" s="3"/>
      <x:c r="G109" s="3"/>
      <x:c r="H109" s="3"/>
      <x:c r="I109" s="3"/>
      <x:c r="J109" s="3"/>
      <x:c r="K109" s="3"/>
      <x:c r="L109" s="3"/>
      <x:c r="M109" s="3"/>
      <x:c r="N109" s="2"/>
      <x:c r="O109" s="2"/>
    </x:row>
    <x:row r="110" ht="24" customHeight="1">
      <x:c r="A110" s="2"/>
      <x:c r="B110" s="2"/>
      <x:c r="C110" s="80" t="str">
        <x:v>WACC build and valuation date</x:v>
      </x:c>
      <x:c r="D110" s="81"/>
      <x:c r="E110" s="81"/>
      <x:c r="F110" s="81"/>
      <x:c r="G110" s="81"/>
      <x:c r="H110" s="81"/>
      <x:c r="I110" s="81"/>
      <x:c r="J110" s="81"/>
      <x:c r="K110" s="81"/>
      <x:c r="L110" s="81"/>
      <x:c r="M110" s="81"/>
      <x:c r="N110" s="2"/>
      <x:c r="O110" s="2"/>
    </x:row>
    <x:row r="111" ht="20" customHeight="1">
      <x:c r="A111" s="2"/>
      <x:c r="B111" s="2"/>
      <x:c r="C111" s="2"/>
      <x:c r="D111" s="3"/>
      <x:c r="E111" s="3"/>
      <x:c r="F111" s="3"/>
      <x:c r="G111" s="3"/>
      <x:c r="H111" s="3"/>
      <x:c r="I111" s="3"/>
      <x:c r="J111" s="3"/>
      <x:c r="K111" s="3"/>
      <x:c r="L111" s="3"/>
      <x:c r="M111" s="3"/>
      <x:c r="N111" s="2"/>
      <x:c r="O111" s="2"/>
    </x:row>
    <x:row r="112" ht="20" customHeight="1">
      <x:c r="A112" s="2"/>
      <x:c r="B112" s="2"/>
      <x:c r="C112" s="24" t="str">
        <x:v>Government bond yield</x:v>
      </x:c>
      <x:c r="D112" s="25"/>
      <x:c r="E112" s="25"/>
      <x:c r="F112" s="25"/>
      <x:c r="G112" s="25"/>
      <x:c r="H112" s="26" t="n">
        <x:f>'00_Cover+Sources'!H236</x:f>
        <x:v>0.0702</x:v>
      </x:c>
      <x:c r="I112" s="25"/>
      <x:c r="J112" s="25"/>
      <x:c r="K112" s="25"/>
      <x:c r="L112" s="25"/>
      <x:c r="M112" s="25"/>
      <x:c r="N112" s="2"/>
      <x:c r="O112" s="2"/>
    </x:row>
    <x:row r="113" ht="20" customHeight="1">
      <x:c r="A113" s="2"/>
      <x:c r="B113" s="2"/>
      <x:c r="C113" s="24" t="str">
        <x:v>Less: sovereign default spread</x:v>
      </x:c>
      <x:c r="D113" s="25"/>
      <x:c r="E113" s="25"/>
      <x:c r="F113" s="25"/>
      <x:c r="G113" s="25"/>
      <x:c r="H113" s="26" t="n">
        <x:f>'00_Cover+Sources'!H237</x:f>
        <x:v>0.0187</x:v>
      </x:c>
      <x:c r="I113" s="25"/>
      <x:c r="J113" s="25"/>
      <x:c r="K113" s="25"/>
      <x:c r="L113" s="25"/>
      <x:c r="M113" s="25"/>
      <x:c r="N113" s="2"/>
      <x:c r="O113" s="2"/>
    </x:row>
    <x:row r="114" ht="20" customHeight="1">
      <x:c r="A114" s="2"/>
      <x:c r="B114" s="2"/>
      <x:c r="C114" s="24" t="str">
        <x:v>Default-free INR rate proxy</x:v>
      </x:c>
      <x:c r="D114" s="25"/>
      <x:c r="E114" s="25"/>
      <x:c r="F114" s="25"/>
      <x:c r="G114" s="25"/>
      <x:c r="H114" s="66" t="n">
        <x:f>H112-H113</x:f>
        <x:v>0.0515</x:v>
      </x:c>
      <x:c r="I114" s="25"/>
      <x:c r="J114" s="25"/>
      <x:c r="K114" s="25"/>
      <x:c r="L114" s="25"/>
      <x:c r="M114" s="25"/>
      <x:c r="N114" s="2"/>
      <x:c r="O114" s="2"/>
    </x:row>
    <x:row r="115" ht="20" customHeight="1">
      <x:c r="A115" s="2"/>
      <x:c r="B115" s="2"/>
      <x:c r="C115" s="24" t="str">
        <x:v>Mature-market ERP</x:v>
      </x:c>
      <x:c r="D115" s="25"/>
      <x:c r="E115" s="25"/>
      <x:c r="F115" s="25"/>
      <x:c r="G115" s="25"/>
      <x:c r="H115" s="26" t="n">
        <x:f>'00_Cover+Sources'!H238</x:f>
        <x:v>0.0423</x:v>
      </x:c>
      <x:c r="I115" s="25"/>
      <x:c r="J115" s="25"/>
      <x:c r="K115" s="25"/>
      <x:c r="L115" s="25"/>
      <x:c r="M115" s="25"/>
      <x:c r="N115" s="2"/>
      <x:c r="O115" s="2"/>
    </x:row>
    <x:row r="116" ht="20" customHeight="1">
      <x:c r="A116" s="2"/>
      <x:c r="B116" s="2"/>
      <x:c r="C116" s="2" t="str">
        <x:v>Levered beta (analyst)</x:v>
      </x:c>
      <x:c r="D116" s="3"/>
      <x:c r="E116" s="3"/>
      <x:c r="F116" s="3"/>
      <x:c r="G116" s="3"/>
      <x:c r="H116" s="110" t="n">
        <x:f>'00_Cover+Sources'!H240</x:f>
        <x:v>1.1</x:v>
      </x:c>
      <x:c r="I116" s="3"/>
      <x:c r="J116" s="3"/>
      <x:c r="K116" s="3"/>
      <x:c r="L116" s="3"/>
      <x:c r="M116" s="3"/>
      <x:c r="N116" s="2"/>
      <x:c r="O116" s="2"/>
    </x:row>
    <x:row r="117" ht="20" customHeight="1">
      <x:c r="A117" s="2"/>
      <x:c r="B117" s="2"/>
      <x:c r="C117" s="24" t="str">
        <x:v>Country equity risk premium</x:v>
      </x:c>
      <x:c r="D117" s="25"/>
      <x:c r="E117" s="25"/>
      <x:c r="F117" s="25"/>
      <x:c r="G117" s="25"/>
      <x:c r="H117" s="26" t="n">
        <x:f>'00_Cover+Sources'!H239</x:f>
        <x:v>0.0285</x:v>
      </x:c>
      <x:c r="I117" s="25"/>
      <x:c r="J117" s="25"/>
      <x:c r="K117" s="25"/>
      <x:c r="L117" s="25"/>
      <x:c r="M117" s="25"/>
      <x:c r="N117" s="2"/>
      <x:c r="O117" s="2"/>
    </x:row>
    <x:row r="118" ht="20" customHeight="1">
      <x:c r="A118" s="2"/>
      <x:c r="B118" s="2"/>
      <x:c r="C118" s="86" t="str">
        <x:v>Cost of equity</x:v>
      </x:c>
      <x:c r="D118" s="87"/>
      <x:c r="E118" s="87"/>
      <x:c r="F118" s="87"/>
      <x:c r="G118" s="87"/>
      <x:c r="H118" s="89" t="n">
        <x:f>H114+H116*H115+H117</x:f>
        <x:v>0.12653</x:v>
      </x:c>
      <x:c r="I118" s="87"/>
      <x:c r="J118" s="87"/>
      <x:c r="K118" s="87"/>
      <x:c r="L118" s="87"/>
      <x:c r="M118" s="87"/>
      <x:c r="N118" s="2"/>
      <x:c r="O118" s="2"/>
    </x:row>
    <x:row r="119" ht="20" customHeight="1">
      <x:c r="A119" s="2"/>
      <x:c r="B119" s="2"/>
      <x:c r="C119" s="2"/>
      <x:c r="D119" s="3"/>
      <x:c r="E119" s="3"/>
      <x:c r="F119" s="3"/>
      <x:c r="G119" s="3"/>
      <x:c r="H119" s="3"/>
      <x:c r="I119" s="3"/>
      <x:c r="J119" s="3"/>
      <x:c r="K119" s="3"/>
      <x:c r="L119" s="3"/>
      <x:c r="M119" s="3"/>
      <x:c r="N119" s="2"/>
      <x:c r="O119" s="2"/>
    </x:row>
    <x:row r="120" ht="20" customHeight="1">
      <x:c r="A120" s="2"/>
      <x:c r="B120" s="2"/>
      <x:c r="C120" s="2" t="str">
        <x:v>Estimated September gross funded debt</x:v>
      </x:c>
      <x:c r="D120" s="3"/>
      <x:c r="E120" s="3"/>
      <x:c r="F120" s="3"/>
      <x:c r="G120" s="3"/>
      <x:c r="H120" s="14" t="n">
        <x:f>SUM(H195:H196)</x:f>
        <x:v>39970.56822536869</x:v>
      </x:c>
      <x:c r="I120" s="3"/>
      <x:c r="J120" s="3"/>
      <x:c r="K120" s="3"/>
      <x:c r="L120" s="3"/>
      <x:c r="M120" s="3"/>
      <x:c r="N120" s="2"/>
      <x:c r="O120" s="2"/>
    </x:row>
    <x:row r="121" ht="20" customHeight="1">
      <x:c r="A121" s="2"/>
      <x:c r="B121" s="2"/>
      <x:c r="C121" s="2" t="str">
        <x:v>Observed market capitalisation</x:v>
      </x:c>
      <x:c r="D121" s="3"/>
      <x:c r="E121" s="3"/>
      <x:c r="F121" s="3"/>
      <x:c r="G121" s="3"/>
      <x:c r="H121" s="22" t="n">
        <x:f>'00_Cover+Sources'!D151</x:f>
        <x:v>1241769.7759376522</x:v>
      </x:c>
      <x:c r="I121" s="3"/>
      <x:c r="J121" s="3"/>
      <x:c r="K121" s="3"/>
      <x:c r="L121" s="3"/>
      <x:c r="M121" s="3"/>
      <x:c r="N121" s="2"/>
      <x:c r="O121" s="2"/>
    </x:row>
    <x:row r="122" ht="20" customHeight="1">
      <x:c r="A122" s="2"/>
      <x:c r="B122" s="2"/>
      <x:c r="C122" s="24" t="str">
        <x:v>Debt / total capital</x:v>
      </x:c>
      <x:c r="D122" s="25"/>
      <x:c r="E122" s="25"/>
      <x:c r="F122" s="25"/>
      <x:c r="G122" s="25"/>
      <x:c r="H122" s="66" t="n">
        <x:f>H120/SUM(H120:H121)</x:f>
        <x:v>0.031184606466818796</x:v>
      </x:c>
      <x:c r="I122" s="25"/>
      <x:c r="J122" s="25"/>
      <x:c r="K122" s="25"/>
      <x:c r="L122" s="25"/>
      <x:c r="M122" s="25"/>
      <x:c r="N122" s="2"/>
      <x:c r="O122" s="2"/>
    </x:row>
    <x:row r="123" ht="20" customHeight="1">
      <x:c r="A123" s="2"/>
      <x:c r="B123" s="2"/>
      <x:c r="C123" s="24" t="str">
        <x:v>Equity / total capital</x:v>
      </x:c>
      <x:c r="D123" s="25"/>
      <x:c r="E123" s="25"/>
      <x:c r="F123" s="25"/>
      <x:c r="G123" s="25"/>
      <x:c r="H123" s="66" t="n">
        <x:f>1-H122</x:f>
        <x:v>0.9688153935331812</x:v>
      </x:c>
      <x:c r="I123" s="25"/>
      <x:c r="J123" s="25"/>
      <x:c r="K123" s="25"/>
      <x:c r="L123" s="25"/>
      <x:c r="M123" s="25"/>
      <x:c r="N123" s="2"/>
      <x:c r="O123" s="2"/>
    </x:row>
    <x:row r="124" ht="20" customHeight="1">
      <x:c r="A124" s="2"/>
      <x:c r="B124" s="2"/>
      <x:c r="C124" s="24" t="str">
        <x:v>Pre-tax cost of debt proxy</x:v>
      </x:c>
      <x:c r="D124" s="25"/>
      <x:c r="E124" s="25"/>
      <x:c r="F124" s="25"/>
      <x:c r="G124" s="25"/>
      <x:c r="H124" s="26" t="n">
        <x:f>'00_Cover+Sources'!H241</x:f>
        <x:v>0.08087976158980067</x:v>
      </x:c>
      <x:c r="I124" s="25"/>
      <x:c r="J124" s="25"/>
      <x:c r="K124" s="25"/>
      <x:c r="L124" s="25"/>
      <x:c r="M124" s="25"/>
      <x:c r="N124" s="2"/>
      <x:c r="O124" s="2"/>
    </x:row>
    <x:row r="125" ht="20" customHeight="1">
      <x:c r="A125" s="2"/>
      <x:c r="B125" s="2"/>
      <x:c r="C125" s="24" t="str">
        <x:v>Tax rate</x:v>
      </x:c>
      <x:c r="D125" s="25"/>
      <x:c r="E125" s="25"/>
      <x:c r="F125" s="25"/>
      <x:c r="G125" s="25"/>
      <x:c r="H125" s="26" t="n">
        <x:f>'02_Drivers+Scenarios'!I114</x:f>
        <x:v>0.2503817385468057</x:v>
      </x:c>
      <x:c r="I125" s="25"/>
      <x:c r="J125" s="25"/>
      <x:c r="K125" s="25"/>
      <x:c r="L125" s="25"/>
      <x:c r="M125" s="25"/>
      <x:c r="N125" s="2"/>
      <x:c r="O125" s="2"/>
    </x:row>
    <x:row r="126" ht="20" customHeight="1">
      <x:c r="A126" s="2"/>
      <x:c r="B126" s="2"/>
      <x:c r="C126" s="24" t="str">
        <x:v>After-tax cost of debt</x:v>
      </x:c>
      <x:c r="D126" s="25"/>
      <x:c r="E126" s="25"/>
      <x:c r="F126" s="25"/>
      <x:c r="G126" s="25"/>
      <x:c r="H126" s="66" t="n">
        <x:f>H124*(1-H125)</x:f>
        <x:v>0.06062894626969523</x:v>
      </x:c>
      <x:c r="I126" s="25"/>
      <x:c r="J126" s="25"/>
      <x:c r="K126" s="25"/>
      <x:c r="L126" s="25"/>
      <x:c r="M126" s="25"/>
      <x:c r="N126" s="2"/>
      <x:c r="O126" s="2"/>
    </x:row>
    <x:row r="127" ht="20" customHeight="1">
      <x:c r="A127" s="2"/>
      <x:c r="B127" s="2"/>
      <x:c r="C127" s="2"/>
      <x:c r="D127" s="3"/>
      <x:c r="E127" s="3"/>
      <x:c r="F127" s="3"/>
      <x:c r="G127" s="3"/>
      <x:c r="H127" s="3"/>
      <x:c r="I127" s="3"/>
      <x:c r="J127" s="3"/>
      <x:c r="K127" s="3"/>
      <x:c r="L127" s="3"/>
      <x:c r="M127" s="3"/>
      <x:c r="N127" s="2"/>
      <x:c r="O127" s="2"/>
    </x:row>
    <x:row r="128" ht="20" customHeight="1">
      <x:c r="A128" s="2"/>
      <x:c r="B128" s="2"/>
      <x:c r="C128" s="86" t="str">
        <x:v>Weighted average cost of capital</x:v>
      </x:c>
      <x:c r="D128" s="87"/>
      <x:c r="E128" s="87"/>
      <x:c r="F128" s="87"/>
      <x:c r="G128" s="87"/>
      <x:c r="H128" s="160" t="n">
        <x:f>H118*H123+H126*H122</x:f>
        <x:v>0.12447490157367178</x:v>
      </x:c>
      <x:c r="I128" s="87"/>
      <x:c r="J128" s="87"/>
      <x:c r="K128" s="87"/>
      <x:c r="L128" s="87"/>
      <x:c r="M128" s="87"/>
      <x:c r="N128" s="2"/>
      <x:c r="O128" s="2"/>
    </x:row>
    <x:row r="129" ht="20" customHeight="1">
      <x:c r="A129" s="2"/>
      <x:c r="B129" s="2"/>
      <x:c r="C129" s="2"/>
      <x:c r="D129" s="3"/>
      <x:c r="E129" s="3"/>
      <x:c r="F129" s="3"/>
      <x:c r="G129" s="3"/>
      <x:c r="H129" s="3"/>
      <x:c r="I129" s="3"/>
      <x:c r="J129" s="3"/>
      <x:c r="K129" s="3"/>
      <x:c r="L129" s="3"/>
      <x:c r="M129" s="3"/>
      <x:c r="N129" s="2"/>
      <x:c r="O129" s="2"/>
    </x:row>
    <x:row r="130" ht="20" customHeight="1">
      <x:c r="A130" s="2"/>
      <x:c r="B130" s="2"/>
      <x:c r="C130" s="24" t="str">
        <x:v>Terminal ROIC</x:v>
      </x:c>
      <x:c r="D130" s="25"/>
      <x:c r="E130" s="25"/>
      <x:c r="F130" s="25"/>
      <x:c r="G130" s="25"/>
      <x:c r="H130" s="66" t="n">
        <x:f>H26</x:f>
        <x:v>0.15292212533645164</x:v>
      </x:c>
      <x:c r="I130" s="25"/>
      <x:c r="J130" s="25"/>
      <x:c r="K130" s="25"/>
      <x:c r="L130" s="25"/>
      <x:c r="M130" s="25"/>
      <x:c r="N130" s="2"/>
      <x:c r="O130" s="2"/>
    </x:row>
    <x:row r="131" ht="20" customHeight="1">
      <x:c r="C131" s="24" t="str">
        <x:v>Terminal reinvestment / NOPAT</x:v>
      </x:c>
      <x:c r="D131" s="25"/>
      <x:c r="E131" s="25"/>
      <x:c r="F131" s="25"/>
      <x:c r="G131" s="25"/>
      <x:c r="H131" s="66" t="n">
        <x:f>H25/H26</x:f>
        <x:v>0.2615710441637794</x:v>
      </x:c>
      <x:c r="I131" s="25"/>
      <x:c r="J131" s="25"/>
      <x:c r="K131" s="25"/>
      <x:c r="L131" s="25"/>
      <x:c r="M131" s="25"/>
      <x:c r="N131" s="2"/>
      <x:c r="O131" s="2"/>
    </x:row>
    <x:row r="132" ht="20" customHeight="1">
      <x:c r="C132" s="24" t="str">
        <x:v>Terminal value / enterprise value</x:v>
      </x:c>
      <x:c r="D132" s="25"/>
      <x:c r="E132" s="25"/>
      <x:c r="F132" s="25"/>
      <x:c r="G132" s="25"/>
      <x:c r="H132" s="66" t="n">
        <x:f>H37/H39</x:f>
        <x:v>0.8576731636919213</x:v>
      </x:c>
      <x:c r="I132" s="25"/>
      <x:c r="J132" s="25"/>
      <x:c r="K132" s="25"/>
      <x:c r="L132" s="25"/>
      <x:c r="M132" s="25"/>
      <x:c r="N132" s="2"/>
      <x:c r="O132" s="2"/>
    </x:row>
    <x:row r="133" ht="20" customHeight="1">
      <x:c r="C133" s="2" t="str">
        <x:v>Implied terminal EV / FY31 EBITDA</x:v>
      </x:c>
      <x:c r="D133" s="3"/>
      <x:c r="E133" s="3"/>
      <x:c r="F133" s="3"/>
      <x:c r="G133" s="3"/>
      <x:c r="H133" s="111" t="n">
        <x:f>H36/(H24-H25)/'03_3Statement+Schedules'!M13</x:f>
        <x:v>6.027507227111812</x:v>
      </x:c>
      <x:c r="I133" s="3"/>
      <x:c r="J133" s="3"/>
      <x:c r="K133" s="3"/>
      <x:c r="L133" s="3"/>
      <x:c r="M133" s="3"/>
      <x:c r="N133" s="2"/>
      <x:c r="O133" s="2"/>
    </x:row>
    <x:row r="134" ht="20" customHeight="1">
      <x:c r="C134" s="2" t="str">
        <x:v>DCF cash-flow anchor</x:v>
      </x:c>
      <x:c r="D134" s="3"/>
      <x:c r="E134" s="3"/>
      <x:c r="F134" s="3"/>
      <x:c r="G134" s="3"/>
      <x:c r="H134" s="109" t="n">
        <x:f>'00_Cover+Sources'!H234</x:f>
        <x:v>46112</x:v>
      </x:c>
      <x:c r="I134" s="3"/>
      <x:c r="J134" s="3"/>
      <x:c r="K134" s="3"/>
      <x:c r="L134" s="3"/>
      <x:c r="M134" s="3"/>
      <x:c r="N134" s="2"/>
      <x:c r="O134" s="2"/>
    </x:row>
    <x:row r="135" ht="20" customHeight="1">
      <x:c r="C135" s="2" t="str">
        <x:v>Research date</x:v>
      </x:c>
      <x:c r="D135" s="3"/>
      <x:c r="E135" s="3"/>
      <x:c r="F135" s="3"/>
      <x:c r="G135" s="3"/>
      <x:c r="H135" s="109" t="n">
        <x:f>'00_Cover+Sources'!H235</x:f>
        <x:v>46280</x:v>
      </x:c>
      <x:c r="I135" s="3"/>
      <x:c r="J135" s="3"/>
      <x:c r="K135" s="3"/>
      <x:c r="L135" s="3"/>
      <x:c r="M135" s="3"/>
      <x:c r="N135" s="2"/>
      <x:c r="O135" s="2"/>
    </x:row>
    <x:row r="136" ht="20" customHeight="1">
      <x:c r="C136" s="2"/>
      <x:c r="D136" s="3"/>
      <x:c r="E136" s="3"/>
      <x:c r="F136" s="3"/>
      <x:c r="G136" s="3"/>
      <x:c r="H136" s="3"/>
      <x:c r="I136" s="3"/>
      <x:c r="J136" s="3"/>
      <x:c r="K136" s="3"/>
      <x:c r="L136" s="3"/>
      <x:c r="M136" s="3"/>
      <x:c r="N136" s="2"/>
      <x:c r="O136" s="2"/>
    </x:row>
    <x:row r="137" ht="20" customHeight="1">
      <x:c r="C137" s="2"/>
      <x:c r="D137" s="3"/>
      <x:c r="E137" s="3"/>
      <x:c r="F137" s="3"/>
      <x:c r="G137" s="3"/>
      <x:c r="H137" s="3"/>
      <x:c r="I137" s="3"/>
      <x:c r="J137" s="3"/>
      <x:c r="K137" s="3"/>
      <x:c r="L137" s="3"/>
      <x:c r="M137" s="3"/>
      <x:c r="N137" s="2"/>
      <x:c r="O137" s="2"/>
    </x:row>
    <x:row r="138" ht="20" customHeight="1">
      <x:c r="C138" s="2"/>
      <x:c r="D138" s="3"/>
      <x:c r="E138" s="3"/>
      <x:c r="F138" s="3"/>
      <x:c r="G138" s="3"/>
      <x:c r="H138" s="3"/>
      <x:c r="I138" s="3"/>
      <x:c r="J138" s="3"/>
      <x:c r="K138" s="3"/>
      <x:c r="L138" s="3"/>
      <x:c r="M138" s="3"/>
      <x:c r="N138" s="2"/>
      <x:c r="O138" s="2"/>
    </x:row>
    <x:row r="139" ht="20" customHeight="1">
      <x:c r="C139" s="2"/>
      <x:c r="D139" s="3"/>
      <x:c r="E139" s="3"/>
      <x:c r="F139" s="3"/>
      <x:c r="G139" s="3"/>
      <x:c r="H139" s="3"/>
      <x:c r="I139" s="3"/>
      <x:c r="J139" s="3"/>
      <x:c r="K139" s="3"/>
      <x:c r="L139" s="3"/>
      <x:c r="M139" s="3"/>
      <x:c r="N139" s="2"/>
      <x:c r="O139" s="2"/>
    </x:row>
    <x:row r="140" ht="24" customHeight="1">
      <x:c r="C140" s="80" t="str">
        <x:v>September value per share: terminal ROIC and growth</x:v>
      </x:c>
      <x:c r="D140" s="81"/>
      <x:c r="E140" s="81"/>
      <x:c r="F140" s="81"/>
      <x:c r="G140" s="81"/>
      <x:c r="H140" s="81"/>
      <x:c r="I140" s="81"/>
      <x:c r="J140" s="81"/>
      <x:c r="K140" s="81"/>
      <x:c r="L140" s="81"/>
      <x:c r="M140" s="81"/>
      <x:c r="N140" s="2"/>
      <x:c r="O140" s="2"/>
    </x:row>
    <x:row r="141" ht="20" customHeight="1">
      <x:c r="C141" s="2"/>
      <x:c r="D141" s="3"/>
      <x:c r="E141" s="3"/>
      <x:c r="F141" s="3"/>
      <x:c r="G141" s="3"/>
      <x:c r="H141" s="3"/>
      <x:c r="I141" s="3"/>
      <x:c r="J141" s="3"/>
      <x:c r="K141" s="3"/>
      <x:c r="L141" s="3"/>
      <x:c r="M141" s="3"/>
      <x:c r="N141" s="2"/>
      <x:c r="O141" s="2"/>
    </x:row>
    <x:row r="142" ht="20" customHeight="1">
      <x:c r="C142" s="2" t="str">
        <x:v>ROIC down; growth across</x:v>
      </x:c>
      <x:c r="D142" s="3"/>
      <x:c r="E142" s="3"/>
      <x:c r="F142" s="3"/>
      <x:c r="G142" s="3"/>
      <x:c r="H142" s="3"/>
      <x:c r="I142" s="3"/>
      <x:c r="J142" s="3"/>
      <x:c r="K142" s="3"/>
      <x:c r="L142" s="3"/>
      <x:c r="M142" s="3"/>
      <x:c r="N142" s="2"/>
      <x:c r="O142" s="2"/>
    </x:row>
    <x:row r="143" ht="20" customHeight="1">
      <x:c r="C143" s="2"/>
      <x:c r="D143" s="3"/>
      <x:c r="E143" s="33" t="n">
        <x:f>$H$25+-0.01</x:f>
        <x:v>0.03</x:v>
      </x:c>
      <x:c r="F143" s="33" t="n">
        <x:f>$H$25+-0.005</x:f>
        <x:v>0.035</x:v>
      </x:c>
      <x:c r="G143" s="33" t="n">
        <x:f>$H$25+0</x:f>
        <x:v>0.04</x:v>
      </x:c>
      <x:c r="H143" s="33" t="n">
        <x:f>$H$25+0.005</x:f>
        <x:v>0.045</x:v>
      </x:c>
      <x:c r="I143" s="33" t="n">
        <x:f>$H$25+0.01</x:f>
        <x:v>0.05</x:v>
      </x:c>
      <x:c r="J143" s="3"/>
      <x:c r="K143" s="3"/>
      <x:c r="L143" s="3"/>
      <x:c r="M143" s="3"/>
      <x:c r="N143" s="2"/>
      <x:c r="O143" s="2"/>
    </x:row>
    <x:row r="144" ht="20" customHeight="1">
      <x:c r="C144" s="2"/>
      <x:c r="D144" s="33" t="n">
        <x:f>$H$26+-0.04</x:f>
        <x:v>0.11292212533645163</x:v>
      </x:c>
      <x:c r="E144" s="73" t="n">
        <x:f>IF(AND($H$24&gt;E$143,$D144&gt;E$143),(I$185/(1+$H$24)^I$186+J$185/(1+$H$24)^J$186+K$185/(1+$H$24)^K$186+L$185/(1+$H$24)^L$186+M$185/(1+$H$24)^M$186+$M$11*(1+E$143)*(1-E$143/$D144)/($H$24-E$143)/(1+$H$24)^$M$186-$H$203-$H$204)/$H$210,"n.a.")</x:f>
        <x:v>1775.837124633082</x:v>
      </x:c>
      <x:c r="F144" s="73" t="n">
        <x:f>IF(AND($H$24&gt;F$143,$D144&gt;F$143),(I$185/(1+$H$24)^I$186+J$185/(1+$H$24)^J$186+K$185/(1+$H$24)^K$186+L$185/(1+$H$24)^L$186+M$185/(1+$H$24)^M$186+$M$11*(1+F$143)*(1-F$143/$D144)/($H$24-F$143)/(1+$H$24)^$M$186-$H$203-$H$204)/$H$210,"n.a.")</x:f>
        <x:v>1771.0842966823645</x:v>
      </x:c>
      <x:c r="G144" s="73" t="n">
        <x:f>IF(AND($H$24&gt;G$143,$D144&gt;G$143),(I$185/(1+$H$24)^I$186+J$185/(1+$H$24)^J$186+K$185/(1+$H$24)^K$186+L$185/(1+$H$24)^L$186+M$185/(1+$H$24)^M$186+$M$11*(1+G$143)*(1-G$143/$D144)/($H$24-G$143)/(1+$H$24)^$M$186-$H$203-$H$204)/$H$210,"n.a.")</x:f>
        <x:v>1764.7207222298641</x:v>
      </x:c>
      <x:c r="H144" s="73" t="n">
        <x:f>IF(AND($H$24&gt;H$143,$D144&gt;H$143),(I$185/(1+$H$24)^I$186+J$185/(1+$H$24)^J$186+K$185/(1+$H$24)^K$186+L$185/(1+$H$24)^L$186+M$185/(1+$H$24)^M$186+$M$11*(1+H$143)*(1-H$143/$D144)/($H$24-H$143)/(1+$H$24)^$M$186-$H$203-$H$204)/$H$210,"n.a.")</x:f>
        <x:v>1756.4423908641377</x:v>
      </x:c>
      <x:c r="I144" s="73" t="n">
        <x:f>IF(AND($H$24&gt;I$143,$D144&gt;I$143),(I$185/(1+$H$24)^I$186+J$185/(1+$H$24)^J$186+K$185/(1+$H$24)^K$186+L$185/(1+$H$24)^L$186+M$185/(1+$H$24)^M$186+$M$11*(1+I$143)*(1-I$143/$D144)/($H$24-I$143)/(1+$H$24)^$M$186-$H$203-$H$204)/$H$210,"n.a.")</x:f>
        <x:v>1745.8636511362884</x:v>
      </x:c>
      <x:c r="J144" s="3"/>
      <x:c r="K144" s="3"/>
      <x:c r="L144" s="3"/>
      <x:c r="M144" s="3"/>
      <x:c r="N144" s="2"/>
      <x:c r="O144" s="2"/>
    </x:row>
    <x:row r="145" ht="20" customHeight="1">
      <x:c r="C145" s="2"/>
      <x:c r="D145" s="33" t="n">
        <x:f>$H$26+-0.02</x:f>
        <x:v>0.13292212533645165</x:v>
      </x:c>
      <x:c r="E145" s="73" t="n">
        <x:f>IF(AND($H$24&gt;E$143,$D145&gt;E$143),(I$185/(1+$H$24)^I$186+J$185/(1+$H$24)^J$186+K$185/(1+$H$24)^K$186+L$185/(1+$H$24)^L$186+M$185/(1+$H$24)^M$186+$M$11*(1+E$143)*(1-E$143/$D145)/($H$24-E$143)/(1+$H$24)^$M$186-$H$203-$H$204)/$H$210,"n.a.")</x:f>
        <x:v>1862.9818662418027</x:v>
      </x:c>
      <x:c r="F145" s="73" t="n">
        <x:f>IF(AND($H$24&gt;F$143,$D145&gt;F$143),(I$185/(1+$H$24)^I$186+J$185/(1+$H$24)^J$186+K$185/(1+$H$24)^K$186+L$185/(1+$H$24)^L$186+M$185/(1+$H$24)^M$186+$M$11*(1+F$143)*(1-F$143/$D145)/($H$24-F$143)/(1+$H$24)^$M$186-$H$203-$H$204)/$H$210,"n.a.")</x:f>
        <x:v>1878.955697881159</x:v>
      </x:c>
      <x:c r="G145" s="73" t="n">
        <x:f>IF(AND($H$24&gt;G$143,$D145&gt;G$143),(I$185/(1+$H$24)^I$186+J$185/(1+$H$24)^J$186+K$185/(1+$H$24)^K$186+L$185/(1+$H$24)^L$186+M$185/(1+$H$24)^M$186+$M$11*(1+G$143)*(1-G$143/$D145)/($H$24-G$143)/(1+$H$24)^$M$186-$H$203-$H$204)/$H$210,"n.a.")</x:f>
        <x:v>1895.9300744617115</x:v>
      </x:c>
      <x:c r="H145" s="73" t="n">
        <x:f>IF(AND($H$24&gt;H$143,$D145&gt;H$143),(I$185/(1+$H$24)^I$186+J$185/(1+$H$24)^J$186+K$185/(1+$H$24)^K$186+L$185/(1+$H$24)^L$186+M$185/(1+$H$24)^M$186+$M$11*(1+H$143)*(1-H$143/$D145)/($H$24-H$143)/(1+$H$24)^$M$186-$H$203-$H$204)/$H$210,"n.a.")</x:f>
        <x:v>1914.0938376658128</x:v>
      </x:c>
      <x:c r="I145" s="73" t="n">
        <x:f>IF(AND($H$24&gt;I$143,$D145&gt;I$143),(I$185/(1+$H$24)^I$186+J$185/(1+$H$24)^J$186+K$185/(1+$H$24)^K$186+L$185/(1+$H$24)^L$186+M$185/(1+$H$24)^M$186+$M$11*(1+I$143)*(1-I$143/$D145)/($H$24-I$143)/(1+$H$24)^$M$186-$H$203-$H$204)/$H$210,"n.a.")</x:f>
        <x:v>1933.6865420141974</x:v>
      </x:c>
      <x:c r="J145" s="3"/>
      <x:c r="K145" s="3"/>
      <x:c r="L145" s="3"/>
      <x:c r="M145" s="3"/>
      <x:c r="N145" s="2"/>
      <x:c r="O145" s="2"/>
    </x:row>
    <x:row r="146" ht="20" customHeight="1">
      <x:c r="C146" s="2"/>
      <x:c r="D146" s="33" t="n">
        <x:f>$H$26+0</x:f>
        <x:v>0.15292212533645164</x:v>
      </x:c>
      <x:c r="E146" s="73" t="n">
        <x:f>IF(AND($H$24&gt;E$143,$D146&gt;E$143),(I$185/(1+$H$24)^I$186+J$185/(1+$H$24)^J$186+K$185/(1+$H$24)^K$186+L$185/(1+$H$24)^L$186+M$185/(1+$H$24)^M$186+$M$11*(1+E$143)*(1-E$143/$D146)/($H$24-E$143)/(1+$H$24)^$M$186-$H$203-$H$204)/$H$210,"n.a.")</x:f>
        <x:v>1927.3320667945477</x:v>
      </x:c>
      <x:c r="F146" s="73" t="n">
        <x:f>IF(AND($H$24&gt;F$143,$D146&gt;F$143),(I$185/(1+$H$24)^I$186+J$185/(1+$H$24)^J$186+K$185/(1+$H$24)^K$186+L$185/(1+$H$24)^L$186+M$185/(1+$H$24)^M$186+$M$11*(1+F$143)*(1-F$143/$D146)/($H$24-F$143)/(1+$H$24)^$M$186-$H$203-$H$204)/$H$210,"n.a.")</x:f>
        <x:v>1958.6110640329748</x:v>
      </x:c>
      <x:c r="G146" s="73" t="n">
        <x:f>IF(AND($H$24&gt;G$143,$D146&gt;G$143),(I$185/(1+$H$24)^I$186+J$185/(1+$H$24)^J$186+K$185/(1+$H$24)^K$186+L$185/(1+$H$24)^L$186+M$185/(1+$H$24)^M$186+$M$11*(1+G$143)*(1-G$143/$D146)/($H$24-G$143)/(1+$H$24)^$M$186-$H$203-$H$204)/$H$210,"n.a.")</x:f>
        <x:v>1992.818859426222</x:v>
      </x:c>
      <x:c r="H146" s="73" t="n">
        <x:f>IF(AND($H$24&gt;H$143,$D146&gt;H$143),(I$185/(1+$H$24)^I$186+J$185/(1+$H$24)^J$186+K$185/(1+$H$24)^K$186+L$185/(1+$H$24)^L$186+M$185/(1+$H$24)^M$186+$M$11*(1+H$143)*(1-H$143/$D146)/($H$24-H$143)/(1+$H$24)^$M$186-$H$203-$H$204)/$H$210,"n.a.")</x:f>
        <x:v>2030.5082309136428</x:v>
      </x:c>
      <x:c r="I146" s="73" t="n">
        <x:f>IF(AND($H$24&gt;I$143,$D146&gt;I$143),(I$185/(1+$H$24)^I$186+J$185/(1+$H$24)^J$186+K$185/(1+$H$24)^K$186+L$185/(1+$H$24)^L$186+M$185/(1+$H$24)^M$186+$M$11*(1+I$143)*(1-I$143/$D146)/($H$24-I$143)/(1+$H$24)^$M$186-$H$203-$H$204)/$H$210,"n.a.")</x:f>
        <x:v>2072.3804032073117</x:v>
      </x:c>
      <x:c r="J146" s="3"/>
      <x:c r="K146" s="3"/>
      <x:c r="L146" s="3"/>
      <x:c r="M146" s="3"/>
      <x:c r="N146" s="2"/>
      <x:c r="O146" s="2"/>
    </x:row>
    <x:row r="147" ht="20" customHeight="1">
      <x:c r="C147" s="2"/>
      <x:c r="D147" s="33" t="n">
        <x:f>$H$26+0.02</x:f>
        <x:v>0.17292212533645163</x:v>
      </x:c>
      <x:c r="E147" s="73" t="n">
        <x:f>IF(AND($H$24&gt;E$143,$D147&gt;E$143),(I$185/(1+$H$24)^I$186+J$185/(1+$H$24)^J$186+K$185/(1+$H$24)^K$186+L$185/(1+$H$24)^L$186+M$185/(1+$H$24)^M$186+$M$11*(1+E$143)*(1-E$143/$D147)/($H$24-E$143)/(1+$H$24)^$M$186-$H$203-$H$204)/$H$210,"n.a.")</x:f>
        <x:v>1976.7969077260093</x:v>
      </x:c>
      <x:c r="F147" s="73" t="n">
        <x:f>IF(AND($H$24&gt;F$143,$D147&gt;F$143),(I$185/(1+$H$24)^I$186+J$185/(1+$H$24)^J$186+K$185/(1+$H$24)^K$186+L$185/(1+$H$24)^L$186+M$185/(1+$H$24)^M$186+$M$11*(1+F$143)*(1-F$143/$D147)/($H$24-F$143)/(1+$H$24)^$M$186-$H$203-$H$204)/$H$210,"n.a.")</x:f>
        <x:v>2019.8407102841513</x:v>
      </x:c>
      <x:c r="G147" s="73" t="n">
        <x:f>IF(AND($H$24&gt;G$143,$D147&gt;G$143),(I$185/(1+$H$24)^I$186+J$185/(1+$H$24)^J$186+K$185/(1+$H$24)^K$186+L$185/(1+$H$24)^L$186+M$185/(1+$H$24)^M$186+$M$11*(1+G$143)*(1-G$143/$D147)/($H$24-G$143)/(1+$H$24)^$M$186-$H$203-$H$204)/$H$210,"n.a.")</x:f>
        <x:v>2067.2955245359717</x:v>
      </x:c>
      <x:c r="H147" s="73" t="n">
        <x:f>IF(AND($H$24&gt;H$143,$D147&gt;H$143),(I$185/(1+$H$24)^I$186+J$185/(1+$H$24)^J$186+K$185/(1+$H$24)^K$186+L$185/(1+$H$24)^L$186+M$185/(1+$H$24)^M$186+$M$11*(1+H$143)*(1-H$143/$D147)/($H$24-H$143)/(1+$H$24)^$M$186-$H$203-$H$204)/$H$210,"n.a.")</x:f>
        <x:v>2119.9938796711253</x:v>
      </x:c>
      <x:c r="I147" s="73" t="n">
        <x:f>IF(AND($H$24&gt;I$143,$D147&gt;I$143),(I$185/(1+$H$24)^I$186+J$185/(1+$H$24)^J$186+K$185/(1+$H$24)^K$186+L$185/(1+$H$24)^L$186+M$185/(1+$H$24)^M$186+$M$11*(1+I$143)*(1-I$143/$D147)/($H$24-I$143)/(1+$H$24)^$M$186-$H$203-$H$204)/$H$210,"n.a.")</x:f>
        <x:v>2178.991877968207</x:v>
      </x:c>
      <x:c r="J147" s="3"/>
      <x:c r="K147" s="3"/>
      <x:c r="L147" s="3"/>
      <x:c r="M147" s="3"/>
      <x:c r="N147" s="2"/>
      <x:c r="O147" s="2"/>
    </x:row>
    <x:row r="148" ht="20" customHeight="1">
      <x:c r="C148" s="2"/>
      <x:c r="D148" s="33" t="n">
        <x:f>$H$26+0.04</x:f>
        <x:v>0.19292212533645164</x:v>
      </x:c>
      <x:c r="E148" s="73" t="n">
        <x:f>IF(AND($H$24&gt;E$143,$D148&gt;E$143),(I$185/(1+$H$24)^I$186+J$185/(1+$H$24)^J$186+K$185/(1+$H$24)^K$186+L$185/(1+$H$24)^L$186+M$185/(1+$H$24)^M$186+$M$11*(1+E$143)*(1-E$143/$D148)/($H$24-E$143)/(1+$H$24)^$M$186-$H$203-$H$204)/$H$210,"n.a.")</x:f>
        <x:v>2016.0058299347843</x:v>
      </x:c>
      <x:c r="F148" s="73" t="n">
        <x:f>IF(AND($H$24&gt;F$143,$D148&gt;F$143),(I$185/(1+$H$24)^I$186+J$185/(1+$H$24)^J$186+K$185/(1+$H$24)^K$186+L$185/(1+$H$24)^L$186+M$185/(1+$H$24)^M$186+$M$11*(1+F$143)*(1-F$143/$D148)/($H$24-F$143)/(1+$H$24)^$M$186-$H$203-$H$204)/$H$210,"n.a.")</x:f>
        <x:v>2068.3751519507023</x:v>
      </x:c>
      <x:c r="G148" s="73" t="n">
        <x:f>IF(AND($H$24&gt;G$143,$D148&gt;G$143),(I$185/(1+$H$24)^I$186+J$185/(1+$H$24)^J$186+K$185/(1+$H$24)^K$186+L$185/(1+$H$24)^L$186+M$185/(1+$H$24)^M$186+$M$11*(1+G$143)*(1-G$143/$D148)/($H$24-G$143)/(1+$H$24)^$M$186-$H$203-$H$204)/$H$210,"n.a.")</x:f>
        <x:v>2126.3303806816407</x:v>
      </x:c>
      <x:c r="H148" s="73" t="n">
        <x:f>IF(AND($H$24&gt;H$143,$D148&gt;H$143),(I$185/(1+$H$24)^I$186+J$185/(1+$H$24)^J$186+K$185/(1+$H$24)^K$186+L$185/(1+$H$24)^L$186+M$185/(1+$H$24)^M$186+$M$11*(1+H$143)*(1-H$143/$D148)/($H$24-H$143)/(1+$H$24)^$M$186-$H$203-$H$204)/$H$210,"n.a.")</x:f>
        <x:v>2190.9257936298804</x:v>
      </x:c>
      <x:c r="I148" s="73" t="n">
        <x:f>IF(AND($H$24&gt;I$143,$D148&gt;I$143),(I$185/(1+$H$24)^I$186+J$185/(1+$H$24)^J$186+K$185/(1+$H$24)^K$186+L$185/(1+$H$24)^L$186+M$185/(1+$H$24)^M$186+$M$11*(1+I$143)*(1-I$143/$D148)/($H$24-I$143)/(1+$H$24)^$M$186-$H$203-$H$204)/$H$210,"n.a.")</x:f>
        <x:v>2263.4987911968337</x:v>
      </x:c>
      <x:c r="J148" s="3"/>
      <x:c r="K148" s="3"/>
      <x:c r="L148" s="3"/>
      <x:c r="M148" s="3"/>
      <x:c r="N148" s="2"/>
      <x:c r="O148" s="2"/>
    </x:row>
    <x:row r="149" ht="20" customHeight="1">
      <x:c r="C149" s="2"/>
      <x:c r="D149" s="3"/>
      <x:c r="E149" s="3"/>
      <x:c r="F149" s="3"/>
      <x:c r="G149" s="3"/>
      <x:c r="H149" s="3"/>
      <x:c r="I149" s="3"/>
      <x:c r="J149" s="3"/>
      <x:c r="K149" s="3"/>
      <x:c r="L149" s="3"/>
      <x:c r="M149" s="3"/>
      <x:c r="N149" s="2"/>
      <x:c r="O149" s="2"/>
    </x:row>
    <x:row r="150" ht="20" customHeight="1">
      <x:c r="C150" s="2"/>
      <x:c r="D150" s="3"/>
      <x:c r="E150" s="3"/>
      <x:c r="F150" s="3"/>
      <x:c r="G150" s="3"/>
      <x:c r="H150" s="3"/>
      <x:c r="I150" s="3"/>
      <x:c r="J150" s="3"/>
      <x:c r="K150" s="3"/>
      <x:c r="L150" s="3"/>
      <x:c r="M150" s="3"/>
      <x:c r="N150" s="2"/>
      <x:c r="O150" s="2"/>
    </x:row>
    <x:row r="151" ht="20" customHeight="1">
      <x:c r="C151" s="2"/>
      <x:c r="D151" s="3"/>
      <x:c r="E151" s="3"/>
      <x:c r="F151" s="3"/>
      <x:c r="G151" s="3"/>
      <x:c r="H151" s="3"/>
      <x:c r="I151" s="3"/>
      <x:c r="J151" s="3"/>
      <x:c r="K151" s="3"/>
      <x:c r="L151" s="3"/>
      <x:c r="M151" s="3"/>
      <x:c r="N151" s="2"/>
      <x:c r="O151" s="2"/>
    </x:row>
    <x:row r="152" ht="20" customHeight="1">
      <x:c r="C152" s="2"/>
      <x:c r="D152" s="3"/>
      <x:c r="E152" s="3"/>
      <x:c r="F152" s="3"/>
      <x:c r="G152" s="3"/>
      <x:c r="H152" s="3"/>
      <x:c r="I152" s="3"/>
      <x:c r="J152" s="3"/>
      <x:c r="K152" s="3"/>
      <x:c r="L152" s="3"/>
      <x:c r="M152" s="3"/>
      <x:c r="N152" s="2"/>
      <x:c r="O152" s="2"/>
    </x:row>
    <x:row r="153" ht="20" customHeight="1">
      <x:c r="C153" s="2"/>
      <x:c r="D153" s="3"/>
      <x:c r="E153" s="3"/>
      <x:c r="F153" s="3"/>
      <x:c r="G153" s="3"/>
      <x:c r="H153" s="3"/>
      <x:c r="I153" s="3"/>
      <x:c r="J153" s="3"/>
      <x:c r="K153" s="3"/>
      <x:c r="L153" s="3"/>
      <x:c r="M153" s="3"/>
      <x:c r="N153" s="2"/>
      <x:c r="O153" s="2"/>
    </x:row>
    <x:row r="154" ht="24" customHeight="1">
      <x:c r="C154" s="80" t="str">
        <x:v>Valuation review checks</x:v>
      </x:c>
      <x:c r="D154" s="81"/>
      <x:c r="E154" s="81"/>
      <x:c r="F154" s="81"/>
      <x:c r="G154" s="81"/>
      <x:c r="H154" s="81"/>
      <x:c r="I154" s="81"/>
      <x:c r="J154" s="81"/>
      <x:c r="K154" s="81"/>
      <x:c r="L154" s="81"/>
      <x:c r="M154" s="81"/>
      <x:c r="N154" s="2"/>
      <x:c r="O154" s="2"/>
    </x:row>
    <x:row r="155" ht="20" customHeight="1">
      <x:c r="C155" s="2"/>
      <x:c r="D155" s="3"/>
      <x:c r="E155" s="3"/>
      <x:c r="F155" s="3"/>
      <x:c r="G155" s="3"/>
      <x:c r="H155" s="3"/>
      <x:c r="I155" s="3"/>
      <x:c r="J155" s="3"/>
      <x:c r="K155" s="3"/>
      <x:c r="L155" s="3"/>
      <x:c r="M155" s="3"/>
      <x:c r="N155" s="2"/>
      <x:c r="O155" s="2"/>
    </x:row>
    <x:row r="156" ht="20" customHeight="1">
      <x:c r="C156" s="24" t="str">
        <x:v>WACC less terminal growth</x:v>
      </x:c>
      <x:c r="D156" s="25"/>
      <x:c r="E156" s="25"/>
      <x:c r="F156" s="25"/>
      <x:c r="G156" s="25"/>
      <x:c r="H156" s="66" t="n">
        <x:f>H24-H25</x:f>
        <x:v>0.08447490157367177</x:v>
      </x:c>
      <x:c r="I156" s="25"/>
      <x:c r="J156" s="25"/>
      <x:c r="K156" s="25"/>
      <x:c r="L156" s="25"/>
      <x:c r="M156" s="25"/>
      <x:c r="N156" s="2"/>
      <x:c r="O156" s="2"/>
    </x:row>
    <x:row r="157" ht="20" customHeight="1">
      <x:c r="C157" s="24" t="str">
        <x:v>Terminal ROIC less growth</x:v>
      </x:c>
      <x:c r="D157" s="25"/>
      <x:c r="E157" s="25"/>
      <x:c r="F157" s="25"/>
      <x:c r="G157" s="25"/>
      <x:c r="H157" s="66" t="n">
        <x:f>H26-H25</x:f>
        <x:v>0.11292212533645163</x:v>
      </x:c>
      <x:c r="I157" s="25"/>
      <x:c r="J157" s="25"/>
      <x:c r="K157" s="25"/>
      <x:c r="L157" s="25"/>
      <x:c r="M157" s="25"/>
      <x:c r="N157" s="2"/>
      <x:c r="O157" s="2"/>
    </x:row>
    <x:row r="158" ht="20" customHeight="1">
      <x:c r="C158" s="2" t="str">
        <x:v>WACC/growth center difference</x:v>
      </x:c>
      <x:c r="D158" s="100"/>
      <x:c r="E158" s="100"/>
      <x:c r="F158" s="100"/>
      <x:c r="G158" s="100"/>
      <x:c r="H158" s="101" t="n">
        <x:f>G52-H218</x:f>
        <x:v>0</x:v>
      </x:c>
      <x:c r="I158" s="100"/>
      <x:c r="J158" s="100"/>
      <x:c r="K158" s="100"/>
      <x:c r="L158" s="100"/>
      <x:c r="M158" s="100"/>
      <x:c r="N158" s="2"/>
      <x:c r="O158" s="2"/>
    </x:row>
    <x:row r="159" ht="20" customHeight="1">
      <x:c r="C159" s="2" t="str">
        <x:v>ROIC/growth center difference</x:v>
      </x:c>
      <x:c r="D159" s="100"/>
      <x:c r="E159" s="100"/>
      <x:c r="F159" s="100"/>
      <x:c r="G159" s="100"/>
      <x:c r="H159" s="101" t="n">
        <x:f>G146-H218</x:f>
        <x:v>0</x:v>
      </x:c>
      <x:c r="I159" s="100"/>
      <x:c r="J159" s="100"/>
      <x:c r="K159" s="100"/>
      <x:c r="L159" s="100"/>
      <x:c r="M159" s="100"/>
      <x:c r="N159" s="2"/>
      <x:c r="O159" s="2"/>
    </x:row>
    <x:row r="160" ht="20" customHeight="1">
      <x:c r="C160" s="2" t="str">
        <x:v>Capital weights less 100%</x:v>
      </x:c>
      <x:c r="D160" s="100"/>
      <x:c r="E160" s="100"/>
      <x:c r="F160" s="100"/>
      <x:c r="G160" s="100"/>
      <x:c r="H160" s="101" t="n">
        <x:f>SUM(H122:H123)-1</x:f>
        <x:v>0</x:v>
      </x:c>
      <x:c r="I160" s="100"/>
      <x:c r="J160" s="100"/>
      <x:c r="K160" s="100"/>
      <x:c r="L160" s="100"/>
      <x:c r="M160" s="100"/>
      <x:c r="N160" s="2"/>
      <x:c r="O160" s="2"/>
    </x:row>
    <x:row r="161" ht="20" customHeight="1">
      <x:c r="C161" s="2" t="str">
        <x:v>EV to equity bridge difference</x:v>
      </x:c>
      <x:c r="D161" s="100"/>
      <x:c r="E161" s="100"/>
      <x:c r="F161" s="100"/>
      <x:c r="G161" s="100"/>
      <x:c r="H161" s="101" t="n">
        <x:f>H39-H29-H30-H40</x:f>
        <x:v>0</x:v>
      </x:c>
      <x:c r="I161" s="100"/>
      <x:c r="J161" s="100"/>
      <x:c r="K161" s="100"/>
      <x:c r="L161" s="100"/>
      <x:c r="M161" s="100"/>
      <x:c r="N161" s="2"/>
      <x:c r="O161" s="2"/>
    </x:row>
    <x:row r="162" ht="20" customHeight="1">
      <x:c r="C162" s="2"/>
      <x:c r="D162" s="3"/>
      <x:c r="E162" s="3"/>
      <x:c r="F162" s="3"/>
      <x:c r="G162" s="3"/>
      <x:c r="H162" s="3"/>
      <x:c r="I162" s="3"/>
      <x:c r="J162" s="3"/>
      <x:c r="K162" s="3"/>
      <x:c r="L162" s="3"/>
      <x:c r="M162" s="3"/>
      <x:c r="N162" s="2"/>
      <x:c r="O162" s="2"/>
    </x:row>
    <x:row r="163" ht="20" customHeight="1">
      <x:c r="C163" s="2"/>
      <x:c r="D163" s="3"/>
      <x:c r="E163" s="3"/>
      <x:c r="F163" s="3"/>
      <x:c r="G163" s="3"/>
      <x:c r="H163" s="3"/>
      <x:c r="I163" s="3"/>
      <x:c r="J163" s="3"/>
      <x:c r="K163" s="3"/>
      <x:c r="L163" s="3"/>
      <x:c r="M163" s="3"/>
      <x:c r="N163" s="2"/>
      <x:c r="O163" s="2"/>
    </x:row>
    <x:row r="164" ht="20" customHeight="1">
      <x:c r="C164" s="2"/>
      <x:c r="D164" s="3"/>
      <x:c r="E164" s="3"/>
      <x:c r="F164" s="3"/>
      <x:c r="G164" s="3"/>
      <x:c r="H164" s="3"/>
      <x:c r="I164" s="3"/>
      <x:c r="J164" s="3"/>
      <x:c r="K164" s="3"/>
      <x:c r="L164" s="3"/>
      <x:c r="M164" s="3"/>
      <x:c r="N164" s="2"/>
      <x:c r="O164" s="2"/>
    </x:row>
    <x:row r="165" ht="20" customHeight="1">
      <x:c r="C165" s="2"/>
      <x:c r="D165" s="3"/>
      <x:c r="E165" s="3"/>
      <x:c r="F165" s="3"/>
      <x:c r="G165" s="3"/>
      <x:c r="H165" s="3"/>
      <x:c r="I165" s="3"/>
      <x:c r="J165" s="3"/>
      <x:c r="K165" s="3"/>
      <x:c r="L165" s="3"/>
      <x:c r="M165" s="3"/>
      <x:c r="N165" s="2"/>
      <x:c r="O165" s="2"/>
    </x:row>
    <x:row r="166" ht="20" customHeight="1">
      <x:c r="C166" s="2"/>
      <x:c r="D166" s="3"/>
      <x:c r="E166" s="3"/>
      <x:c r="F166" s="3"/>
      <x:c r="G166" s="3"/>
      <x:c r="H166" s="3"/>
      <x:c r="I166" s="3"/>
      <x:c r="J166" s="3"/>
      <x:c r="K166" s="3"/>
      <x:c r="L166" s="3"/>
      <x:c r="M166" s="3"/>
      <x:c r="N166" s="2"/>
      <x:c r="O166" s="2"/>
    </x:row>
    <x:row r="167" ht="20" customHeight="1">
      <x:c r="C167" s="2"/>
      <x:c r="D167" s="3"/>
      <x:c r="E167" s="3"/>
      <x:c r="F167" s="3"/>
      <x:c r="G167" s="3"/>
      <x:c r="H167" s="3"/>
      <x:c r="I167" s="3"/>
      <x:c r="J167" s="3"/>
      <x:c r="K167" s="3"/>
      <x:c r="L167" s="3"/>
      <x:c r="M167" s="3"/>
      <x:c r="N167" s="2"/>
      <x:c r="O167" s="2"/>
    </x:row>
    <x:row r="168" ht="20" customHeight="1">
      <x:c r="C168" s="2"/>
      <x:c r="D168" s="3"/>
      <x:c r="E168" s="3"/>
      <x:c r="F168" s="3"/>
      <x:c r="G168" s="3"/>
      <x:c r="H168" s="3"/>
      <x:c r="I168" s="3"/>
      <x:c r="J168" s="3"/>
      <x:c r="K168" s="3"/>
      <x:c r="L168" s="3"/>
      <x:c r="M168" s="3"/>
      <x:c r="N168" s="2"/>
      <x:c r="O168" s="2"/>
    </x:row>
    <x:row r="169" ht="20" customHeight="1">
      <x:c r="C169" s="2"/>
      <x:c r="D169" s="3"/>
      <x:c r="E169" s="3"/>
      <x:c r="F169" s="3"/>
      <x:c r="G169" s="3"/>
      <x:c r="H169" s="3"/>
      <x:c r="I169" s="3"/>
      <x:c r="J169" s="3"/>
      <x:c r="K169" s="3"/>
      <x:c r="L169" s="3"/>
      <x:c r="M169" s="3"/>
      <x:c r="N169" s="2"/>
      <x:c r="O169" s="2"/>
    </x:row>
    <x:row r="170" ht="20" customHeight="1">
      <x:c r="C170" s="2"/>
      <x:c r="D170" s="3"/>
      <x:c r="E170" s="3"/>
      <x:c r="F170" s="3"/>
      <x:c r="G170" s="3"/>
      <x:c r="H170" s="3"/>
      <x:c r="I170" s="3"/>
      <x:c r="J170" s="3"/>
      <x:c r="K170" s="3"/>
      <x:c r="L170" s="3"/>
      <x:c r="M170" s="3"/>
      <x:c r="N170" s="2"/>
      <x:c r="O170" s="2"/>
    </x:row>
    <x:row r="171" ht="20" customHeight="1">
      <x:c r="C171" s="2"/>
      <x:c r="D171" s="3"/>
      <x:c r="E171" s="3"/>
      <x:c r="F171" s="3"/>
      <x:c r="G171" s="3"/>
      <x:c r="H171" s="3"/>
      <x:c r="I171" s="3"/>
      <x:c r="J171" s="3"/>
      <x:c r="K171" s="3"/>
      <x:c r="L171" s="3"/>
      <x:c r="M171" s="3"/>
      <x:c r="N171" s="2"/>
      <x:c r="O171" s="2"/>
    </x:row>
    <x:row r="172" ht="20" customHeight="1">
      <x:c r="C172" s="2"/>
      <x:c r="D172" s="3"/>
      <x:c r="E172" s="3"/>
      <x:c r="F172" s="3"/>
      <x:c r="G172" s="3"/>
      <x:c r="H172" s="3"/>
      <x:c r="I172" s="3"/>
      <x:c r="J172" s="3"/>
      <x:c r="K172" s="3"/>
      <x:c r="L172" s="3"/>
      <x:c r="M172" s="3"/>
      <x:c r="N172" s="2"/>
      <x:c r="O172" s="2"/>
    </x:row>
    <x:row r="173" ht="20" customHeight="1">
      <x:c r="C173" s="2"/>
      <x:c r="D173" s="3"/>
      <x:c r="E173" s="3"/>
      <x:c r="F173" s="3"/>
      <x:c r="G173" s="3"/>
      <x:c r="H173" s="3"/>
      <x:c r="I173" s="3"/>
      <x:c r="J173" s="3"/>
      <x:c r="K173" s="3"/>
      <x:c r="L173" s="3"/>
      <x:c r="M173" s="3"/>
      <x:c r="N173" s="2"/>
      <x:c r="O173" s="2"/>
    </x:row>
    <x:row r="174" ht="20" customHeight="1">
      <x:c r="C174" s="2"/>
      <x:c r="D174" s="3"/>
      <x:c r="E174" s="3"/>
      <x:c r="F174" s="3"/>
      <x:c r="G174" s="3"/>
      <x:c r="H174" s="3"/>
      <x:c r="I174" s="3"/>
      <x:c r="J174" s="3"/>
      <x:c r="K174" s="3"/>
      <x:c r="L174" s="3"/>
      <x:c r="M174" s="3"/>
      <x:c r="N174" s="2"/>
      <x:c r="O174" s="2"/>
    </x:row>
    <x:row r="175" ht="20" customHeight="1">
      <x:c r="C175" s="2"/>
      <x:c r="D175" s="3"/>
      <x:c r="E175" s="3"/>
      <x:c r="F175" s="3"/>
      <x:c r="G175" s="3"/>
      <x:c r="H175" s="3"/>
      <x:c r="I175" s="3"/>
      <x:c r="J175" s="3"/>
      <x:c r="K175" s="3"/>
      <x:c r="L175" s="3"/>
      <x:c r="M175" s="3"/>
      <x:c r="N175" s="2"/>
      <x:c r="O175" s="2"/>
    </x:row>
    <x:row r="176" ht="20" customHeight="1">
      <x:c r="C176" s="2"/>
      <x:c r="D176" s="3"/>
      <x:c r="E176" s="3"/>
      <x:c r="F176" s="3"/>
      <x:c r="G176" s="3"/>
      <x:c r="H176" s="3"/>
      <x:c r="I176" s="3"/>
      <x:c r="J176" s="3"/>
      <x:c r="K176" s="3"/>
      <x:c r="L176" s="3"/>
      <x:c r="M176" s="3"/>
      <x:c r="N176" s="2"/>
      <x:c r="O176" s="2"/>
    </x:row>
    <x:row r="177" ht="20" customHeight="1">
      <x:c r="C177" s="2"/>
      <x:c r="D177" s="3"/>
      <x:c r="E177" s="3"/>
      <x:c r="F177" s="3"/>
      <x:c r="G177" s="3"/>
      <x:c r="H177" s="3"/>
      <x:c r="I177" s="3"/>
      <x:c r="J177" s="3"/>
      <x:c r="K177" s="3"/>
      <x:c r="L177" s="3"/>
      <x:c r="M177" s="3"/>
      <x:c r="N177" s="2"/>
      <x:c r="O177" s="2"/>
    </x:row>
    <x:row r="178" ht="20" customHeight="1">
      <x:c r="C178" s="2"/>
      <x:c r="D178" s="3"/>
      <x:c r="E178" s="3"/>
      <x:c r="F178" s="3"/>
      <x:c r="G178" s="3"/>
      <x:c r="H178" s="3"/>
      <x:c r="I178" s="3"/>
      <x:c r="J178" s="3"/>
      <x:c r="K178" s="3"/>
      <x:c r="L178" s="3"/>
      <x:c r="M178" s="3"/>
      <x:c r="N178" s="2"/>
      <x:c r="O178" s="2"/>
    </x:row>
    <x:row r="179" ht="20" customHeight="1">
      <x:c r="C179" s="2"/>
      <x:c r="D179" s="3"/>
      <x:c r="E179" s="3"/>
      <x:c r="F179" s="3"/>
      <x:c r="G179" s="3"/>
      <x:c r="H179" s="3"/>
      <x:c r="I179" s="3"/>
      <x:c r="J179" s="3"/>
      <x:c r="K179" s="3"/>
      <x:c r="L179" s="3"/>
      <x:c r="M179" s="3"/>
      <x:c r="N179" s="2"/>
      <x:c r="O179" s="2"/>
    </x:row>
    <x:row r="180" ht="24" customHeight="1">
      <x:c r="C180" s="80" t="str">
        <x:v>September DCF: remaining cash flows and estimated claims</x:v>
      </x:c>
      <x:c r="D180" s="81"/>
      <x:c r="E180" s="81"/>
      <x:c r="F180" s="81"/>
      <x:c r="G180" s="81"/>
      <x:c r="H180" s="81"/>
      <x:c r="I180" s="81"/>
      <x:c r="J180" s="81"/>
      <x:c r="K180" s="81"/>
      <x:c r="L180" s="81"/>
      <x:c r="M180" s="81"/>
      <x:c r="N180" s="2"/>
      <x:c r="O180" s="2"/>
    </x:row>
    <x:row r="181" ht="20" customHeight="1">
      <x:c r="C181" s="2"/>
      <x:c r="D181" s="3"/>
      <x:c r="E181" s="3"/>
      <x:c r="F181" s="3"/>
      <x:c r="G181" s="3"/>
      <x:c r="H181" s="3"/>
      <x:c r="I181" s="3"/>
      <x:c r="J181" s="3"/>
      <x:c r="K181" s="3"/>
      <x:c r="L181" s="3"/>
      <x:c r="M181" s="3"/>
      <x:c r="N181" s="2"/>
      <x:c r="O181" s="2"/>
    </x:row>
    <x:row r="182" ht="20" customHeight="1">
      <x:c r="C182" s="2" t="str">
        <x:v>Common valuation date</x:v>
      </x:c>
      <x:c r="D182" s="3"/>
      <x:c r="E182" s="3"/>
      <x:c r="F182" s="3"/>
      <x:c r="G182" s="3"/>
      <x:c r="H182" s="109" t="n">
        <x:f>'00_Cover+Sources'!H312</x:f>
        <x:v>46276</x:v>
      </x:c>
      <x:c r="I182" s="3"/>
      <x:c r="J182" s="3"/>
      <x:c r="K182" s="3"/>
      <x:c r="L182" s="3"/>
      <x:c r="M182" s="3"/>
      <x:c r="N182" s="2"/>
      <x:c r="O182" s="2"/>
    </x:row>
    <x:row r="183" ht="20" customHeight="1">
      <x:c r="C183" s="24" t="str">
        <x:v>FY27 elapsed fraction, actual days / 365</x:v>
      </x:c>
      <x:c r="D183" s="25"/>
      <x:c r="E183" s="25"/>
      <x:c r="F183" s="25"/>
      <x:c r="G183" s="25"/>
      <x:c r="H183" s="26" t="n">
        <x:f>(H182-'00_Cover+Sources'!H234)/365</x:f>
        <x:v>0.44931506849315067</x:v>
      </x:c>
      <x:c r="I183" s="25"/>
      <x:c r="J183" s="25"/>
      <x:c r="K183" s="25"/>
      <x:c r="L183" s="25"/>
      <x:c r="M183" s="25"/>
      <x:c r="N183" s="2"/>
      <x:c r="O183" s="2"/>
    </x:row>
    <x:row r="184" ht="24" customHeight="1">
      <x:c r="C184" s="2"/>
      <x:c r="D184" s="3"/>
      <x:c r="E184" s="3"/>
      <x:c r="F184" s="3"/>
      <x:c r="G184" s="3"/>
      <x:c r="H184" s="3"/>
      <x:c r="I184" s="81" t="str">
        <x:v>FY27E</x:v>
      </x:c>
      <x:c r="J184" s="81" t="str">
        <x:v>FY28E</x:v>
      </x:c>
      <x:c r="K184" s="81" t="str">
        <x:v>FY29E</x:v>
      </x:c>
      <x:c r="L184" s="81" t="str">
        <x:v>FY30E</x:v>
      </x:c>
      <x:c r="M184" s="81" t="str">
        <x:v>FY31E</x:v>
      </x:c>
      <x:c r="N184" s="2"/>
      <x:c r="O184" s="2"/>
    </x:row>
    <x:row r="185" ht="20" customHeight="1">
      <x:c r="C185" s="2" t="str">
        <x:v>Remaining forecast FCFF</x:v>
      </x:c>
      <x:c r="D185" s="3"/>
      <x:c r="E185" s="3"/>
      <x:c r="F185" s="3"/>
      <x:c r="G185" s="3"/>
      <x:c r="H185" s="3"/>
      <x:c r="I185" s="14" t="n">
        <x:f>I16*(1-$H$183)</x:f>
        <x:v>617.207178755044</x:v>
      </x:c>
      <x:c r="J185" s="14" t="n">
        <x:f>J16*1</x:f>
        <x:v>10036.163945279717</x:v>
      </x:c>
      <x:c r="K185" s="14" t="n">
        <x:f>K16*1</x:f>
        <x:v>14091.086790474732</x:v>
      </x:c>
      <x:c r="L185" s="14" t="n">
        <x:f>L16*1</x:f>
        <x:v>18274.517319029375</x:v>
      </x:c>
      <x:c r="M185" s="14" t="n">
        <x:f>M16*1</x:f>
        <x:v>23349.792028214426</x:v>
      </x:c>
      <x:c r="N185" s="2"/>
      <x:c r="O185" s="2"/>
    </x:row>
    <x:row r="186" ht="20" customHeight="1">
      <x:c r="C186" s="2" t="str">
        <x:v>Remaining discount years</x:v>
      </x:c>
      <x:c r="D186" s="3"/>
      <x:c r="E186" s="3"/>
      <x:c r="F186" s="3"/>
      <x:c r="G186" s="3"/>
      <x:c r="H186" s="3"/>
      <x:c r="I186" s="14" t="n">
        <x:f>1-$H$183</x:f>
        <x:v>0.5506849315068494</x:v>
      </x:c>
      <x:c r="J186" s="14" t="n">
        <x:f>2-$H$183</x:f>
        <x:v>1.5506849315068494</x:v>
      </x:c>
      <x:c r="K186" s="14" t="n">
        <x:f>3-$H$183</x:f>
        <x:v>2.5506849315068494</x:v>
      </x:c>
      <x:c r="L186" s="14" t="n">
        <x:f>4-$H$183</x:f>
        <x:v>3.5506849315068494</x:v>
      </x:c>
      <x:c r="M186" s="14" t="n">
        <x:f>5-$H$183</x:f>
        <x:v>4.550684931506849</x:v>
      </x:c>
      <x:c r="N186" s="2"/>
      <x:c r="O186" s="2"/>
    </x:row>
    <x:row r="187" ht="20" customHeight="1">
      <x:c r="C187" s="2" t="str">
        <x:v>Discount factor</x:v>
      </x:c>
      <x:c r="D187" s="3"/>
      <x:c r="E187" s="3"/>
      <x:c r="F187" s="3"/>
      <x:c r="G187" s="3"/>
      <x:c r="H187" s="3"/>
      <x:c r="I187" s="14" t="n">
        <x:f>1/(1+$H$24)^I186</x:f>
        <x:v>0.937438382681175</x:v>
      </x:c>
      <x:c r="J187" s="14" t="n">
        <x:f>1/(1+$H$24)^J186</x:f>
        <x:v>0.8336676802383546</x:v>
      </x:c>
      <x:c r="K187" s="14" t="n">
        <x:f>1/(1+$H$24)^K186</x:f>
        <x:v>0.7413839820450057</x:v>
      </x:c>
      <x:c r="L187" s="14" t="n">
        <x:f>1/(1+$H$24)^L186</x:f>
        <x:v>0.659315722394034</x:v>
      </x:c>
      <x:c r="M187" s="14" t="n">
        <x:f>1/(1+$H$24)^M186</x:f>
        <x:v>0.5863320928473724</x:v>
      </x:c>
      <x:c r="N187" s="2"/>
      <x:c r="O187" s="2"/>
    </x:row>
    <x:row r="188" ht="20" customHeight="1">
      <x:c r="C188" s="95" t="str">
        <x:v>Present value of remaining FCFF</x:v>
      </x:c>
      <x:c r="D188" s="96"/>
      <x:c r="E188" s="96"/>
      <x:c r="F188" s="96"/>
      <x:c r="G188" s="96"/>
      <x:c r="H188" s="96"/>
      <x:c r="I188" s="98" t="n">
        <x:f>I185*I187</x:f>
        <x:v>578.5936994313392</x:v>
      </x:c>
      <x:c r="J188" s="98" t="n">
        <x:f>J185*J187</x:f>
        <x:v>8366.825514753154</x:v>
      </x:c>
      <x:c r="K188" s="98" t="n">
        <x:f>K185*K187</x:f>
        <x:v>10446.906036063936</x:v>
      </x:c>
      <x:c r="L188" s="98" t="n">
        <x:f>L185*L187</x:f>
        <x:v>12048.676587598138</x:v>
      </x:c>
      <x:c r="M188" s="98" t="n">
        <x:f>M185*M187</x:f>
        <x:v>13690.732427453857</x:v>
      </x:c>
      <x:c r="N188" s="2"/>
      <x:c r="O188" s="2"/>
    </x:row>
    <x:row r="189" ht="20" customHeight="1">
      <x:c r="C189" s="2"/>
      <x:c r="D189" s="3"/>
      <x:c r="E189" s="3"/>
      <x:c r="F189" s="3"/>
      <x:c r="G189" s="3"/>
      <x:c r="H189" s="3"/>
      <x:c r="I189" s="3"/>
      <x:c r="J189" s="3"/>
      <x:c r="K189" s="3"/>
      <x:c r="L189" s="3"/>
      <x:c r="M189" s="3"/>
      <x:c r="N189" s="2"/>
      <x:c r="O189" s="2"/>
    </x:row>
    <x:row r="190" ht="20" customHeight="1">
      <x:c r="C190" s="2" t="str">
        <x:v>PV of remaining explicit cash flows</x:v>
      </x:c>
      <x:c r="D190" s="3"/>
      <x:c r="E190" s="3"/>
      <x:c r="F190" s="3"/>
      <x:c r="G190" s="3"/>
      <x:c r="H190" s="14" t="n">
        <x:f>SUM(I188:M188)</x:f>
        <x:v>45131.73426530042</x:v>
      </x:c>
      <x:c r="I190" s="3"/>
      <x:c r="J190" s="3"/>
      <x:c r="K190" s="3"/>
      <x:c r="L190" s="3"/>
      <x:c r="M190" s="3"/>
      <x:c r="N190" s="2"/>
      <x:c r="O190" s="2"/>
    </x:row>
    <x:row r="191" ht="20" customHeight="1">
      <x:c r="C191" s="2" t="str">
        <x:v>PV of terminal value</x:v>
      </x:c>
      <x:c r="D191" s="3"/>
      <x:c r="E191" s="3"/>
      <x:c r="F191" s="3"/>
      <x:c r="G191" s="3"/>
      <x:c r="H191" s="14" t="n">
        <x:f>H36/(H24-H25)/(1+H24)^M186</x:f>
        <x:v>274812.35557777906</x:v>
      </x:c>
      <x:c r="I191" s="3"/>
      <x:c r="J191" s="3"/>
      <x:c r="K191" s="3"/>
      <x:c r="L191" s="3"/>
      <x:c r="M191" s="3"/>
      <x:c r="N191" s="2"/>
      <x:c r="O191" s="2"/>
    </x:row>
    <x:row r="192" ht="20" customHeight="1">
      <x:c r="C192" s="95" t="str">
        <x:v>September enterprise value</x:v>
      </x:c>
      <x:c r="D192" s="96"/>
      <x:c r="E192" s="96"/>
      <x:c r="F192" s="96"/>
      <x:c r="G192" s="96"/>
      <x:c r="H192" s="98" t="n">
        <x:f>SUM(H190:H191)</x:f>
        <x:v>319944.0898430795</x:v>
      </x:c>
      <x:c r="I192" s="96"/>
      <x:c r="J192" s="96"/>
      <x:c r="K192" s="96"/>
      <x:c r="L192" s="96"/>
      <x:c r="M192" s="96"/>
      <x:c r="N192" s="2"/>
      <x:c r="O192" s="2"/>
    </x:row>
    <x:row r="193" ht="20" customHeight="1">
      <x:c r="C193" s="2"/>
      <x:c r="D193" s="3"/>
      <x:c r="E193" s="3"/>
      <x:c r="F193" s="3"/>
      <x:c r="G193" s="3"/>
      <x:c r="H193" s="3"/>
      <x:c r="I193" s="3"/>
      <x:c r="J193" s="3"/>
      <x:c r="K193" s="3"/>
      <x:c r="L193" s="3"/>
      <x:c r="M193" s="3"/>
      <x:c r="N193" s="2"/>
      <x:c r="O193" s="2"/>
    </x:row>
    <x:row r="194" ht="20" customHeight="1">
      <x:c r="C194" s="2"/>
      <x:c r="D194" s="3"/>
      <x:c r="E194" s="3"/>
      <x:c r="F194" s="3"/>
      <x:c r="G194" s="3"/>
      <x:c r="H194" s="3"/>
      <x:c r="I194" s="3"/>
      <x:c r="J194" s="3"/>
      <x:c r="K194" s="3"/>
      <x:c r="L194" s="3"/>
      <x:c r="M194" s="3"/>
      <x:c r="N194" s="2"/>
      <x:c r="O194" s="2"/>
    </x:row>
    <x:row r="195" ht="20" customHeight="1">
      <x:c r="C195" s="2" t="str">
        <x:v>Borrowings and leases, estimated</x:v>
      </x:c>
      <x:c r="D195" s="3"/>
      <x:c r="E195" s="3"/>
      <x:c r="F195" s="3"/>
      <x:c r="G195" s="3"/>
      <x:c r="H195" s="22" t="n">
        <x:f>SUM('03_3Statement+Schedules'!H45,'03_3Statement+Schedules'!H46)+$H$183*(SUM('03_3Statement+Schedules'!I45,'03_3Statement+Schedules'!I46)-SUM('03_3Statement+Schedules'!H45,'03_3Statement+Schedules'!H46))</x:f>
        <x:v>2355.17</x:v>
      </x:c>
      <x:c r="I195" s="3"/>
      <x:c r="J195" s="3"/>
      <x:c r="K195" s="3"/>
      <x:c r="L195" s="3"/>
      <x:c r="M195" s="3"/>
      <x:c r="N195" s="2"/>
      <x:c r="O195" s="2"/>
    </x:row>
    <x:row r="196" ht="20" customHeight="1">
      <x:c r="C196" s="2" t="str">
        <x:v>Supplier acceptances, estimated</x:v>
      </x:c>
      <x:c r="D196" s="3"/>
      <x:c r="E196" s="3"/>
      <x:c r="F196" s="3"/>
      <x:c r="G196" s="3"/>
      <x:c r="H196" s="22" t="n">
        <x:f>'03_3Statement+Schedules'!H47+$H$183*('03_3Statement+Schedules'!I47-'03_3Statement+Schedules'!H47)</x:f>
        <x:v>37615.39822536869</x:v>
      </x:c>
      <x:c r="I196" s="3"/>
      <x:c r="J196" s="3"/>
      <x:c r="K196" s="3"/>
      <x:c r="L196" s="3"/>
      <x:c r="M196" s="3"/>
      <x:c r="N196" s="2"/>
      <x:c r="O196" s="2"/>
    </x:row>
    <x:row r="197" ht="20" customHeight="1">
      <x:c r="C197" s="2" t="str">
        <x:v>Treasury before dividend timing adjustment</x:v>
      </x:c>
      <x:c r="D197" s="3"/>
      <x:c r="E197" s="3"/>
      <x:c r="F197" s="3"/>
      <x:c r="G197" s="3"/>
      <x:c r="H197" s="22" t="n">
        <x:f>'03_3Statement+Schedules'!H39+$H$183*('03_3Statement+Schedules'!I39-'03_3Statement+Schedules'!H39)</x:f>
        <x:v>34732.79470689727</x:v>
      </x:c>
      <x:c r="I197" s="3"/>
      <x:c r="J197" s="3"/>
      <x:c r="K197" s="3"/>
      <x:c r="L197" s="3"/>
      <x:c r="M197" s="3"/>
      <x:c r="N197" s="2"/>
      <x:c r="O197" s="2"/>
    </x:row>
    <x:row r="198" ht="20" customHeight="1">
      <x:c r="C198" s="2" t="str">
        <x:v>Dividend / equity-proceeds adjustment</x:v>
      </x:c>
      <x:c r="D198" s="3"/>
      <x:c r="E198" s="3"/>
      <x:c r="F198" s="3"/>
      <x:c r="G198" s="3"/>
      <x:c r="H198" s="22" t="n">
        <x:f>-$H$183*'03_3Statement+Schedules'!I78-'00_Cover+Sources'!H317+'00_Cover+Sources'!H319</x:f>
        <x:v>-2836.9525134387377</x:v>
      </x:c>
      <x:c r="I198" s="3"/>
      <x:c r="J198" s="3"/>
      <x:c r="K198" s="3"/>
      <x:c r="L198" s="3"/>
      <x:c r="M198" s="3"/>
      <x:c r="N198" s="2"/>
      <x:c r="O198" s="2"/>
    </x:row>
    <x:row r="199" ht="20" customHeight="1">
      <x:c r="C199" s="95" t="str">
        <x:v>Estimated September treasury</x:v>
      </x:c>
      <x:c r="D199" s="96"/>
      <x:c r="E199" s="96"/>
      <x:c r="F199" s="96"/>
      <x:c r="G199" s="96"/>
      <x:c r="H199" s="98" t="n">
        <x:f>SUM(H197:H198)</x:f>
        <x:v>31895.842193458535</x:v>
      </x:c>
      <x:c r="I199" s="96"/>
      <x:c r="J199" s="96"/>
      <x:c r="K199" s="96"/>
      <x:c r="L199" s="96"/>
      <x:c r="M199" s="96"/>
      <x:c r="N199" s="2"/>
      <x:c r="O199" s="2"/>
    </x:row>
    <x:row r="200" ht="20" customHeight="1">
      <x:c r="C200" s="2" t="str">
        <x:v>Required operating cash reserve</x:v>
      </x:c>
      <x:c r="D200" s="3"/>
      <x:c r="E200" s="3"/>
      <x:c r="F200" s="3"/>
      <x:c r="G200" s="3"/>
      <x:c r="H200" s="22" t="n">
        <x:f>'03_3Statement+Schedules'!H156+$H$183*('03_3Statement+Schedules'!I156-'03_3Statement+Schedules'!H156)</x:f>
        <x:v>4311.613690316285</x:v>
      </x:c>
      <x:c r="I200" s="3"/>
      <x:c r="J200" s="3"/>
      <x:c r="K200" s="3"/>
      <x:c r="L200" s="3"/>
      <x:c r="M200" s="3"/>
      <x:c r="N200" s="2"/>
      <x:c r="O200" s="2"/>
    </x:row>
    <x:row r="201" ht="20" customHeight="1">
      <x:c r="C201" s="2" t="str">
        <x:v>Other bank balances reserved</x:v>
      </x:c>
      <x:c r="D201" s="3"/>
      <x:c r="E201" s="3"/>
      <x:c r="F201" s="3"/>
      <x:c r="G201" s="3"/>
      <x:c r="H201" s="22" t="n">
        <x:f>'03_3Statement+Schedules'!H157+$H$183*('03_3Statement+Schedules'!I157-'03_3Statement+Schedules'!H157)</x:f>
        <x:v>4921.27</x:v>
      </x:c>
      <x:c r="I201" s="3"/>
      <x:c r="J201" s="3"/>
      <x:c r="K201" s="3"/>
      <x:c r="L201" s="3"/>
      <x:c r="M201" s="3"/>
      <x:c r="N201" s="2"/>
      <x:c r="O201" s="2"/>
    </x:row>
    <x:row r="202" ht="20" customHeight="1">
      <x:c r="C202" s="2" t="str">
        <x:v>Surplus treasury available to equity</x:v>
      </x:c>
      <x:c r="D202" s="3"/>
      <x:c r="E202" s="3"/>
      <x:c r="F202" s="3"/>
      <x:c r="G202" s="3"/>
      <x:c r="H202" s="14" t="n">
        <x:f>H199-SUM(H200:H201)</x:f>
        <x:v>22662.95850314225</x:v>
      </x:c>
      <x:c r="I202" s="3"/>
      <x:c r="J202" s="3"/>
      <x:c r="K202" s="3"/>
      <x:c r="L202" s="3"/>
      <x:c r="M202" s="3"/>
      <x:c r="N202" s="2"/>
      <x:c r="O202" s="2"/>
    </x:row>
    <x:row r="203" ht="20" customHeight="1">
      <x:c r="C203" s="95" t="str">
        <x:v>Net financing claims</x:v>
      </x:c>
      <x:c r="D203" s="96"/>
      <x:c r="E203" s="96"/>
      <x:c r="F203" s="96"/>
      <x:c r="G203" s="96"/>
      <x:c r="H203" s="98" t="n">
        <x:f>SUM(H195:H196)-H202</x:f>
        <x:v>17307.60972222644</x:v>
      </x:c>
      <x:c r="I203" s="96"/>
      <x:c r="J203" s="96"/>
      <x:c r="K203" s="96"/>
      <x:c r="L203" s="96"/>
      <x:c r="M203" s="96"/>
      <x:c r="N203" s="2"/>
      <x:c r="O203" s="2"/>
    </x:row>
    <x:row r="204" ht="20" customHeight="1">
      <x:c r="C204" s="2" t="str">
        <x:v>Non-controlling interest proxy</x:v>
      </x:c>
      <x:c r="D204" s="3"/>
      <x:c r="E204" s="3"/>
      <x:c r="F204" s="3"/>
      <x:c r="G204" s="3"/>
      <x:c r="H204" s="22" t="n">
        <x:f>'03_3Statement+Schedules'!H44+$H$183*('03_3Statement+Schedules'!I44-'03_3Statement+Schedules'!H44)</x:f>
        <x:v>1374.5623653511648</x:v>
      </x:c>
      <x:c r="I204" s="3"/>
      <x:c r="J204" s="3"/>
      <x:c r="K204" s="3"/>
      <x:c r="L204" s="3"/>
      <x:c r="M204" s="3"/>
      <x:c r="N204" s="2"/>
      <x:c r="O204" s="2"/>
    </x:row>
    <x:row r="205" ht="20" customHeight="1">
      <x:c r="C205" s="2"/>
      <x:c r="D205" s="3"/>
      <x:c r="E205" s="3"/>
      <x:c r="F205" s="3"/>
      <x:c r="G205" s="3"/>
      <x:c r="H205" s="3"/>
      <x:c r="I205" s="3"/>
      <x:c r="J205" s="3"/>
      <x:c r="K205" s="3"/>
      <x:c r="L205" s="3"/>
      <x:c r="M205" s="3"/>
      <x:c r="N205" s="2"/>
      <x:c r="O205" s="2"/>
    </x:row>
    <x:row r="206" ht="20" customHeight="1">
      <x:c r="C206" s="95" t="str">
        <x:v>September equity value</x:v>
      </x:c>
      <x:c r="D206" s="96"/>
      <x:c r="E206" s="96"/>
      <x:c r="F206" s="96"/>
      <x:c r="G206" s="96"/>
      <x:c r="H206" s="98" t="n">
        <x:f>H192-H203-H204</x:f>
        <x:v>301261.91775550187</x:v>
      </x:c>
      <x:c r="I206" s="96"/>
      <x:c r="J206" s="96"/>
      <x:c r="K206" s="96"/>
      <x:c r="L206" s="96"/>
      <x:c r="M206" s="96"/>
      <x:c r="N206" s="2"/>
      <x:c r="O206" s="2"/>
    </x:row>
    <x:row r="207" ht="20" customHeight="1">
      <x:c r="C207" s="2"/>
      <x:c r="D207" s="3"/>
      <x:c r="E207" s="3"/>
      <x:c r="F207" s="3"/>
      <x:c r="G207" s="3"/>
      <x:c r="H207" s="3"/>
      <x:c r="I207" s="3"/>
      <x:c r="J207" s="3"/>
      <x:c r="K207" s="3"/>
      <x:c r="L207" s="3"/>
      <x:c r="M207" s="3"/>
      <x:c r="N207" s="2"/>
      <x:c r="O207" s="2"/>
    </x:row>
    <x:row r="208" ht="20" customHeight="1">
      <x:c r="C208" s="2" t="str">
        <x:v>Basic shares, fresh provider proxy (million)</x:v>
      </x:c>
      <x:c r="D208" s="3"/>
      <x:c r="E208" s="3"/>
      <x:c r="F208" s="3"/>
      <x:c r="G208" s="3"/>
      <x:c r="H208" s="155" t="n">
        <x:f>'00_Cover+Sources'!H315/'00_Cover+Sources'!H314</x:f>
        <x:v>150.68192888455917</x:v>
      </x:c>
      <x:c r="I208" s="3"/>
      <x:c r="J208" s="3"/>
      <x:c r="K208" s="3"/>
      <x:c r="L208" s="3"/>
      <x:c r="M208" s="3"/>
      <x:c r="N208" s="2"/>
      <x:c r="O208" s="2"/>
    </x:row>
    <x:row r="209" ht="20" customHeight="1">
      <x:c r="C209" s="2" t="str">
        <x:v>FY26 option dilution increment (million)</x:v>
      </x:c>
      <x:c r="D209" s="3"/>
      <x:c r="E209" s="3"/>
      <x:c r="F209" s="3"/>
      <x:c r="G209" s="3"/>
      <x:c r="H209" s="155" t="n">
        <x:f>'01_Historical+Segments'!H166-'01_Historical+Segments'!H165</x:f>
        <x:v>0.4918299999999931</x:v>
      </x:c>
      <x:c r="I209" s="3"/>
      <x:c r="J209" s="3"/>
      <x:c r="K209" s="3"/>
      <x:c r="L209" s="3"/>
      <x:c r="M209" s="3"/>
      <x:c r="N209" s="2"/>
      <x:c r="O209" s="2"/>
    </x:row>
    <x:row r="210" ht="20" customHeight="1">
      <x:c r="C210" s="95" t="str">
        <x:v>Diluted shares proxy (million)</x:v>
      </x:c>
      <x:c r="D210" s="96"/>
      <x:c r="E210" s="96"/>
      <x:c r="F210" s="96"/>
      <x:c r="G210" s="96"/>
      <x:c r="H210" s="156" t="n">
        <x:f>SUM(H208:H209)</x:f>
        <x:v>151.17375888455916</x:v>
      </x:c>
      <x:c r="I210" s="96"/>
      <x:c r="J210" s="96"/>
      <x:c r="K210" s="96"/>
      <x:c r="L210" s="96"/>
      <x:c r="M210" s="96"/>
      <x:c r="N210" s="2"/>
      <x:c r="O210" s="2"/>
    </x:row>
    <x:row r="211" ht="20" customHeight="1">
      <x:c r="C211" s="2"/>
      <x:c r="D211" s="3"/>
      <x:c r="E211" s="3"/>
      <x:c r="F211" s="3"/>
      <x:c r="G211" s="3"/>
      <x:c r="H211" s="3"/>
      <x:c r="I211" s="3"/>
      <x:c r="J211" s="3"/>
      <x:c r="K211" s="3"/>
      <x:c r="L211" s="3"/>
      <x:c r="M211" s="3"/>
      <x:c r="N211" s="2"/>
      <x:c r="O211" s="2"/>
    </x:row>
    <x:row r="212" ht="20" customHeight="1">
      <x:c r="C212" s="2" t="str">
        <x:v>Common-date market price (INR)</x:v>
      </x:c>
      <x:c r="D212" s="104"/>
      <x:c r="E212" s="104"/>
      <x:c r="F212" s="104"/>
      <x:c r="G212" s="104"/>
      <x:c r="H212" s="106" t="n">
        <x:f>'00_Cover+Sources'!D150</x:f>
        <x:v>8241</x:v>
      </x:c>
      <x:c r="I212" s="104"/>
      <x:c r="J212" s="104"/>
      <x:c r="K212" s="104"/>
      <x:c r="L212" s="104"/>
      <x:c r="M212" s="104"/>
      <x:c r="N212" s="2"/>
      <x:c r="O212" s="2"/>
    </x:row>
    <x:row r="213" ht="20" customHeight="1">
      <x:c r="C213" s="2"/>
      <x:c r="D213" s="3"/>
      <x:c r="E213" s="3"/>
      <x:c r="F213" s="3"/>
      <x:c r="G213" s="3"/>
      <x:c r="H213" s="3"/>
      <x:c r="I213" s="3"/>
      <x:c r="J213" s="3"/>
      <x:c r="K213" s="3"/>
      <x:c r="L213" s="3"/>
      <x:c r="M213" s="3"/>
      <x:c r="N213" s="2"/>
      <x:c r="O213" s="2"/>
    </x:row>
    <x:row r="214" ht="20" customHeight="1">
      <x:c r="C214" s="2"/>
      <x:c r="D214" s="3"/>
      <x:c r="E214" s="3"/>
      <x:c r="F214" s="3"/>
      <x:c r="G214" s="3"/>
      <x:c r="H214" s="3"/>
      <x:c r="I214" s="3"/>
      <x:c r="J214" s="3"/>
      <x:c r="K214" s="3"/>
      <x:c r="L214" s="3"/>
      <x:c r="M214" s="3"/>
      <x:c r="N214" s="2"/>
      <x:c r="O214" s="2"/>
    </x:row>
    <x:row r="215" ht="20" customHeight="1">
      <x:c r="C215" s="2"/>
      <x:c r="D215" s="3"/>
      <x:c r="E215" s="3"/>
      <x:c r="F215" s="3"/>
      <x:c r="G215" s="3"/>
      <x:c r="H215" s="3"/>
      <x:c r="I215" s="3"/>
      <x:c r="J215" s="3"/>
      <x:c r="K215" s="3"/>
      <x:c r="L215" s="3"/>
      <x:c r="M215" s="3"/>
      <x:c r="N215" s="2"/>
      <x:c r="O215" s="2"/>
    </x:row>
    <x:row r="216" ht="20" customHeight="1">
      <x:c r="C216" s="2"/>
      <x:c r="D216" s="3"/>
      <x:c r="E216" s="3"/>
      <x:c r="F216" s="3"/>
      <x:c r="G216" s="3"/>
      <x:c r="H216" s="3"/>
      <x:c r="I216" s="3"/>
      <x:c r="J216" s="3"/>
      <x:c r="K216" s="3"/>
      <x:c r="L216" s="3"/>
      <x:c r="M216" s="3"/>
      <x:c r="N216" s="2"/>
      <x:c r="O216" s="2"/>
    </x:row>
    <x:row r="217" ht="20" customHeight="1">
      <x:c r="C217" s="2"/>
      <x:c r="D217" s="3"/>
      <x:c r="E217" s="3"/>
      <x:c r="F217" s="3"/>
      <x:c r="G217" s="3"/>
      <x:c r="H217" s="3"/>
      <x:c r="I217" s="3"/>
      <x:c r="J217" s="3"/>
      <x:c r="K217" s="3"/>
      <x:c r="L217" s="3"/>
      <x:c r="M217" s="3"/>
      <x:c r="N217" s="2"/>
      <x:c r="O217" s="2"/>
    </x:row>
    <x:row r="218" ht="20" customHeight="1">
      <x:c r="C218" s="95" t="str">
        <x:v>September DCF value per share (INR)</x:v>
      </x:c>
      <x:c r="D218" s="146"/>
      <x:c r="E218" s="146"/>
      <x:c r="F218" s="146"/>
      <x:c r="G218" s="146"/>
      <x:c r="H218" s="149" t="n">
        <x:f>IF(AND(H183&gt;=0,H183&lt;1,COUNT(H24:H26)=3,H24&gt;H25,H26&gt;H25,COUNT(H203:H204)=2,ISNUMBER(H210),H210&gt;0,COUNT(I185:M185)=5),H206/H210,"n.a.")</x:f>
        <x:v>1992.818859426222</x:v>
      </x:c>
      <x:c r="I218" s="146"/>
      <x:c r="J218" s="146"/>
      <x:c r="K218" s="146"/>
      <x:c r="L218" s="146"/>
      <x:c r="M218" s="146"/>
      <x:c r="N218" s="2"/>
      <x:c r="O218" s="2"/>
    </x:row>
    <x:row r="219" ht="20" customHeight="1">
      <x:c r="C219" s="24" t="str">
        <x:v>DCF / market price less 1</x:v>
      </x:c>
      <x:c r="D219" s="25"/>
      <x:c r="E219" s="25"/>
      <x:c r="F219" s="25"/>
      <x:c r="G219" s="25"/>
      <x:c r="H219" s="66" t="n">
        <x:f>H218/H212-1</x:f>
        <x:v>-0.758182397836886</x:v>
      </x:c>
      <x:c r="I219" s="25"/>
      <x:c r="J219" s="25"/>
      <x:c r="K219" s="25"/>
      <x:c r="L219" s="25"/>
      <x:c r="M219" s="25"/>
      <x:c r="N219" s="2"/>
      <x:c r="O219" s="2"/>
    </x:row>
    <x:row r="220" ht="20" customHeight="1">
      <x:c r="C220" s="24" t="str">
        <x:v>Terminal value / September enterprise value</x:v>
      </x:c>
      <x:c r="D220" s="25"/>
      <x:c r="E220" s="25"/>
      <x:c r="F220" s="25"/>
      <x:c r="G220" s="25"/>
      <x:c r="H220" s="66" t="n">
        <x:f>H191/H192</x:f>
        <x:v>0.8589386842950096</x:v>
      </x:c>
      <x:c r="I220" s="25"/>
      <x:c r="J220" s="25"/>
      <x:c r="K220" s="25"/>
      <x:c r="L220" s="25"/>
      <x:c r="M220" s="25"/>
      <x:c r="N220" s="2"/>
      <x:c r="O220" s="2"/>
    </x:row>
    <x:row r="221" ht="20" customHeight="1">
      <x:c r="C221" s="2"/>
      <x:c r="D221" s="3"/>
      <x:c r="E221" s="3"/>
      <x:c r="F221" s="3"/>
      <x:c r="G221" s="3"/>
      <x:c r="H221" s="3"/>
      <x:c r="I221" s="3"/>
      <x:c r="J221" s="3"/>
      <x:c r="K221" s="3"/>
      <x:c r="L221" s="3"/>
      <x:c r="M221" s="3"/>
      <x:c r="N221" s="2"/>
      <x:c r="O221" s="2"/>
    </x:row>
    <x:row r="222" ht="20" customHeight="1">
      <x:c r="C222" s="2"/>
      <x:c r="D222" s="3"/>
      <x:c r="E222" s="3"/>
      <x:c r="F222" s="3"/>
      <x:c r="G222" s="3"/>
      <x:c r="H222" s="3"/>
      <x:c r="I222" s="3"/>
      <x:c r="J222" s="3"/>
      <x:c r="K222" s="3"/>
      <x:c r="L222" s="3"/>
      <x:c r="M222" s="3"/>
      <x:c r="N222" s="2"/>
      <x:c r="O222" s="2"/>
    </x:row>
    <x:row r="223" ht="20" customHeight="1">
      <x:c r="C223" s="2"/>
      <x:c r="D223" s="3"/>
      <x:c r="E223" s="3"/>
      <x:c r="F223" s="3"/>
      <x:c r="G223" s="3"/>
      <x:c r="H223" s="3"/>
      <x:c r="I223" s="3"/>
      <x:c r="J223" s="3"/>
      <x:c r="K223" s="3"/>
      <x:c r="L223" s="3"/>
      <x:c r="M223" s="3"/>
      <x:c r="N223" s="2"/>
      <x:c r="O223" s="2"/>
    </x:row>
    <x:row r="224" ht="44" customHeight="1">
      <x:c r="C224" s="16" t="str">
        <x:v>Only the unelapsed fraction of FY27 FCFF is valued; FY28–FY31 cash flows remain intact. All cash flows use year-end discounting. Linear intra-year accrual is a timing estimate, not a reconstruction of reported quarterly cash flow.</x:v>
      </x:c>
      <x:c r="D224" s="38"/>
      <x:c r="E224" s="38"/>
      <x:c r="F224" s="38"/>
      <x:c r="G224" s="38"/>
      <x:c r="H224" s="38"/>
      <x:c r="I224" s="38"/>
      <x:c r="J224" s="38"/>
      <x:c r="K224" s="38"/>
      <x:c r="L224" s="38"/>
      <x:c r="M224" s="38"/>
      <x:c r="N224" s="2"/>
      <x:c r="O224" s="2"/>
    </x:row>
    <x:row r="225" ht="20" customHeight="1">
      <x:c r="C225" s="2"/>
      <x:c r="D225" s="3"/>
      <x:c r="E225" s="3"/>
      <x:c r="F225" s="3"/>
      <x:c r="G225" s="3"/>
      <x:c r="H225" s="3"/>
      <x:c r="I225" s="3"/>
      <x:c r="J225" s="3"/>
      <x:c r="K225" s="3"/>
      <x:c r="L225" s="3"/>
      <x:c r="M225" s="3"/>
      <x:c r="N225" s="2"/>
      <x:c r="O225" s="2"/>
    </x:row>
    <x:row r="226" ht="44" customHeight="1">
      <x:c r="C226" s="16" t="str">
        <x:v>Financing claims roll forward from March using the same elapsed fraction. The pro-rata forecast dividend is added back and the paid INR47 dividend is deducted. Bank restrictions remain conservatively reserved. Model estimates are not September reported balances.</x:v>
      </x:c>
      <x:c r="D226" s="38"/>
      <x:c r="E226" s="38"/>
      <x:c r="F226" s="38"/>
      <x:c r="G226" s="38"/>
      <x:c r="H226" s="38"/>
      <x:c r="I226" s="38"/>
      <x:c r="J226" s="38"/>
      <x:c r="K226" s="38"/>
      <x:c r="L226" s="38"/>
      <x:c r="M226" s="38"/>
      <x:c r="N226" s="2"/>
      <x:c r="O226" s="2"/>
    </x:row>
    <x:row r="227" ht="20" customHeight="1">
      <x:c r="C227" s="2"/>
      <x:c r="D227" s="3"/>
      <x:c r="E227" s="3"/>
      <x:c r="F227" s="3"/>
      <x:c r="G227" s="3"/>
      <x:c r="H227" s="3"/>
      <x:c r="I227" s="3"/>
      <x:c r="J227" s="3"/>
      <x:c r="K227" s="3"/>
      <x:c r="L227" s="3"/>
      <x:c r="M227" s="3"/>
      <x:c r="N227" s="2"/>
      <x:c r="O227" s="2"/>
    </x:row>
    <x:row r="228" ht="44" customHeight="1">
      <x:c r="C228" s="16" t="str">
        <x:v>Basic shares use fresh market cap / price. The FY26 option dilution increment is added as an approximation. These proxy inputs are explicit; no precision claim is made for the current option register or NCI fair value.</x:v>
      </x:c>
      <x:c r="D228" s="38"/>
      <x:c r="E228" s="38"/>
      <x:c r="F228" s="38"/>
      <x:c r="G228" s="38"/>
      <x:c r="H228" s="38"/>
      <x:c r="I228" s="38"/>
      <x:c r="J228" s="38"/>
      <x:c r="K228" s="38"/>
      <x:c r="L228" s="38"/>
      <x:c r="M228" s="38"/>
      <x:c r="N228" s="2"/>
      <x:c r="O228" s="2"/>
    </x:row>
    <x:row r="229" ht="20" customHeight="1">
      <x:c r="C229" s="2"/>
      <x:c r="D229" s="3"/>
      <x:c r="E229" s="3"/>
      <x:c r="F229" s="3"/>
      <x:c r="G229" s="3"/>
      <x:c r="H229" s="3"/>
      <x:c r="I229" s="3"/>
      <x:c r="J229" s="3"/>
      <x:c r="K229" s="3"/>
      <x:c r="L229" s="3"/>
      <x:c r="M229" s="3"/>
      <x:c r="N229" s="2"/>
      <x:c r="O229" s="2"/>
    </x:row>
    <x:row r="230" ht="20" customHeight="1">
      <x:c r="C230" s="2"/>
      <x:c r="D230" s="3"/>
      <x:c r="E230" s="3"/>
      <x:c r="F230" s="3"/>
      <x:c r="G230" s="3"/>
      <x:c r="H230" s="3"/>
      <x:c r="I230" s="3"/>
      <x:c r="J230" s="3"/>
      <x:c r="K230" s="3"/>
      <x:c r="L230" s="3"/>
      <x:c r="M230" s="3"/>
      <x:c r="N230" s="2"/>
      <x:c r="O230" s="2"/>
    </x:row>
    <x:row r="231" ht="20" customHeight="1">
      <x:c r="C231" s="2"/>
      <x:c r="D231" s="3"/>
      <x:c r="E231" s="3"/>
      <x:c r="F231" s="3"/>
      <x:c r="G231" s="3"/>
      <x:c r="H231" s="3"/>
      <x:c r="I231" s="3"/>
      <x:c r="J231" s="3"/>
      <x:c r="K231" s="3"/>
      <x:c r="L231" s="3"/>
      <x:c r="M231" s="3"/>
      <x:c r="N231" s="2"/>
      <x:c r="O231" s="2"/>
    </x:row>
    <x:row r="232" ht="20" customHeight="1">
      <x:c r="C232" s="2"/>
      <x:c r="D232" s="3"/>
      <x:c r="E232" s="3"/>
      <x:c r="F232" s="3"/>
      <x:c r="G232" s="3"/>
      <x:c r="H232" s="3"/>
      <x:c r="I232" s="3"/>
      <x:c r="J232" s="3"/>
      <x:c r="K232" s="3"/>
      <x:c r="L232" s="3"/>
      <x:c r="M232" s="3"/>
      <x:c r="N232" s="2"/>
      <x:c r="O232" s="2"/>
    </x:row>
    <x:row r="233" ht="20" customHeight="1">
      <x:c r="C233" s="2"/>
      <x:c r="D233" s="3"/>
      <x:c r="E233" s="3"/>
      <x:c r="F233" s="3"/>
      <x:c r="G233" s="3"/>
      <x:c r="H233" s="3"/>
      <x:c r="I233" s="3"/>
      <x:c r="J233" s="3"/>
      <x:c r="K233" s="3"/>
      <x:c r="L233" s="3"/>
      <x:c r="M233" s="3"/>
      <x:c r="N233" s="2"/>
      <x:c r="O233" s="2"/>
    </x:row>
    <x:row r="234" ht="20" customHeight="1">
      <x:c r="C234" s="2"/>
      <x:c r="D234" s="3"/>
      <x:c r="E234" s="3"/>
      <x:c r="F234" s="3"/>
      <x:c r="G234" s="3"/>
      <x:c r="H234" s="3"/>
      <x:c r="I234" s="3"/>
      <x:c r="J234" s="3"/>
      <x:c r="K234" s="3"/>
      <x:c r="L234" s="3"/>
      <x:c r="M234" s="3"/>
      <x:c r="N234" s="2"/>
      <x:c r="O234" s="2"/>
    </x:row>
    <x:row r="235" ht="20" customHeight="1">
      <x:c r="C235" s="2"/>
      <x:c r="D235" s="3"/>
      <x:c r="E235" s="3"/>
      <x:c r="F235" s="3"/>
      <x:c r="G235" s="3"/>
      <x:c r="H235" s="3"/>
      <x:c r="I235" s="3"/>
      <x:c r="J235" s="3"/>
      <x:c r="K235" s="3"/>
      <x:c r="L235" s="3"/>
      <x:c r="M235" s="3"/>
      <x:c r="N235" s="2"/>
      <x:c r="O235" s="2"/>
    </x:row>
    <x:row r="236" ht="20" customHeight="1">
      <x:c r="C236" s="2"/>
      <x:c r="D236" s="3"/>
      <x:c r="E236" s="3"/>
      <x:c r="F236" s="3"/>
      <x:c r="G236" s="3"/>
      <x:c r="H236" s="3"/>
      <x:c r="I236" s="3"/>
      <x:c r="J236" s="3"/>
      <x:c r="K236" s="3"/>
      <x:c r="L236" s="3"/>
      <x:c r="M236" s="3"/>
      <x:c r="N236" s="2"/>
      <x:c r="O236" s="2"/>
    </x:row>
    <x:row r="237" ht="20" customHeight="1">
      <x:c r="C237" s="2"/>
      <x:c r="D237" s="3"/>
      <x:c r="E237" s="3"/>
      <x:c r="F237" s="3"/>
      <x:c r="G237" s="3"/>
      <x:c r="H237" s="3"/>
      <x:c r="I237" s="3"/>
      <x:c r="J237" s="3"/>
      <x:c r="K237" s="3"/>
      <x:c r="L237" s="3"/>
      <x:c r="M237" s="3"/>
      <x:c r="N237" s="2"/>
      <x:c r="O237" s="2"/>
    </x:row>
    <x:row r="238" ht="20" customHeight="1">
      <x:c r="C238" s="2"/>
      <x:c r="D238" s="3"/>
      <x:c r="E238" s="3"/>
      <x:c r="F238" s="3"/>
      <x:c r="G238" s="3"/>
      <x:c r="H238" s="3"/>
      <x:c r="I238" s="3"/>
      <x:c r="J238" s="3"/>
      <x:c r="K238" s="3"/>
      <x:c r="L238" s="3"/>
      <x:c r="M238" s="3"/>
      <x:c r="N238" s="2"/>
      <x:c r="O238" s="2"/>
    </x:row>
    <x:row r="239" ht="20" customHeight="1">
      <x:c r="C239" s="2"/>
      <x:c r="D239" s="3"/>
      <x:c r="E239" s="3"/>
      <x:c r="F239" s="3"/>
      <x:c r="G239" s="3"/>
      <x:c r="H239" s="3"/>
      <x:c r="I239" s="3"/>
      <x:c r="J239" s="3"/>
      <x:c r="K239" s="3"/>
      <x:c r="L239" s="3"/>
      <x:c r="M239" s="3"/>
      <x:c r="N239" s="2"/>
      <x:c r="O239" s="2"/>
    </x:row>
    <x:row r="240" ht="24" customHeight="1">
      <x:c r="C240" s="80" t="str">
        <x:v>Valuation-gap audit: dates, claims and economics</x:v>
      </x:c>
      <x:c r="D240" s="81"/>
      <x:c r="E240" s="81"/>
      <x:c r="F240" s="81"/>
      <x:c r="G240" s="81"/>
      <x:c r="H240" s="81"/>
      <x:c r="I240" s="81"/>
      <x:c r="J240" s="81"/>
      <x:c r="K240" s="81"/>
      <x:c r="L240" s="81"/>
      <x:c r="M240" s="81"/>
      <x:c r="N240" s="2"/>
      <x:c r="O240" s="2"/>
    </x:row>
    <x:row r="241" ht="20" customHeight="1">
      <x:c r="C241" s="2"/>
      <x:c r="D241" s="3"/>
      <x:c r="E241" s="3"/>
      <x:c r="F241" s="3"/>
      <x:c r="G241" s="3"/>
      <x:c r="H241" s="3"/>
      <x:c r="I241" s="3"/>
      <x:c r="J241" s="3"/>
      <x:c r="K241" s="3"/>
      <x:c r="L241" s="3"/>
      <x:c r="M241" s="3"/>
      <x:c r="N241" s="2"/>
      <x:c r="O241" s="2"/>
    </x:row>
    <x:row r="242" ht="20" customHeight="1">
      <x:c r="C242" s="2" t="str">
        <x:v>Earlier March-anchored value (archived)</x:v>
      </x:c>
      <x:c r="D242" s="104"/>
      <x:c r="E242" s="104"/>
      <x:c r="F242" s="104"/>
      <x:c r="G242" s="104"/>
      <x:c r="H242" s="106" t="n">
        <x:f>'00_Cover+Sources'!H313</x:f>
        <x:v>1939.8656971601038</x:v>
      </x:c>
      <x:c r="I242" s="104"/>
      <x:c r="J242" s="104"/>
      <x:c r="K242" s="104"/>
      <x:c r="L242" s="104"/>
      <x:c r="M242" s="104"/>
      <x:c r="N242" s="2"/>
      <x:c r="O242" s="2"/>
    </x:row>
    <x:row r="243" ht="20" customHeight="1">
      <x:c r="C243" s="2" t="str">
        <x:v>Updated capital weights at March anchor</x:v>
      </x:c>
      <x:c r="D243" s="104"/>
      <x:c r="E243" s="104"/>
      <x:c r="F243" s="104"/>
      <x:c r="G243" s="104"/>
      <x:c r="H243" s="151" t="n">
        <x:f>H41-H242</x:f>
        <x:v>-7.309197048967462</x:v>
      </x:c>
      <x:c r="I243" s="104"/>
      <x:c r="J243" s="104"/>
      <x:c r="K243" s="104"/>
      <x:c r="L243" s="104"/>
      <x:c r="M243" s="104"/>
      <x:c r="N243" s="2"/>
      <x:c r="O243" s="2"/>
    </x:row>
    <x:row r="244" ht="20" customHeight="1">
      <x:c r="C244" s="2" t="str">
        <x:v>Remaining-cash-flow timing effect</x:v>
      </x:c>
      <x:c r="D244" s="104"/>
      <x:c r="E244" s="104"/>
      <x:c r="F244" s="104"/>
      <x:c r="G244" s="104"/>
      <x:c r="H244" s="151" t="n">
        <x:f>(H192-H39)/H31</x:f>
        <x:v>105.82840762274547</x:v>
      </x:c>
      <x:c r="I244" s="104"/>
      <x:c r="J244" s="104"/>
      <x:c r="K244" s="104"/>
      <x:c r="L244" s="104"/>
      <x:c r="M244" s="104"/>
      <x:c r="N244" s="2"/>
      <x:c r="O244" s="2"/>
    </x:row>
    <x:row r="245" ht="20" customHeight="1">
      <x:c r="C245" s="2" t="str">
        <x:v>Estimated financing / NCI update</x:v>
      </x:c>
      <x:c r="D245" s="104"/>
      <x:c r="E245" s="104"/>
      <x:c r="F245" s="104"/>
      <x:c r="G245" s="104"/>
      <x:c r="H245" s="151" t="n">
        <x:f>(H29+H30-H203-H204)/H31</x:f>
        <x:v>-43.29172390918937</x:v>
      </x:c>
      <x:c r="I245" s="104"/>
      <x:c r="J245" s="104"/>
      <x:c r="K245" s="104"/>
      <x:c r="L245" s="104"/>
      <x:c r="M245" s="104"/>
      <x:c r="N245" s="2"/>
      <x:c r="O245" s="2"/>
    </x:row>
    <x:row r="246" ht="20" customHeight="1">
      <x:c r="C246" s="2" t="str">
        <x:v>Updated diluted-share denominator</x:v>
      </x:c>
      <x:c r="D246" s="104"/>
      <x:c r="E246" s="104"/>
      <x:c r="F246" s="104"/>
      <x:c r="G246" s="104"/>
      <x:c r="H246" s="151" t="n">
        <x:f>H206/H210-H206/H31</x:f>
        <x:v>-2.2743243984702985</x:v>
      </x:c>
      <x:c r="I246" s="104"/>
      <x:c r="J246" s="104"/>
      <x:c r="K246" s="104"/>
      <x:c r="L246" s="104"/>
      <x:c r="M246" s="104"/>
      <x:c r="N246" s="2"/>
      <x:c r="O246" s="2"/>
    </x:row>
    <x:row r="247" ht="20" customHeight="1">
      <x:c r="C247" s="2"/>
      <x:c r="D247" s="3"/>
      <x:c r="E247" s="3"/>
      <x:c r="F247" s="3"/>
      <x:c r="G247" s="3"/>
      <x:c r="H247" s="3"/>
      <x:c r="I247" s="3"/>
      <x:c r="J247" s="3"/>
      <x:c r="K247" s="3"/>
      <x:c r="L247" s="3"/>
      <x:c r="M247" s="3"/>
      <x:c r="N247" s="2"/>
      <x:c r="O247" s="2"/>
    </x:row>
    <x:row r="248" ht="20" customHeight="1">
      <x:c r="C248" s="95" t="str">
        <x:v>September value reconstructed</x:v>
      </x:c>
      <x:c r="D248" s="146"/>
      <x:c r="E248" s="146"/>
      <x:c r="F248" s="146"/>
      <x:c r="G248" s="146"/>
      <x:c r="H248" s="149" t="n">
        <x:f>SUM(H242:H246)</x:f>
        <x:v>1992.8188594262222</x:v>
      </x:c>
      <x:c r="I248" s="146"/>
      <x:c r="J248" s="146"/>
      <x:c r="K248" s="146"/>
      <x:c r="L248" s="146"/>
      <x:c r="M248" s="146"/>
      <x:c r="N248" s="2"/>
      <x:c r="O248" s="2"/>
    </x:row>
    <x:row r="249" ht="20" customHeight="1">
      <x:c r="C249" s="2" t="str">
        <x:v>Reconciliation to September DCF</x:v>
      </x:c>
      <x:c r="D249" s="100"/>
      <x:c r="E249" s="100"/>
      <x:c r="F249" s="100"/>
      <x:c r="G249" s="100"/>
      <x:c r="H249" s="101" t="n">
        <x:f>H248-H218</x:f>
        <x:v>2.2737367544323206e-13</x:v>
      </x:c>
      <x:c r="I249" s="100"/>
      <x:c r="J249" s="100"/>
      <x:c r="K249" s="100"/>
      <x:c r="L249" s="100"/>
      <x:c r="M249" s="100"/>
      <x:c r="N249" s="2"/>
      <x:c r="O249" s="2"/>
    </x:row>
    <x:row r="250" ht="20" customHeight="1">
      <x:c r="C250" s="2"/>
      <x:c r="D250" s="3"/>
      <x:c r="E250" s="3"/>
      <x:c r="F250" s="3"/>
      <x:c r="G250" s="3"/>
      <x:c r="H250" s="3"/>
      <x:c r="I250" s="3"/>
      <x:c r="J250" s="3"/>
      <x:c r="K250" s="3"/>
      <x:c r="L250" s="3"/>
      <x:c r="M250" s="3"/>
      <x:c r="N250" s="2"/>
      <x:c r="O250" s="2"/>
    </x:row>
    <x:row r="251" ht="20" customHeight="1">
      <x:c r="C251" s="2"/>
      <x:c r="D251" s="3"/>
      <x:c r="E251" s="3"/>
      <x:c r="F251" s="3"/>
      <x:c r="G251" s="3"/>
      <x:c r="H251" s="3"/>
      <x:c r="I251" s="3"/>
      <x:c r="J251" s="3"/>
      <x:c r="K251" s="3"/>
      <x:c r="L251" s="3"/>
      <x:c r="M251" s="3"/>
      <x:c r="N251" s="2"/>
      <x:c r="O251" s="2"/>
    </x:row>
    <x:row r="252" ht="20" customHeight="1">
      <x:c r="C252" s="95" t="str">
        <x:v>September DCF, active case</x:v>
      </x:c>
      <x:c r="D252" s="146"/>
      <x:c r="E252" s="146"/>
      <x:c r="F252" s="146"/>
      <x:c r="G252" s="146"/>
      <x:c r="H252" s="149" t="n">
        <x:f>H218</x:f>
        <x:v>1992.818859426222</x:v>
      </x:c>
      <x:c r="I252" s="146"/>
      <x:c r="J252" s="146"/>
      <x:c r="K252" s="146"/>
      <x:c r="L252" s="146"/>
      <x:c r="M252" s="146"/>
      <x:c r="N252" s="2"/>
      <x:c r="O252" s="2"/>
    </x:row>
    <x:row r="253" ht="20" customHeight="1">
      <x:c r="C253" s="2" t="str">
        <x:v>Release all required cash (diagnostic)</x:v>
      </x:c>
      <x:c r="D253" s="104"/>
      <x:c r="E253" s="104"/>
      <x:c r="F253" s="104"/>
      <x:c r="G253" s="104"/>
      <x:c r="H253" s="106" t="n">
        <x:f>H218+(H200+('03_3Statement+Schedules'!I156-'03_3Statement+Schedules'!H156)*(1-$H$183)/(1+$H$24)^I$186+('03_3Statement+Schedules'!J156-'03_3Statement+Schedules'!I156)*1/(1+$H$24)^J$186+('03_3Statement+Schedules'!K156-'03_3Statement+Schedules'!J156)*1/(1+$H$24)^K$186+('03_3Statement+Schedules'!L156-'03_3Statement+Schedules'!K156)*1/(1+$H$24)^L$186+('03_3Statement+Schedules'!M156-'03_3Statement+Schedules'!L156)*1/(1+$H$24)^M$186)/H210</x:f>
        <x:v>2042.6283439038564</x:v>
      </x:c>
      <x:c r="I253" s="104"/>
      <x:c r="J253" s="104"/>
      <x:c r="K253" s="104"/>
      <x:c r="L253" s="104"/>
      <x:c r="M253" s="104"/>
      <x:c r="N253" s="2"/>
      <x:c r="O253" s="2"/>
    </x:row>
    <x:row r="254" ht="20" customHeight="1">
      <x:c r="C254" s="2" t="str">
        <x:v>Release all reserved bank balances</x:v>
      </x:c>
      <x:c r="D254" s="104"/>
      <x:c r="E254" s="104"/>
      <x:c r="F254" s="104"/>
      <x:c r="G254" s="104"/>
      <x:c r="H254" s="151" t="n">
        <x:f>H218+H201/H210</x:f>
        <x:v>2025.372591213483</x:v>
      </x:c>
      <x:c r="I254" s="104"/>
      <x:c r="J254" s="104"/>
      <x:c r="K254" s="104"/>
      <x:c r="L254" s="104"/>
      <x:c r="M254" s="104"/>
      <x:c r="N254" s="2"/>
      <x:c r="O254" s="2"/>
    </x:row>
    <x:row r="255" ht="20" customHeight="1">
      <x:c r="C255" s="2" t="str">
        <x:v>Future capex equals D&amp;A (diagnostic)</x:v>
      </x:c>
      <x:c r="D255" s="104"/>
      <x:c r="E255" s="104"/>
      <x:c r="F255" s="104"/>
      <x:c r="G255" s="104"/>
      <x:c r="H255" s="151" t="n">
        <x:f>H218+((I13+I14-I12)*(1-$H$183)/(1+$H$24)^I$186+(J13+J14-J12)*1/(1+$H$24)^J$186+(K13+K14-K12)*1/(1+$H$24)^K$186+(L13+L14-L12)*1/(1+$H$24)^L$186+(M13+M14-M12)*1/(1+$H$24)^M$186)/H210</x:f>
        <x:v>2152.0755655920843</x:v>
      </x:c>
      <x:c r="I255" s="104"/>
      <x:c r="J255" s="104"/>
      <x:c r="K255" s="104"/>
      <x:c r="L255" s="104"/>
      <x:c r="M255" s="104"/>
      <x:c r="N255" s="2"/>
      <x:c r="O255" s="2"/>
    </x:row>
    <x:row r="256" ht="20" customHeight="1">
      <x:c r="C256" s="2" t="str">
        <x:v>No explicit NWC growth (diagnostic)</x:v>
      </x:c>
      <x:c r="D256" s="104"/>
      <x:c r="E256" s="104"/>
      <x:c r="F256" s="104"/>
      <x:c r="G256" s="104"/>
      <x:c r="H256" s="106" t="n">
        <x:f>H218+(('03_3Statement+Schedules'!I131)*(1-$H$183)/(1+$H$24)^I$186+('03_3Statement+Schedules'!J131)*1/(1+$H$24)^J$186+('03_3Statement+Schedules'!K131)*1/(1+$H$24)^K$186+('03_3Statement+Schedules'!L131)*1/(1+$H$24)^L$186+('03_3Statement+Schedules'!M131)*1/(1+$H$24)^M$186)/H210</x:f>
        <x:v>2412.24138109471</x:v>
      </x:c>
      <x:c r="I256" s="104"/>
      <x:c r="J256" s="104"/>
      <x:c r="K256" s="104"/>
      <x:c r="L256" s="104"/>
      <x:c r="M256" s="104"/>
      <x:c r="N256" s="2"/>
      <x:c r="O256" s="2"/>
    </x:row>
    <x:row r="257" ht="20" customHeight="1">
      <x:c r="C257" s="2" t="str">
        <x:v>Terminal ROIC 25%, otherwise unchanged</x:v>
      </x:c>
      <x:c r="D257" s="104"/>
      <x:c r="E257" s="104"/>
      <x:c r="F257" s="104"/>
      <x:c r="G257" s="104"/>
      <x:c r="H257" s="151" t="n">
        <x:f>(I$185/(1+$H$24)^I$186+J$185/(1+$H$24)^J$186+K$185/(1+$H$24)^K$186+L$185/(1+$H$24)^L$186+M$185/(1+$H$24)^M$186+$M$11*(1+$H$25)*(1-$H$25/0.25)/($H$24-$H$25)/(1+$H$24)^$M$186-$H$203-$H$204)/$H$210</x:f>
        <x:v>2242.865510182977</x:v>
      </x:c>
      <x:c r="I257" s="104"/>
      <x:c r="J257" s="104"/>
      <x:c r="K257" s="104"/>
      <x:c r="L257" s="104"/>
      <x:c r="M257" s="104"/>
      <x:c r="N257" s="2"/>
      <x:c r="O257" s="2"/>
    </x:row>
    <x:row r="258" ht="20" customHeight="1">
      <x:c r="C258" s="2" t="str">
        <x:v>WACC 10%, growth 5%, ROIC 25%</x:v>
      </x:c>
      <x:c r="D258" s="104"/>
      <x:c r="E258" s="104"/>
      <x:c r="F258" s="104"/>
      <x:c r="G258" s="104"/>
      <x:c r="H258" s="151" t="n">
        <x:f>(I$185/(1+0.10)^I$186+J$185/(1+0.10)^J$186+K$185/(1+0.10)^K$186+L$185/(1+0.10)^L$186+M$185/(1+0.10)^M$186+$M$11*(1+0.05)*(1-0.05/0.25)/(0.10-0.05)/(1+0.10)^$M$186-$H$203-$H$204)/$H$210</x:f>
        <x:v>3910.115392036496</x:v>
      </x:c>
      <x:c r="I258" s="104"/>
      <x:c r="J258" s="104"/>
      <x:c r="K258" s="104"/>
      <x:c r="L258" s="104"/>
      <x:c r="M258" s="104"/>
      <x:c r="N258" s="2"/>
      <x:c r="O258" s="2"/>
    </x:row>
    <x:row r="259" ht="20" customHeight="1">
      <x:c r="C259" s="2" t="str">
        <x:v>Omit acceptance debt: invalid shortcut</x:v>
      </x:c>
      <x:c r="D259" s="104"/>
      <x:c r="E259" s="104"/>
      <x:c r="F259" s="104"/>
      <x:c r="G259" s="104"/>
      <x:c r="H259" s="151" t="n">
        <x:f>H218+H196/H210</x:f>
        <x:v>2241.6411319086633</x:v>
      </x:c>
      <x:c r="I259" s="104"/>
      <x:c r="J259" s="104"/>
      <x:c r="K259" s="104"/>
      <x:c r="L259" s="104"/>
      <x:c r="M259" s="104"/>
      <x:c r="N259" s="2"/>
      <x:c r="O259" s="2"/>
    </x:row>
    <x:row r="260" ht="20" customHeight="1">
      <x:c r="C260" s="2"/>
      <x:c r="D260" s="3"/>
      <x:c r="E260" s="3"/>
      <x:c r="F260" s="3"/>
      <x:c r="G260" s="3"/>
      <x:c r="H260" s="3"/>
      <x:c r="I260" s="3"/>
      <x:c r="J260" s="3"/>
      <x:c r="K260" s="3"/>
      <x:c r="L260" s="3"/>
      <x:c r="M260" s="3"/>
      <x:c r="N260" s="2"/>
      <x:c r="O260" s="2"/>
    </x:row>
    <x:row r="261" ht="20" customHeight="1">
      <x:c r="C261" s="2"/>
      <x:c r="D261" s="3"/>
      <x:c r="E261" s="3"/>
      <x:c r="F261" s="3"/>
      <x:c r="G261" s="3"/>
      <x:c r="H261" s="3"/>
      <x:c r="I261" s="3"/>
      <x:c r="J261" s="3"/>
      <x:c r="K261" s="3"/>
      <x:c r="L261" s="3"/>
      <x:c r="M261" s="3"/>
      <x:c r="N261" s="2"/>
      <x:c r="O261" s="2"/>
    </x:row>
    <x:row r="262" ht="20" customHeight="1">
      <x:c r="C262" s="2" t="str">
        <x:v>DCF terminal EV / FY31 EBITDA</x:v>
      </x:c>
      <x:c r="D262" s="150"/>
      <x:c r="E262" s="150"/>
      <x:c r="F262" s="150"/>
      <x:c r="G262" s="150"/>
      <x:c r="H262" s="76" t="n">
        <x:f>H133</x:f>
        <x:v>6.027507227111812</x:v>
      </x:c>
      <x:c r="I262" s="150"/>
      <x:c r="J262" s="150"/>
      <x:c r="K262" s="150"/>
      <x:c r="L262" s="150"/>
      <x:c r="M262" s="150"/>
      <x:c r="N262" s="2"/>
      <x:c r="O262" s="2"/>
    </x:row>
    <x:row r="263" ht="20" customHeight="1">
      <x:c r="C263" s="2" t="str">
        <x:v>Closer-peer current FY26 EV / EBITDA</x:v>
      </x:c>
      <x:c r="D263" s="150"/>
      <x:c r="E263" s="150"/>
      <x:c r="F263" s="150"/>
      <x:c r="G263" s="150"/>
      <x:c r="H263" s="76" t="n">
        <x:f>H93</x:f>
        <x:v>35.16385356062921</x:v>
      </x:c>
      <x:c r="I263" s="150"/>
      <x:c r="J263" s="150"/>
      <x:c r="K263" s="150"/>
      <x:c r="L263" s="150"/>
      <x:c r="M263" s="150"/>
      <x:c r="N263" s="2"/>
      <x:c r="O263" s="2"/>
    </x:row>
    <x:row r="264" ht="20" customHeight="1">
      <x:c r="C264" s="2" t="str">
        <x:v>Apply current peer multiple at FY31 exit</x:v>
      </x:c>
      <x:c r="D264" s="104"/>
      <x:c r="E264" s="104"/>
      <x:c r="F264" s="104"/>
      <x:c r="G264" s="104"/>
      <x:c r="H264" s="106" t="n">
        <x:f>(H190+'03_3Statement+Schedules'!M13*H93/(1+H24)^M186-H203-H204)/H210</x:f>
        <x:v>10780.154073821797</x:v>
      </x:c>
      <x:c r="I264" s="104"/>
      <x:c r="J264" s="104"/>
      <x:c r="K264" s="104"/>
      <x:c r="L264" s="104"/>
      <x:c r="M264" s="104"/>
      <x:c r="N264" s="2"/>
      <x:c r="O264" s="2"/>
    </x:row>
    <x:row r="265" ht="20" customHeight="1">
      <x:c r="C265" s="2"/>
      <x:c r="D265" s="3"/>
      <x:c r="E265" s="3"/>
      <x:c r="F265" s="3"/>
      <x:c r="G265" s="3"/>
      <x:c r="H265" s="3"/>
      <x:c r="I265" s="3"/>
      <x:c r="J265" s="3"/>
      <x:c r="K265" s="3"/>
      <x:c r="L265" s="3"/>
      <x:c r="M265" s="3"/>
      <x:c r="N265" s="2"/>
      <x:c r="O265" s="2"/>
    </x:row>
    <x:row r="266" ht="20" customHeight="1">
      <x:c r="C266" s="2"/>
      <x:c r="D266" s="3"/>
      <x:c r="E266" s="3"/>
      <x:c r="F266" s="3"/>
      <x:c r="G266" s="3"/>
      <x:c r="H266" s="3"/>
      <x:c r="I266" s="3"/>
      <x:c r="J266" s="3"/>
      <x:c r="K266" s="3"/>
      <x:c r="L266" s="3"/>
      <x:c r="M266" s="3"/>
      <x:c r="N266" s="2"/>
      <x:c r="O266" s="2"/>
    </x:row>
    <x:row r="267" ht="44" customHeight="1">
      <x:c r="C267" s="16" t="str">
        <x:v>Diagnostic rows change one assumption at a time unless stated and are not additive. Zero NWC growth, maintenance-only capex during rapid growth, and deleting acceptance debt are optimistic bounds or invalid shortcuts, not revised base cases.</x:v>
      </x:c>
      <x:c r="D267" s="38"/>
      <x:c r="E267" s="38"/>
      <x:c r="F267" s="38"/>
      <x:c r="G267" s="38"/>
      <x:c r="H267" s="38"/>
      <x:c r="I267" s="38"/>
      <x:c r="J267" s="38"/>
      <x:c r="K267" s="38"/>
      <x:c r="L267" s="38"/>
      <x:c r="M267" s="38"/>
      <x:c r="N267" s="2"/>
      <x:c r="O267" s="2"/>
    </x:row>
    <x:row r="268" ht="20" customHeight="1">
      <x:c r="C268" s="2"/>
      <x:c r="D268" s="3"/>
      <x:c r="E268" s="3"/>
      <x:c r="F268" s="3"/>
      <x:c r="G268" s="3"/>
      <x:c r="H268" s="3"/>
      <x:c r="I268" s="3"/>
      <x:c r="J268" s="3"/>
      <x:c r="K268" s="3"/>
      <x:c r="L268" s="3"/>
      <x:c r="M268" s="3"/>
      <x:c r="N268" s="2"/>
      <x:c r="O268" s="2"/>
    </x:row>
    <x:row r="269" ht="20" customHeight="1">
      <x:c r="C269" s="2"/>
      <x:c r="D269" s="3"/>
      <x:c r="E269" s="3"/>
      <x:c r="F269" s="3"/>
      <x:c r="G269" s="3"/>
      <x:c r="H269" s="3"/>
      <x:c r="I269" s="3"/>
      <x:c r="J269" s="3"/>
      <x:c r="K269" s="3"/>
      <x:c r="L269" s="3"/>
      <x:c r="M269" s="3"/>
      <x:c r="N269" s="2"/>
      <x:c r="O269" s="2"/>
    </x:row>
    <x:row r="270" ht="44" customHeight="1">
      <x:c r="C270" s="16" t="str">
        <x:v>The central gap is the long-run earnings/cash-flow multiple. DCF moves to 4% growth after FY31 and funds that growth through reinvestment. Current peers trade at much higher EBITDA multiples. Applying that current multiple at a future exit imports the market assumption rather than independently validating it.</x:v>
      </x:c>
      <x:c r="D270" s="38"/>
      <x:c r="E270" s="38"/>
      <x:c r="F270" s="38"/>
      <x:c r="G270" s="38"/>
      <x:c r="H270" s="38"/>
      <x:c r="I270" s="38"/>
      <x:c r="J270" s="38"/>
      <x:c r="K270" s="38"/>
      <x:c r="L270" s="38"/>
      <x:c r="M270" s="38"/>
      <x:c r="N270" s="2"/>
      <x:c r="O270" s="2"/>
    </x:row>
    <x:row r="271" ht="20" customHeight="1">
      <x:c r="C271" s="2"/>
      <x:c r="D271" s="3"/>
      <x:c r="E271" s="3"/>
      <x:c r="F271" s="3"/>
      <x:c r="G271" s="3"/>
      <x:c r="H271" s="3"/>
      <x:c r="I271" s="3"/>
      <x:c r="J271" s="3"/>
      <x:c r="K271" s="3"/>
      <x:c r="L271" s="3"/>
      <x:c r="M271" s="3"/>
      <x:c r="N271" s="2"/>
      <x:c r="O271" s="2"/>
    </x:row>
    <x:row r="272" ht="20" customHeight="1">
      <x:c r="C272" s="2"/>
      <x:c r="D272" s="3"/>
      <x:c r="E272" s="3"/>
      <x:c r="F272" s="3"/>
      <x:c r="G272" s="3"/>
      <x:c r="H272" s="3"/>
      <x:c r="I272" s="3"/>
      <x:c r="J272" s="3"/>
      <x:c r="K272" s="3"/>
      <x:c r="L272" s="3"/>
      <x:c r="M272" s="3"/>
      <x:c r="N272" s="2"/>
      <x:c r="O272" s="2"/>
    </x:row>
    <x:row r="273" ht="44" customHeight="1">
      <x:c r="C273" s="16" t="str">
        <x:v>Funding is not free cash flow. Changing acceptance days changes financing balances and funding cost, but not operating NWC investment. The audit keeps acceptances in financing and does not double count them. Any alternative operating classification must also reclassify its interest, growth funding and terminal capital consistently.</x:v>
      </x:c>
      <x:c r="D273" s="38"/>
      <x:c r="E273" s="38"/>
      <x:c r="F273" s="38"/>
      <x:c r="G273" s="38"/>
      <x:c r="H273" s="38"/>
      <x:c r="I273" s="38"/>
      <x:c r="J273" s="38"/>
      <x:c r="K273" s="38"/>
      <x:c r="L273" s="38"/>
      <x:c r="M273" s="38"/>
      <x:c r="N273" s="2"/>
      <x:c r="O273" s="2"/>
    </x:row>
    <x:row r="274" ht="20" customHeight="1">
      <x:c r="C274" s="2"/>
      <x:c r="D274" s="3"/>
      <x:c r="E274" s="3"/>
      <x:c r="F274" s="3"/>
      <x:c r="G274" s="3"/>
      <x:c r="H274" s="3"/>
      <x:c r="I274" s="3"/>
      <x:c r="J274" s="3"/>
      <x:c r="K274" s="3"/>
      <x:c r="L274" s="3"/>
      <x:c r="M274" s="3"/>
      <x:c r="N274" s="2"/>
      <x:c r="O274" s="2"/>
    </x:row>
    <x:row r="275" ht="20" customHeight="1">
      <x:c r="C275" s="2"/>
      <x:c r="D275" s="3"/>
      <x:c r="E275" s="3"/>
      <x:c r="F275" s="3"/>
      <x:c r="G275" s="3"/>
      <x:c r="H275" s="3"/>
      <x:c r="I275" s="3"/>
      <x:c r="J275" s="3"/>
      <x:c r="K275" s="3"/>
      <x:c r="L275" s="3"/>
      <x:c r="M275" s="3"/>
      <x:c r="N275" s="2"/>
      <x:c r="O275" s="2"/>
    </x:row>
    <x:row r="276" ht="44" customHeight="1">
      <x:c r="C276" s="16" t="str">
        <x:v>Interpretation: the current base does not support the observed price. The arithmetic gap alone is not a timed sell signal: long growth duration, reinvestment efficiency and the market multiple may differ materially from the modeled assumptions.</x:v>
      </x:c>
      <x:c r="D276" s="38"/>
      <x:c r="E276" s="38"/>
      <x:c r="F276" s="38"/>
      <x:c r="G276" s="38"/>
      <x:c r="H276" s="38"/>
      <x:c r="I276" s="38"/>
      <x:c r="J276" s="38"/>
      <x:c r="K276" s="38"/>
      <x:c r="L276" s="38"/>
      <x:c r="M276" s="38"/>
      <x:c r="N276" s="2"/>
      <x:c r="O276" s="2"/>
    </x:row>
    <x:row r="277" ht="20" customHeight="1">
      <x:c r="C277" s="2"/>
      <x:c r="D277" s="3"/>
      <x:c r="E277" s="3"/>
      <x:c r="F277" s="3"/>
      <x:c r="G277" s="3"/>
      <x:c r="H277" s="3"/>
      <x:c r="I277" s="3"/>
      <x:c r="J277" s="3"/>
      <x:c r="K277" s="3"/>
      <x:c r="L277" s="3"/>
      <x:c r="M277" s="3"/>
      <x:c r="N277" s="2"/>
      <x:c r="O277" s="2"/>
    </x:row>
    <x:row r="278" ht="20" customHeight="1">
      <x:c r="C278" s="2"/>
      <x:c r="D278" s="3"/>
      <x:c r="E278" s="3"/>
      <x:c r="F278" s="3"/>
      <x:c r="G278" s="3"/>
      <x:c r="H278" s="3"/>
      <x:c r="I278" s="3"/>
      <x:c r="J278" s="3"/>
      <x:c r="K278" s="3"/>
      <x:c r="L278" s="3"/>
      <x:c r="M278" s="3"/>
      <x:c r="N278" s="2"/>
      <x:c r="O278" s="2"/>
    </x:row>
    <x:row r="279" ht="20" customHeight="1">
      <x:c r="C279" s="2"/>
      <x:c r="D279" s="3"/>
      <x:c r="E279" s="3"/>
      <x:c r="F279" s="3"/>
      <x:c r="G279" s="3"/>
      <x:c r="H279" s="3"/>
      <x:c r="I279" s="3"/>
      <x:c r="J279" s="3"/>
      <x:c r="K279" s="3"/>
      <x:c r="L279" s="3"/>
      <x:c r="M279" s="3"/>
      <x:c r="N279" s="2"/>
      <x:c r="O279" s="2"/>
    </x:row>
    <x:row r="280" ht="20" customHeight="1">
      <x:c r="C280" s="2"/>
      <x:c r="D280" s="3"/>
      <x:c r="E280" s="3"/>
      <x:c r="F280" s="3"/>
      <x:c r="G280" s="3"/>
      <x:c r="H280" s="3"/>
      <x:c r="I280" s="3"/>
      <x:c r="J280" s="3"/>
      <x:c r="K280" s="3"/>
      <x:c r="L280" s="3"/>
      <x:c r="M280" s="3"/>
      <x:c r="N280" s="2"/>
      <x:c r="O280" s="2"/>
    </x:row>
    <x:row r="281" ht="20" customHeight="1">
      <x:c r="C281" s="2"/>
      <x:c r="D281" s="3"/>
      <x:c r="E281" s="3"/>
      <x:c r="F281" s="3"/>
      <x:c r="G281" s="3"/>
      <x:c r="H281" s="3"/>
      <x:c r="I281" s="3"/>
      <x:c r="J281" s="3"/>
      <x:c r="K281" s="3"/>
      <x:c r="L281" s="3"/>
      <x:c r="M281" s="3"/>
      <x:c r="N281" s="2"/>
      <x:c r="O281" s="2"/>
    </x:row>
    <x:row r="282" ht="24" customHeight="1">
      <x:c r="C282" s="80" t="str">
        <x:v>Reverse DCF: what the market price requires</x:v>
      </x:c>
      <x:c r="D282" s="81"/>
      <x:c r="E282" s="81"/>
      <x:c r="F282" s="81"/>
      <x:c r="G282" s="81"/>
      <x:c r="H282" s="81"/>
      <x:c r="I282" s="81"/>
      <x:c r="J282" s="81"/>
      <x:c r="K282" s="81"/>
      <x:c r="L282" s="81"/>
      <x:c r="M282" s="81"/>
      <x:c r="N282" s="2"/>
      <x:c r="O282" s="2"/>
    </x:row>
    <x:row r="283" ht="20" customHeight="1">
      <x:c r="C283" s="2"/>
      <x:c r="D283" s="3"/>
      <x:c r="E283" s="3"/>
      <x:c r="F283" s="3"/>
      <x:c r="G283" s="3"/>
      <x:c r="H283" s="3"/>
      <x:c r="I283" s="3"/>
      <x:c r="J283" s="3"/>
      <x:c r="K283" s="3"/>
      <x:c r="L283" s="3"/>
      <x:c r="M283" s="3"/>
      <x:c r="N283" s="2"/>
      <x:c r="O283" s="2"/>
    </x:row>
    <x:row r="284" ht="20" customHeight="1">
      <x:c r="C284" s="2" t="str">
        <x:v>Observed price (INR)</x:v>
      </x:c>
      <x:c r="D284" s="104"/>
      <x:c r="E284" s="104"/>
      <x:c r="F284" s="104"/>
      <x:c r="G284" s="104"/>
      <x:c r="H284" s="151" t="n">
        <x:f>H212</x:f>
        <x:v>8241</x:v>
      </x:c>
      <x:c r="I284" s="104"/>
      <x:c r="J284" s="104"/>
      <x:c r="K284" s="104"/>
      <x:c r="L284" s="104"/>
      <x:c r="M284" s="104"/>
      <x:c r="N284" s="2"/>
      <x:c r="O284" s="2"/>
    </x:row>
    <x:row r="285" ht="20" customHeight="1">
      <x:c r="C285" s="2" t="str">
        <x:v>Market-implied EV, diluted basis</x:v>
      </x:c>
      <x:c r="D285" s="3"/>
      <x:c r="E285" s="3"/>
      <x:c r="F285" s="3"/>
      <x:c r="G285" s="3"/>
      <x:c r="H285" s="14" t="n">
        <x:f>H284*H210+H203+H204</x:f>
        <x:v>1264505.1190552297</x:v>
      </x:c>
      <x:c r="I285" s="3"/>
      <x:c r="J285" s="3"/>
      <x:c r="K285" s="3"/>
      <x:c r="L285" s="3"/>
      <x:c r="M285" s="3"/>
      <x:c r="N285" s="2"/>
      <x:c r="O285" s="2"/>
    </x:row>
    <x:row r="286" ht="20" customHeight="1">
      <x:c r="C286" s="2" t="str">
        <x:v>Less: PV of explicit FCFF</x:v>
      </x:c>
      <x:c r="D286" s="3"/>
      <x:c r="E286" s="3"/>
      <x:c r="F286" s="3"/>
      <x:c r="G286" s="3"/>
      <x:c r="H286" s="14" t="n">
        <x:f>H190</x:f>
        <x:v>45131.73426530042</x:v>
      </x:c>
      <x:c r="I286" s="3"/>
      <x:c r="J286" s="3"/>
      <x:c r="K286" s="3"/>
      <x:c r="L286" s="3"/>
      <x:c r="M286" s="3"/>
      <x:c r="N286" s="2"/>
      <x:c r="O286" s="2"/>
    </x:row>
    <x:row r="287" ht="20" customHeight="1">
      <x:c r="C287" s="95" t="str">
        <x:v>Required terminal EV at FY31</x:v>
      </x:c>
      <x:c r="D287" s="96"/>
      <x:c r="E287" s="96"/>
      <x:c r="F287" s="96"/>
      <x:c r="G287" s="96"/>
      <x:c r="H287" s="98" t="n">
        <x:f>(H285-H286)*(1+H24)^M186</x:f>
        <x:v>2079663.384735352</x:v>
      </x:c>
      <x:c r="I287" s="96"/>
      <x:c r="J287" s="96"/>
      <x:c r="K287" s="96"/>
      <x:c r="L287" s="96"/>
      <x:c r="M287" s="96"/>
      <x:c r="N287" s="2"/>
      <x:c r="O287" s="2"/>
    </x:row>
    <x:row r="288" ht="20" customHeight="1">
      <x:c r="C288" s="2"/>
      <x:c r="D288" s="3"/>
      <x:c r="E288" s="3"/>
      <x:c r="F288" s="3"/>
      <x:c r="G288" s="3"/>
      <x:c r="H288" s="3"/>
      <x:c r="I288" s="3"/>
      <x:c r="J288" s="3"/>
      <x:c r="K288" s="3"/>
      <x:c r="L288" s="3"/>
      <x:c r="M288" s="3"/>
      <x:c r="N288" s="2"/>
      <x:c r="O288" s="2"/>
    </x:row>
    <x:row r="289" ht="20" customHeight="1">
      <x:c r="C289" s="2" t="str">
        <x:v>Required terminal FCFF at base WACC/g</x:v>
      </x:c>
      <x:c r="D289" s="3"/>
      <x:c r="E289" s="3"/>
      <x:c r="F289" s="3"/>
      <x:c r="G289" s="3"/>
      <x:c r="H289" s="14" t="n">
        <x:f>H287*(H24-H25)</x:f>
        <x:v>175679.35973188793</x:v>
      </x:c>
      <x:c r="I289" s="3"/>
      <x:c r="J289" s="3"/>
      <x:c r="K289" s="3"/>
      <x:c r="L289" s="3"/>
      <x:c r="M289" s="3"/>
      <x:c r="N289" s="2"/>
      <x:c r="O289" s="2"/>
    </x:row>
    <x:row r="290" ht="20" customHeight="1">
      <x:c r="C290" s="95" t="str">
        <x:v>Required terminal NOPAT at base ROIC</x:v>
      </x:c>
      <x:c r="D290" s="96"/>
      <x:c r="E290" s="96"/>
      <x:c r="F290" s="96"/>
      <x:c r="G290" s="96"/>
      <x:c r="H290" s="98" t="n">
        <x:f>H289/(1-H25/H26)</x:f>
        <x:v>237909.6300915543</x:v>
      </x:c>
      <x:c r="I290" s="96"/>
      <x:c r="J290" s="96"/>
      <x:c r="K290" s="96"/>
      <x:c r="L290" s="96"/>
      <x:c r="M290" s="96"/>
      <x:c r="N290" s="2"/>
      <x:c r="O290" s="2"/>
    </x:row>
    <x:row r="291" ht="20" customHeight="1">
      <x:c r="C291" s="2" t="str">
        <x:v>Required / modeled terminal NOPAT</x:v>
      </x:c>
      <x:c r="D291" s="150"/>
      <x:c r="E291" s="150"/>
      <x:c r="F291" s="150"/>
      <x:c r="G291" s="150"/>
      <x:c r="H291" s="76" t="n">
        <x:f>H290/H34</x:f>
        <x:v>4.4371126699389425</x:v>
      </x:c>
      <x:c r="I291" s="150"/>
      <x:c r="J291" s="150"/>
      <x:c r="K291" s="150"/>
      <x:c r="L291" s="150"/>
      <x:c r="M291" s="150"/>
      <x:c r="N291" s="2"/>
      <x:c r="O291" s="2"/>
    </x:row>
    <x:row r="292" ht="20" customHeight="1">
      <x:c r="C292" s="24" t="str">
        <x:v>Required FY31 EBITDA margin, fixed D&amp;A</x:v>
      </x:c>
      <x:c r="D292" s="25"/>
      <x:c r="E292" s="25"/>
      <x:c r="F292" s="25"/>
      <x:c r="G292" s="25"/>
      <x:c r="H292" s="26" t="n">
        <x:f>(H290/(1+H25)/(1-M10)+'03_3Statement+Schedules'!M14)/'03_3Statement+Schedules'!M9</x:f>
        <x:v>0.48557791209900264</x:v>
      </x:c>
      <x:c r="I292" s="25"/>
      <x:c r="J292" s="25"/>
      <x:c r="K292" s="25"/>
      <x:c r="L292" s="25"/>
      <x:c r="M292" s="25"/>
      <x:c r="N292" s="2"/>
      <x:c r="O292" s="2"/>
    </x:row>
    <x:row r="293" ht="20" customHeight="1">
      <x:c r="C293" s="24" t="str">
        <x:v>Modeled FY31 EBITDA margin</x:v>
      </x:c>
      <x:c r="D293" s="25"/>
      <x:c r="E293" s="25"/>
      <x:c r="F293" s="25"/>
      <x:c r="G293" s="25"/>
      <x:c r="H293" s="26" t="n">
        <x:f>'03_3Statement+Schedules'!M13/'03_3Statement+Schedules'!M9</x:f>
        <x:v>0.12019184363363147</x:v>
      </x:c>
      <x:c r="I293" s="25"/>
      <x:c r="J293" s="25"/>
      <x:c r="K293" s="25"/>
      <x:c r="L293" s="25"/>
      <x:c r="M293" s="25"/>
      <x:c r="N293" s="2"/>
      <x:c r="O293" s="2"/>
    </x:row>
    <x:row r="294" ht="20" customHeight="1">
      <x:c r="C294" s="2" t="str">
        <x:v>Equivalent FY31 revenue at fixed NOPAT margin</x:v>
      </x:c>
      <x:c r="D294" s="3"/>
      <x:c r="E294" s="3"/>
      <x:c r="F294" s="3"/>
      <x:c r="G294" s="3"/>
      <x:c r="H294" s="22" t="n">
        <x:f>'03_3Statement+Schedules'!M9*H291</x:f>
        <x:v>2870650.4222816015</x:v>
      </x:c>
      <x:c r="I294" s="3"/>
      <x:c r="J294" s="3"/>
      <x:c r="K294" s="3"/>
      <x:c r="L294" s="3"/>
      <x:c r="M294" s="3"/>
      <x:c r="N294" s="2"/>
      <x:c r="O294" s="2"/>
    </x:row>
    <x:row r="295" ht="20" customHeight="1">
      <x:c r="C295" s="24" t="str">
        <x:v>Equivalent FY26–FY31 revenue CAGR</x:v>
      </x:c>
      <x:c r="D295" s="25"/>
      <x:c r="E295" s="25"/>
      <x:c r="F295" s="25"/>
      <x:c r="G295" s="25"/>
      <x:c r="H295" s="26" t="n">
        <x:f>(H294/'03_3Statement+Schedules'!H9)^(1/5)-1</x:f>
        <x:v>0.5829427933821076</x:v>
      </x:c>
      <x:c r="I295" s="25"/>
      <x:c r="J295" s="25"/>
      <x:c r="K295" s="25"/>
      <x:c r="L295" s="25"/>
      <x:c r="M295" s="25"/>
      <x:c r="N295" s="2"/>
      <x:c r="O295" s="2"/>
    </x:row>
    <x:row r="296" ht="20" customHeight="1">
      <x:c r="C296" s="2"/>
      <x:c r="D296" s="3"/>
      <x:c r="E296" s="3"/>
      <x:c r="F296" s="3"/>
      <x:c r="G296" s="3"/>
      <x:c r="H296" s="3"/>
      <x:c r="I296" s="3"/>
      <x:c r="J296" s="3"/>
      <x:c r="K296" s="3"/>
      <x:c r="L296" s="3"/>
      <x:c r="M296" s="3"/>
      <x:c r="N296" s="2"/>
      <x:c r="O296" s="2"/>
    </x:row>
    <x:row r="297" ht="20" customHeight="1">
      <x:c r="C297" s="2" t="str">
        <x:v>Growth equation: quadratic coefficient A</x:v>
      </x:c>
      <x:c r="D297" s="3"/>
      <x:c r="E297" s="3"/>
      <x:c r="F297" s="3"/>
      <x:c r="G297" s="3"/>
      <x:c r="H297" s="14" t="n">
        <x:f>M11</x:f>
        <x:v>51555.88255697043</x:v>
      </x:c>
      <x:c r="I297" s="3"/>
      <x:c r="J297" s="3"/>
      <x:c r="K297" s="3"/>
      <x:c r="L297" s="3"/>
      <x:c r="M297" s="3"/>
      <x:c r="N297" s="2"/>
      <x:c r="O297" s="2"/>
    </x:row>
    <x:row r="298" ht="20" customHeight="1">
      <x:c r="C298" s="2" t="str">
        <x:v>Growth equation: coefficient B</x:v>
      </x:c>
      <x:c r="D298" s="3"/>
      <x:c r="E298" s="3"/>
      <x:c r="F298" s="3"/>
      <x:c r="G298" s="3"/>
      <x:c r="H298" s="14" t="n">
        <x:f>-(M11*(H26-1)+H287*H26)</x:f>
        <x:v>-274354.6973553667</x:v>
      </x:c>
      <x:c r="I298" s="3"/>
      <x:c r="J298" s="3"/>
      <x:c r="K298" s="3"/>
      <x:c r="L298" s="3"/>
      <x:c r="M298" s="3"/>
      <x:c r="N298" s="2"/>
      <x:c r="O298" s="2"/>
    </x:row>
    <x:row r="299" ht="20" customHeight="1">
      <x:c r="C299" s="2" t="str">
        <x:v>Growth equation: coefficient C</x:v>
      </x:c>
      <x:c r="D299" s="3"/>
      <x:c r="E299" s="3"/>
      <x:c r="F299" s="3"/>
      <x:c r="G299" s="3"/>
      <x:c r="H299" s="14" t="n">
        <x:f>H287*H26*H24-M11*H26</x:f>
        <x:v>31702.287724864087</x:v>
      </x:c>
      <x:c r="I299" s="3"/>
      <x:c r="J299" s="3"/>
      <x:c r="K299" s="3"/>
      <x:c r="L299" s="3"/>
      <x:c r="M299" s="3"/>
      <x:c r="N299" s="2"/>
      <x:c r="O299" s="2"/>
    </x:row>
    <x:row r="300" ht="20" customHeight="1">
      <x:c r="C300" s="86" t="str">
        <x:v>Required perpetual growth, lower root</x:v>
      </x:c>
      <x:c r="D300" s="87"/>
      <x:c r="E300" s="87"/>
      <x:c r="F300" s="87"/>
      <x:c r="G300" s="87"/>
      <x:c r="H300" s="89" t="n">
        <x:f>IF(H298^2-4*H297*H299&gt;=0,(-H298-SQRT(H298^2-4*H297*H299))/(2*H297),"n.a.")</x:f>
        <x:v>0.11817658794463792</x:v>
      </x:c>
      <x:c r="I300" s="87"/>
      <x:c r="J300" s="87"/>
      <x:c r="K300" s="87"/>
      <x:c r="L300" s="87"/>
      <x:c r="M300" s="87"/>
      <x:c r="N300" s="2"/>
      <x:c r="O300" s="2"/>
    </x:row>
    <x:row r="301" ht="20" customHeight="1">
      <x:c r="C301" s="2"/>
      <x:c r="D301" s="3"/>
      <x:c r="E301" s="3"/>
      <x:c r="F301" s="3"/>
      <x:c r="G301" s="3"/>
      <x:c r="H301" s="3"/>
      <x:c r="I301" s="3"/>
      <x:c r="J301" s="3"/>
      <x:c r="K301" s="3"/>
      <x:c r="L301" s="3"/>
      <x:c r="M301" s="3"/>
      <x:c r="N301" s="2"/>
      <x:c r="O301" s="2"/>
    </x:row>
    <x:row r="302" ht="20" customHeight="1">
      <x:c r="C302" s="2" t="str">
        <x:v>Growth-only repricing difference (INR)</x:v>
      </x:c>
      <x:c r="D302" s="104"/>
      <x:c r="E302" s="104"/>
      <x:c r="F302" s="104"/>
      <x:c r="G302" s="104"/>
      <x:c r="H302" s="151" t="n">
        <x:f>IF(AND(ISNUMBER(H300),H300&lt;H24,H300&lt;H26),(I$185/(1+$H$24)^I$186+J$185/(1+$H$24)^J$186+K$185/(1+$H$24)^K$186+L$185/(1+$H$24)^L$186+M$185/(1+$H$24)^M$186+$M$11*(1+$H$300)*(1-$H$300/$H$26)/($H$24-$H$300)/(1+$H$24)^$M$186-$H$203-$H$204)/$H$210-H212,"n.a.")</x:f>
        <x:v>6.730260793119669e-11</x:v>
      </x:c>
      <x:c r="I302" s="104"/>
      <x:c r="J302" s="104"/>
      <x:c r="K302" s="104"/>
      <x:c r="L302" s="104"/>
      <x:c r="M302" s="104"/>
      <x:c r="N302" s="2"/>
      <x:c r="O302" s="2"/>
    </x:row>
    <x:row r="303" ht="20" customHeight="1">
      <x:c r="C303" s="2"/>
      <x:c r="D303" s="3"/>
      <x:c r="E303" s="3"/>
      <x:c r="F303" s="3"/>
      <x:c r="G303" s="3"/>
      <x:c r="H303" s="3"/>
      <x:c r="I303" s="3"/>
      <x:c r="J303" s="3"/>
      <x:c r="K303" s="3"/>
      <x:c r="L303" s="3"/>
      <x:c r="M303" s="3"/>
      <x:c r="N303" s="2"/>
      <x:c r="O303" s="2"/>
    </x:row>
    <x:row r="304" ht="20" customHeight="1">
      <x:c r="C304" s="24" t="str">
        <x:v>Post-FY31 growth tested</x:v>
      </x:c>
      <x:c r="D304" s="25"/>
      <x:c r="E304" s="25"/>
      <x:c r="F304" s="25"/>
      <x:c r="G304" s="25"/>
      <x:c r="H304" s="26" t="n">
        <x:f>'02_Drivers+Scenarios'!H330</x:f>
        <x:v>0.15</x:v>
      </x:c>
      <x:c r="I304" s="25"/>
      <x:c r="J304" s="25"/>
      <x:c r="K304" s="25"/>
      <x:c r="L304" s="25"/>
      <x:c r="M304" s="25"/>
      <x:c r="N304" s="2"/>
      <x:c r="O304" s="2"/>
    </x:row>
    <x:row r="305" ht="20" customHeight="1">
      <x:c r="C305" s="24" t="str">
        <x:v>Incremental ROIC during extended growth</x:v>
      </x:c>
      <x:c r="D305" s="25"/>
      <x:c r="E305" s="25"/>
      <x:c r="F305" s="25"/>
      <x:c r="G305" s="25"/>
      <x:c r="H305" s="26" t="n">
        <x:f>'02_Drivers+Scenarios'!H331</x:f>
        <x:v>0.25</x:v>
      </x:c>
      <x:c r="I305" s="25"/>
      <x:c r="J305" s="25"/>
      <x:c r="K305" s="25"/>
      <x:c r="L305" s="25"/>
      <x:c r="M305" s="25"/>
      <x:c r="N305" s="2"/>
      <x:c r="O305" s="2"/>
    </x:row>
    <x:row r="306" ht="20" customHeight="1">
      <x:c r="C306" s="2" t="str">
        <x:v>Extended-growth annuity coefficient</x:v>
      </x:c>
      <x:c r="D306" s="3"/>
      <x:c r="E306" s="3"/>
      <x:c r="F306" s="3"/>
      <x:c r="G306" s="3"/>
      <x:c r="H306" s="14" t="n">
        <x:f>IF(ABS(H24-H304)&gt;0.00000001,M11*(1+H304)*(1-H304/H305)/(H24-H304),"n.a.")</x:f>
        <x:v>-929113.2038004015</x:v>
      </x:c>
      <x:c r="I306" s="3"/>
      <x:c r="J306" s="3"/>
      <x:c r="K306" s="3"/>
      <x:c r="L306" s="3"/>
      <x:c r="M306" s="3"/>
      <x:c r="N306" s="2"/>
      <x:c r="O306" s="2"/>
    </x:row>
    <x:row r="307" ht="20" customHeight="1">
      <x:c r="C307" s="2" t="str">
        <x:v>Terminal value at FY31 with no extension</x:v>
      </x:c>
      <x:c r="D307" s="3"/>
      <x:c r="E307" s="3"/>
      <x:c r="F307" s="3"/>
      <x:c r="G307" s="3"/>
      <x:c r="H307" s="14" t="n">
        <x:f>H36/(H24-H25)</x:f>
        <x:v>468697.4479654062</x:v>
      </x:c>
      <x:c r="I307" s="3"/>
      <x:c r="J307" s="3"/>
      <x:c r="K307" s="3"/>
      <x:c r="L307" s="3"/>
      <x:c r="M307" s="3"/>
      <x:c r="N307" s="2"/>
      <x:c r="O307" s="2"/>
    </x:row>
    <x:row r="308" ht="20" customHeight="1">
      <x:c r="C308" s="2" t="str">
        <x:v>Growth / discount compounding ratio</x:v>
      </x:c>
      <x:c r="D308" s="150"/>
      <x:c r="E308" s="150"/>
      <x:c r="F308" s="150"/>
      <x:c r="G308" s="150"/>
      <x:c r="H308" s="157" t="n">
        <x:f>(1+H304)/(1+H24)</x:f>
        <x:v>1.0226995714983114</x:v>
      </x:c>
      <x:c r="I308" s="150"/>
      <x:c r="J308" s="150"/>
      <x:c r="K308" s="150"/>
      <x:c r="L308" s="150"/>
      <x:c r="M308" s="150"/>
      <x:c r="N308" s="2"/>
      <x:c r="O308" s="2"/>
    </x:row>
    <x:row r="309" ht="20" customHeight="1">
      <x:c r="C309" s="95" t="str">
        <x:v>Additional high-growth years required</x:v>
      </x:c>
      <x:c r="D309" s="96"/>
      <x:c r="E309" s="96"/>
      <x:c r="F309" s="96"/>
      <x:c r="G309" s="96"/>
      <x:c r="H309" s="98" t="n">
        <x:f>IF(AND(ISNUMBER(H311),H311&gt;=0),H311,"n.a.")</x:f>
        <x:v>34.15460285968238</x:v>
      </x:c>
      <x:c r="I309" s="96"/>
      <x:c r="J309" s="96"/>
      <x:c r="K309" s="96"/>
      <x:c r="L309" s="96"/>
      <x:c r="M309" s="96"/>
      <x:c r="N309" s="2"/>
      <x:c r="O309" s="2"/>
    </x:row>
    <x:row r="310" ht="20" customHeight="1">
      <x:c r="C310" s="2" t="str">
        <x:v>Extended-growth repricing difference (INR)</x:v>
      </x:c>
      <x:c r="D310" s="104"/>
      <x:c r="E310" s="104"/>
      <x:c r="F310" s="104"/>
      <x:c r="G310" s="104"/>
      <x:c r="H310" s="101" t="n">
        <x:f>IF(ISNUMBER(H309),(H190+(H306+(H307-H306)*H308^H309)/(1+H24)^M186-H203-H204)/H210-H212,"n.a.")</x:f>
        <x:v>0</x:v>
      </x:c>
      <x:c r="I310" s="104"/>
      <x:c r="J310" s="104"/>
      <x:c r="K310" s="104"/>
      <x:c r="L310" s="104"/>
      <x:c r="M310" s="104"/>
      <x:c r="N310" s="2"/>
      <x:c r="O310" s="2"/>
    </x:row>
    <x:row r="311" ht="20" customHeight="1">
      <x:c r="C311" s="2" t="str">
        <x:v>Duration root before feasibility check</x:v>
      </x:c>
      <x:c r="D311" s="3"/>
      <x:c r="E311" s="3"/>
      <x:c r="F311" s="3"/>
      <x:c r="G311" s="3"/>
      <x:c r="H311" s="14" t="n">
        <x:f>IF(H305&gt;H304,IF(ABS(H24-H304)&lt;0.00000001,(H287-H307)/(M11*(1-H304/H305)),IF(AND(ISNUMBER(H306),(H287-H306)/(H307-H306)&gt;0),LN((H287-H306)/(H307-H306))/LN(H308),"n.a.")),"n.a.")</x:f>
        <x:v>34.15460285968238</x:v>
      </x:c>
      <x:c r="I311" s="3"/>
      <x:c r="J311" s="3"/>
      <x:c r="K311" s="3"/>
      <x:c r="L311" s="3"/>
      <x:c r="M311" s="3"/>
      <x:c r="N311" s="2"/>
      <x:c r="O311" s="2"/>
    </x:row>
    <x:row r="312" ht="44" customHeight="1">
      <x:c r="C312" s="16" t="str">
        <x:v>Terminal-only solutions keep explicit FCFF unchanged. The implied margin and equivalent revenue CAGR are endpoint requirements, not fully funded alternative five-year forecasts. The growth root recalculates terminal reinvestment. Extra-growth years include reinvestment at the chosen incremental ROIC.</x:v>
      </x:c>
      <x:c r="D312" s="38"/>
      <x:c r="E312" s="38"/>
      <x:c r="F312" s="38"/>
      <x:c r="G312" s="38"/>
      <x:c r="H312" s="38"/>
      <x:c r="I312" s="38"/>
      <x:c r="J312" s="38"/>
      <x:c r="K312" s="38"/>
      <x:c r="L312" s="38"/>
      <x:c r="M312" s="38"/>
      <x:c r="N312" s="2"/>
      <x:c r="O312" s="2"/>
    </x:row>
    <x:row r="313" ht="20" customHeight="1">
      <x:c r="C313" s="2"/>
      <x:c r="D313" s="3"/>
      <x:c r="E313" s="3"/>
      <x:c r="F313" s="3"/>
      <x:c r="G313" s="3"/>
      <x:c r="H313" s="3"/>
      <x:c r="I313" s="3"/>
      <x:c r="J313" s="3"/>
      <x:c r="K313" s="3"/>
      <x:c r="L313" s="3"/>
      <x:c r="M313" s="3"/>
      <x:c r="N313" s="2"/>
      <x:c r="O313" s="2"/>
    </x:row>
    <x:row r="314" ht="20" customHeight="1">
      <x:c r="C314" s="2"/>
      <x:c r="D314" s="3"/>
      <x:c r="E314" s="3"/>
      <x:c r="F314" s="3"/>
      <x:c r="G314" s="3"/>
      <x:c r="H314" s="3"/>
      <x:c r="I314" s="3"/>
      <x:c r="J314" s="3"/>
      <x:c r="K314" s="3"/>
      <x:c r="L314" s="3"/>
      <x:c r="M314" s="3"/>
      <x:c r="N314" s="2"/>
      <x:c r="O314" s="2"/>
    </x:row>
    <x:row r="315" ht="20" customHeight="1">
      <x:c r="C315" s="2" t="str">
        <x:v>Value with no terminal reinvestment</x:v>
      </x:c>
      <x:c r="D315" s="104"/>
      <x:c r="E315" s="104"/>
      <x:c r="F315" s="104"/>
      <x:c r="G315" s="104"/>
      <x:c r="H315" s="151" t="n">
        <x:f>(H190+H34/(H24-H25)/(1+H24)^M186-H203-H204)/H210</x:f>
        <x:v>2636.7520203636764</x:v>
      </x:c>
      <x:c r="I315" s="104"/>
      <x:c r="J315" s="104"/>
      <x:c r="K315" s="104"/>
      <x:c r="L315" s="104"/>
      <x:c r="M315" s="104"/>
      <x:c r="N315" s="2"/>
      <x:c r="O315" s="2"/>
    </x:row>
    <x:row r="316" ht="34" customHeight="1">
      <x:c r="C316" s="2" t="str">
        <x:v>Can higher ROIC alone reach market price?</x:v>
      </x:c>
      <x:c r="D316" s="3"/>
      <x:c r="E316" s="3"/>
      <x:c r="F316" s="3"/>
      <x:c r="G316" s="3"/>
      <x:c r="H316" s="152" t="str">
        <x:f>IF(H315&lt;H212,"No: even zero reinvestment falls short","Potentially; inspect reinvestment")</x:f>
        <x:v>No: even zero reinvestment falls short</x:v>
      </x:c>
      <x:c r="I316" s="148"/>
      <x:c r="J316" s="148"/>
      <x:c r="K316" s="148"/>
      <x:c r="L316" s="148"/>
      <x:c r="M316" s="148"/>
      <x:c r="N316" s="2"/>
      <x:c r="O316" s="2"/>
    </x:row>
    <x:row r="317" ht="20" customHeight="1">
      <x:c r="C317" s="2"/>
      <x:c r="D317" s="3"/>
      <x:c r="E317" s="3"/>
      <x:c r="F317" s="3"/>
      <x:c r="G317" s="3"/>
      <x:c r="H317" s="3"/>
      <x:c r="I317" s="3"/>
      <x:c r="J317" s="3"/>
      <x:c r="K317" s="3"/>
      <x:c r="L317" s="3"/>
      <x:c r="M317" s="3"/>
      <x:c r="N317" s="2"/>
      <x:c r="O317" s="2"/>
    </x:row>
    <x:row r="318" ht="44" customHeight="1">
      <x:c r="C318" s="16" t="str">
        <x:v>A mathematical solution is not a forecast. Growth near WACC is fragile. An extended runway requires expanding sales, investment and competitive advantage. n.a. duration means no nonnegative solution under the tested growth/ROIC conditions; growth must be below incremental ROIC.</x:v>
      </x:c>
      <x:c r="D318" s="38"/>
      <x:c r="E318" s="38"/>
      <x:c r="F318" s="38"/>
      <x:c r="G318" s="38"/>
      <x:c r="H318" s="38"/>
      <x:c r="I318" s="38"/>
      <x:c r="J318" s="38"/>
      <x:c r="K318" s="38"/>
      <x:c r="L318" s="38"/>
      <x:c r="M318" s="38"/>
      <x:c r="N318" s="2"/>
      <x:c r="O318" s="2"/>
    </x:row>
    <x:row r="319" ht="20" customHeight="1">
      <x:c r="C319" s="2"/>
      <x:c r="D319" s="3"/>
      <x:c r="E319" s="3"/>
      <x:c r="F319" s="3"/>
      <x:c r="G319" s="3"/>
      <x:c r="H319" s="3"/>
      <x:c r="I319" s="3"/>
      <x:c r="J319" s="3"/>
      <x:c r="K319" s="3"/>
      <x:c r="L319" s="3"/>
      <x:c r="M319" s="3"/>
      <x:c r="N319" s="2"/>
      <x:c r="O319" s="2"/>
    </x:row>
    <x:row r="320" ht="20" customHeight="1">
      <x:c r="C320" s="2"/>
      <x:c r="D320" s="3"/>
      <x:c r="E320" s="3"/>
      <x:c r="F320" s="3"/>
      <x:c r="G320" s="3"/>
      <x:c r="H320" s="3"/>
      <x:c r="I320" s="3"/>
      <x:c r="J320" s="3"/>
      <x:c r="K320" s="3"/>
      <x:c r="L320" s="3"/>
      <x:c r="M320" s="3"/>
      <x:c r="N320" s="2"/>
      <x:c r="O320" s="2"/>
    </x:row>
    <x:row r="321" ht="20" customHeight="1">
      <x:c r="C321" s="2"/>
      <x:c r="D321" s="3"/>
      <x:c r="E321" s="3"/>
      <x:c r="F321" s="3"/>
      <x:c r="G321" s="3"/>
      <x:c r="H321" s="3"/>
      <x:c r="I321" s="3"/>
      <x:c r="J321" s="3"/>
      <x:c r="K321" s="3"/>
      <x:c r="L321" s="3"/>
      <x:c r="M321" s="3"/>
      <x:c r="N321" s="2"/>
      <x:c r="O321" s="2"/>
    </x:row>
    <x:row r="322" ht="24" customHeight="1">
      <x:c r="C322" s="80" t="str">
        <x:v>Growth duration diagnostic: September value per share</x:v>
      </x:c>
      <x:c r="D322" s="81"/>
      <x:c r="E322" s="81"/>
      <x:c r="F322" s="81"/>
      <x:c r="G322" s="81"/>
      <x:c r="H322" s="81"/>
      <x:c r="I322" s="81"/>
      <x:c r="J322" s="81"/>
      <x:c r="K322" s="81"/>
      <x:c r="L322" s="81"/>
      <x:c r="M322" s="81"/>
      <x:c r="N322" s="2"/>
      <x:c r="O322" s="2"/>
    </x:row>
    <x:row r="323" ht="20" customHeight="1">
      <x:c r="C323" s="2"/>
      <x:c r="D323" s="3"/>
      <x:c r="E323" s="3"/>
      <x:c r="F323" s="3"/>
      <x:c r="G323" s="3"/>
      <x:c r="H323" s="3"/>
      <x:c r="I323" s="3"/>
      <x:c r="J323" s="3"/>
      <x:c r="K323" s="3"/>
      <x:c r="L323" s="3"/>
      <x:c r="M323" s="3"/>
      <x:c r="N323" s="2"/>
      <x:c r="O323" s="2"/>
    </x:row>
    <x:row r="324" ht="20" customHeight="1">
      <x:c r="C324" s="2" t="str">
        <x:v>Extra years after FY31</x:v>
      </x:c>
      <x:c r="D324" s="3"/>
      <x:c r="E324" s="72" t="n">
        <x:v>0.1</x:v>
      </x:c>
      <x:c r="F324" s="72" t="n">
        <x:v>0.15</x:v>
      </x:c>
      <x:c r="G324" s="72" t="n">
        <x:v>0.2</x:v>
      </x:c>
      <x:c r="H324" s="3"/>
      <x:c r="I324" s="3"/>
      <x:c r="J324" s="3"/>
      <x:c r="K324" s="3"/>
      <x:c r="L324" s="3"/>
      <x:c r="M324" s="3"/>
      <x:c r="N324" s="2"/>
      <x:c r="O324" s="2"/>
    </x:row>
    <x:row r="325" ht="20" customHeight="1">
      <x:c r="C325" s="2"/>
      <x:c r="D325" s="158" t="n">
        <x:v>0</x:v>
      </x:c>
      <x:c r="E325" s="73" t="n">
        <x:f>IF($H$305&gt;E$324,($H$190+(IF(ABS($H$24-E$324)&lt;0.00000001,$M$11*(1-E$324/$H$305)*$D325,$M$11*(1+E$324)*(1-E$324/$H$305)/( $H$24-E$324)*(1-((1+E$324)/(1+$H$24))^$D325))+$H$307*((1+E$324)/(1+$H$24))^$D325)/(1+$H$24)^$M$186-$H$203-$H$204)/$H$210,"n.a.")</x:f>
        <x:v>1992.818859426222</x:v>
      </x:c>
      <x:c r="F325" s="73" t="n">
        <x:f>IF($H$305&gt;F$324,($H$190+(IF(ABS($H$24-F$324)&lt;0.00000001,$M$11*(1-F$324/$H$305)*$D325,$M$11*(1+F$324)*(1-F$324/$H$305)/( $H$24-F$324)*(1-((1+F$324)/(1+$H$24))^$D325))+$H$307*((1+F$324)/(1+$H$24))^$D325)/(1+$H$24)^$M$186-$H$203-$H$204)/$H$210,"n.a.")</x:f>
        <x:v>1992.818859426222</x:v>
      </x:c>
      <x:c r="G325" s="73" t="n">
        <x:f>IF($H$305&gt;G$324,($H$190+(IF(ABS($H$24-G$324)&lt;0.00000001,$M$11*(1-G$324/$H$305)*$D325,$M$11*(1+G$324)*(1-G$324/$H$305)/( $H$24-G$324)*(1-((1+G$324)/(1+$H$24))^$D325))+$H$307*((1+G$324)/(1+$H$24))^$D325)/(1+$H$24)^$M$186-$H$203-$H$204)/$H$210,"n.a.")</x:f>
        <x:v>1992.818859426222</x:v>
      </x:c>
      <x:c r="H325" s="3"/>
      <x:c r="I325" s="3"/>
      <x:c r="J325" s="3"/>
      <x:c r="K325" s="3"/>
      <x:c r="L325" s="3"/>
      <x:c r="M325" s="3"/>
      <x:c r="N325" s="2"/>
      <x:c r="O325" s="2"/>
    </x:row>
    <x:row r="326" ht="20" customHeight="1">
      <x:c r="C326" s="2"/>
      <x:c r="D326" s="158" t="n">
        <x:v>5</x:v>
      </x:c>
      <x:c r="E326" s="73" t="n">
        <x:f>IF($H$305&gt;E$324,($H$190+(IF(ABS($H$24-E$324)&lt;0.00000001,$M$11*(1-E$324/$H$305)*$D326,$M$11*(1+E$324)*(1-E$324/$H$305)/( $H$24-E$324)*(1-((1+E$324)/(1+$H$24))^$D326))+$H$307*((1+E$324)/(1+$H$24))^$D326)/(1+$H$24)^$M$186-$H$203-$H$204)/$H$210,"n.a.")</x:f>
        <x:v>2365.242471021808</x:v>
      </x:c>
      <x:c r="F326" s="73" t="n">
        <x:f>IF($H$305&gt;F$324,($H$190+(IF(ABS($H$24-F$324)&lt;0.00000001,$M$11*(1-F$324/$H$305)*$D326,$M$11*(1+F$324)*(1-F$324/$H$305)/( $H$24-F$324)*(1-((1+F$324)/(1+$H$24))^$D326))+$H$307*((1+F$324)/(1+$H$24))^$D326)/(1+$H$24)^$M$186-$H$203-$H$204)/$H$210,"n.a.")</x:f>
        <x:v>2636.718511223542</x:v>
      </x:c>
      <x:c r="G326" s="73" t="n">
        <x:f>IF($H$305&gt;G$324,($H$190+(IF(ABS($H$24-G$324)&lt;0.00000001,$M$11*(1-G$324/$H$305)*$D326,$M$11*(1+G$324)*(1-G$324/$H$305)/( $H$24-G$324)*(1-((1+G$324)/(1+$H$24))^$D326))+$H$307*((1+G$324)/(1+$H$24))^$D326)/(1+$H$24)^$M$186-$H$203-$H$204)/$H$210,"n.a.")</x:f>
        <x:v>2935.046575199372</x:v>
      </x:c>
      <x:c r="H326" s="3"/>
      <x:c r="I326" s="3"/>
      <x:c r="J326" s="3"/>
      <x:c r="K326" s="3"/>
      <x:c r="L326" s="3"/>
      <x:c r="M326" s="3"/>
      <x:c r="N326" s="2"/>
      <x:c r="O326" s="2"/>
    </x:row>
    <x:row r="327" ht="20" customHeight="1">
      <x:c r="C327" s="2"/>
      <x:c r="D327" s="158" t="n">
        <x:v>10</x:v>
      </x:c>
      <x:c r="E327" s="73" t="n">
        <x:f>IF($H$305&gt;E$324,($H$190+(IF(ABS($H$24-E$324)&lt;0.00000001,$M$11*(1-E$324/$H$305)*$D327,$M$11*(1+E$324)*(1-E$324/$H$305)/( $H$24-E$324)*(1-((1+E$324)/(1+$H$24))^$D327))+$H$307*((1+E$324)/(1+$H$24))^$D327)/(1+$H$24)^$M$186-$H$203-$H$204)/$H$210,"n.a.")</x:f>
        <x:v>2698.862258460414</x:v>
      </x:c>
      <x:c r="F327" s="73" t="n">
        <x:f>IF($H$305&gt;F$324,($H$190+(IF(ABS($H$24-F$324)&lt;0.00000001,$M$11*(1-F$324/$H$305)*$D327,$M$11*(1+F$324)*(1-F$324/$H$305)/( $H$24-F$324)*(1-((1+F$324)/(1+$H$24))^$D327))+$H$307*((1+F$324)/(1+$H$24))^$D327)/(1+$H$24)^$M$186-$H$203-$H$204)/$H$210,"n.a.")</x:f>
        <x:v>3357.093391073287</x:v>
      </x:c>
      <x:c r="G327" s="73" t="n">
        <x:f>IF($H$305&gt;G$324,($H$190+(IF(ABS($H$24-G$324)&lt;0.00000001,$M$11*(1-G$324/$H$305)*$D327,$M$11*(1+G$324)*(1-G$324/$H$305)/( $H$24-G$324)*(1-((1+G$324)/(1+$H$24))^$D327))+$H$307*((1+G$324)/(1+$H$24))^$D327)/(1+$H$24)^$M$186-$H$203-$H$204)/$H$210,"n.a.")</x:f>
        <x:v>4239.15371709542</x:v>
      </x:c>
      <x:c r="H327" s="3"/>
      <x:c r="I327" s="3"/>
      <x:c r="J327" s="3"/>
      <x:c r="K327" s="3"/>
      <x:c r="L327" s="3"/>
      <x:c r="M327" s="3"/>
      <x:c r="N327" s="2"/>
      <x:c r="O327" s="2"/>
    </x:row>
    <x:row r="328" ht="20" customHeight="1">
      <x:c r="C328" s="2"/>
      <x:c r="D328" s="158" t="n">
        <x:v>15</x:v>
      </x:c>
      <x:c r="E328" s="73" t="n">
        <x:f>IF($H$305&gt;E$324,($H$190+(IF(ABS($H$24-E$324)&lt;0.00000001,$M$11*(1-E$324/$H$305)*$D328,$M$11*(1+E$324)*(1-E$324/$H$305)/( $H$24-E$324)*(1-((1+E$324)/(1+$H$24))^$D328))+$H$307*((1+E$324)/(1+$H$24))^$D328)/(1+$H$24)^$M$186-$H$203-$H$204)/$H$210,"n.a.")</x:f>
        <x:v>2997.7212972139605</x:v>
      </x:c>
      <x:c r="F328" s="73" t="n">
        <x:f>IF($H$305&gt;F$324,($H$190+(IF(ABS($H$24-F$324)&lt;0.00000001,$M$11*(1-F$324/$H$305)*$D328,$M$11*(1+F$324)*(1-F$324/$H$305)/( $H$24-F$324)*(1-((1+F$324)/(1+$H$24))^$D328))+$H$307*((1+F$324)/(1+$H$24))^$D328)/(1+$H$24)^$M$186-$H$203-$H$204)/$H$210,"n.a.")</x:f>
        <x:v>4163.0263746834125</x:v>
      </x:c>
      <x:c r="G328" s="73" t="n">
        <x:f>IF($H$305&gt;G$324,($H$190+(IF(ABS($H$24-G$324)&lt;0.00000001,$M$11*(1-G$324/$H$305)*$D328,$M$11*(1+G$324)*(1-G$324/$H$305)/( $H$24-G$324)*(1-((1+G$324)/(1+$H$24))^$D328))+$H$307*((1+G$324)/(1+$H$24))^$D328)/(1+$H$24)^$M$186-$H$203-$H$204)/$H$210,"n.a.")</x:f>
        <x:v>6044.126558664578</x:v>
      </x:c>
      <x:c r="H328" s="3"/>
      <x:c r="I328" s="3"/>
      <x:c r="J328" s="3"/>
      <x:c r="K328" s="3"/>
      <x:c r="L328" s="3"/>
      <x:c r="M328" s="3"/>
      <x:c r="N328" s="2"/>
      <x:c r="O328" s="2"/>
    </x:row>
    <x:row r="329" ht="20" customHeight="1">
      <x:c r="C329" s="2"/>
      <x:c r="D329" s="158" t="n">
        <x:v>20</x:v>
      </x:c>
      <x:c r="E329" s="73" t="n">
        <x:f>IF($H$305&gt;E$324,($H$190+(IF(ABS($H$24-E$324)&lt;0.00000001,$M$11*(1-E$324/$H$305)*$D329,$M$11*(1+E$324)*(1-E$324/$H$305)/( $H$24-E$324)*(1-((1+E$324)/(1+$H$24))^$D329))+$H$307*((1+E$324)/(1+$H$24))^$D329)/(1+$H$24)^$M$186-$H$203-$H$204)/$H$210,"n.a.")</x:f>
        <x:v>3265.4414037772735</x:v>
      </x:c>
      <x:c r="F329" s="73" t="n">
        <x:f>IF($H$305&gt;F$324,($H$190+(IF(ABS($H$24-F$324)&lt;0.00000001,$M$11*(1-F$324/$H$305)*$D329,$M$11*(1+F$324)*(1-F$324/$H$305)/( $H$24-F$324)*(1-((1+F$324)/(1+$H$24))^$D329))+$H$307*((1+F$324)/(1+$H$24))^$D329)/(1+$H$24)^$M$186-$H$203-$H$204)/$H$210,"n.a.")</x:f>
        <x:v>5064.6791005616315</x:v>
      </x:c>
      <x:c r="G329" s="73" t="n">
        <x:f>IF($H$305&gt;G$324,($H$190+(IF(ABS($H$24-G$324)&lt;0.00000001,$M$11*(1-G$324/$H$305)*$D329,$M$11*(1+G$324)*(1-G$324/$H$305)/( $H$24-G$324)*(1-((1+G$324)/(1+$H$24))^$D329))+$H$307*((1+G$324)/(1+$H$24))^$D329)/(1+$H$24)^$M$186-$H$203-$H$204)/$H$210,"n.a.")</x:f>
        <x:v>8542.331540553965</x:v>
      </x:c>
      <x:c r="H329" s="3"/>
      <x:c r="I329" s="3"/>
      <x:c r="J329" s="3"/>
      <x:c r="K329" s="3"/>
      <x:c r="L329" s="3"/>
      <x:c r="M329" s="3"/>
      <x:c r="N329" s="2"/>
      <x:c r="O329" s="2"/>
    </x:row>
    <x:row r="330" ht="20" customHeight="1">
      <x:c r="C330" s="2"/>
      <x:c r="D330" s="3"/>
      <x:c r="E330" s="3"/>
      <x:c r="F330" s="3"/>
      <x:c r="G330" s="3"/>
      <x:c r="H330" s="3"/>
      <x:c r="I330" s="3"/>
      <x:c r="J330" s="3"/>
      <x:c r="K330" s="3"/>
      <x:c r="L330" s="3"/>
      <x:c r="M330" s="3"/>
      <x:c r="N330" s="2"/>
      <x:c r="O330" s="2"/>
    </x:row>
    <x:row r="331" ht="20" customHeight="1">
      <x:c r="C331" s="2"/>
      <x:c r="D331" s="3"/>
      <x:c r="E331" s="3"/>
      <x:c r="F331" s="3"/>
      <x:c r="G331" s="3"/>
      <x:c r="H331" s="3"/>
      <x:c r="I331" s="3"/>
      <x:c r="J331" s="3"/>
      <x:c r="K331" s="3"/>
      <x:c r="L331" s="3"/>
      <x:c r="M331" s="3"/>
      <x:c r="N331" s="2"/>
      <x:c r="O331" s="2"/>
    </x:row>
    <x:row r="332" ht="44" customHeight="1">
      <x:c r="C332" s="16" t="str">
        <x:v>Rows extend the active FY31 NOPAT at constant margins and the tested growth rate. Incremental reinvestment earns the ROIC input above. After the extra years, growth returns to 4% and terminal ROIC to the base assumption. Zero extra years equals the September DCF.</x:v>
      </x:c>
      <x:c r="D332" s="38"/>
      <x:c r="E332" s="38"/>
      <x:c r="F332" s="38"/>
      <x:c r="G332" s="38"/>
      <x:c r="H332" s="38"/>
      <x:c r="I332" s="38"/>
      <x:c r="J332" s="38"/>
      <x:c r="K332" s="38"/>
      <x:c r="L332" s="38"/>
      <x:c r="M332" s="38"/>
      <x:c r="N332" s="2"/>
      <x:c r="O332" s="2"/>
    </x:row>
    <x:row r="333" ht="20" customHeight="1">
      <x:c r="C333" s="2"/>
      <x:c r="D333" s="3"/>
      <x:c r="E333" s="3"/>
      <x:c r="F333" s="3"/>
      <x:c r="G333" s="3"/>
      <x:c r="H333" s="3"/>
      <x:c r="I333" s="3"/>
      <x:c r="J333" s="3"/>
      <x:c r="K333" s="3"/>
      <x:c r="L333" s="3"/>
      <x:c r="M333" s="3"/>
      <x:c r="N333" s="2"/>
      <x:c r="O333" s="2"/>
    </x:row>
    <x:row r="334" ht="20" customHeight="1">
      <x:c r="C334" s="2"/>
      <x:c r="D334" s="3"/>
      <x:c r="E334" s="3"/>
      <x:c r="F334" s="3"/>
      <x:c r="G334" s="3"/>
      <x:c r="H334" s="3"/>
      <x:c r="I334" s="3"/>
      <x:c r="J334" s="3"/>
      <x:c r="K334" s="3"/>
      <x:c r="L334" s="3"/>
      <x:c r="M334" s="3"/>
      <x:c r="N334" s="2"/>
      <x:c r="O334" s="2"/>
    </x:row>
    <x:row r="335" ht="20" customHeight="1">
      <x:c r="C335" s="2"/>
      <x:c r="D335" s="3"/>
      <x:c r="E335" s="3"/>
      <x:c r="F335" s="3"/>
      <x:c r="G335" s="3"/>
      <x:c r="H335" s="3"/>
      <x:c r="I335" s="3"/>
      <x:c r="J335" s="3"/>
      <x:c r="K335" s="3"/>
      <x:c r="L335" s="3"/>
      <x:c r="M335" s="3"/>
      <x:c r="N335" s="2"/>
      <x:c r="O335" s="2"/>
    </x:row>
    <x:row r="336" ht="20" customHeight="1">
      <x:c r="C336" s="2"/>
      <x:c r="D336" s="3"/>
      <x:c r="E336" s="3"/>
      <x:c r="F336" s="3"/>
      <x:c r="G336" s="3"/>
      <x:c r="H336" s="3"/>
      <x:c r="I336" s="3"/>
      <x:c r="J336" s="3"/>
      <x:c r="K336" s="3"/>
      <x:c r="L336" s="3"/>
      <x:c r="M336" s="3"/>
      <x:c r="N336" s="2"/>
      <x:c r="O336" s="2"/>
    </x:row>
    <x:row r="337" ht="20" customHeight="1">
      <x:c r="C337" s="2"/>
      <x:c r="D337" s="3"/>
      <x:c r="E337" s="3"/>
      <x:c r="F337" s="3"/>
      <x:c r="G337" s="3"/>
      <x:c r="H337" s="3"/>
      <x:c r="I337" s="3"/>
      <x:c r="J337" s="3"/>
      <x:c r="K337" s="3"/>
      <x:c r="L337" s="3"/>
      <x:c r="M337" s="3"/>
      <x:c r="N337" s="2"/>
      <x:c r="O337" s="2"/>
    </x:row>
    <x:row r="338" ht="20" customHeight="1">
      <x:c r="C338" s="2"/>
      <x:c r="D338" s="3"/>
      <x:c r="E338" s="3"/>
      <x:c r="F338" s="3"/>
      <x:c r="G338" s="3"/>
      <x:c r="H338" s="3"/>
      <x:c r="I338" s="3"/>
      <x:c r="J338" s="3"/>
      <x:c r="K338" s="3"/>
      <x:c r="L338" s="3"/>
      <x:c r="M338" s="3"/>
      <x:c r="N338" s="2"/>
      <x:c r="O338" s="2"/>
    </x:row>
    <x:row r="339" ht="20" customHeight="1">
      <x:c r="C339" s="2"/>
      <x:c r="D339" s="3"/>
      <x:c r="E339" s="3"/>
      <x:c r="F339" s="3"/>
      <x:c r="G339" s="3"/>
      <x:c r="H339" s="3"/>
      <x:c r="I339" s="3"/>
      <x:c r="J339" s="3"/>
      <x:c r="K339" s="3"/>
      <x:c r="L339" s="3"/>
      <x:c r="M339" s="3"/>
      <x:c r="N339" s="2"/>
      <x:c r="O339" s="2"/>
    </x:row>
    <x:row r="340" ht="24" customHeight="1">
      <x:c r="C340" s="80" t="str">
        <x:v>September and reverse-DCF checks</x:v>
      </x:c>
      <x:c r="D340" s="81"/>
      <x:c r="E340" s="81"/>
      <x:c r="F340" s="81"/>
      <x:c r="G340" s="81"/>
      <x:c r="H340" s="81"/>
      <x:c r="I340" s="81"/>
      <x:c r="J340" s="81"/>
      <x:c r="K340" s="81"/>
      <x:c r="L340" s="81"/>
      <x:c r="M340" s="81"/>
      <x:c r="N340" s="2"/>
      <x:c r="O340" s="2"/>
    </x:row>
    <x:row r="341" ht="20" customHeight="1">
      <x:c r="C341" s="2"/>
      <x:c r="D341" s="3"/>
      <x:c r="E341" s="3"/>
      <x:c r="F341" s="3"/>
      <x:c r="G341" s="3"/>
      <x:c r="H341" s="3"/>
      <x:c r="I341" s="3"/>
      <x:c r="J341" s="3"/>
      <x:c r="K341" s="3"/>
      <x:c r="L341" s="3"/>
      <x:c r="M341" s="3"/>
      <x:c r="N341" s="2"/>
      <x:c r="O341" s="2"/>
    </x:row>
    <x:row r="342" ht="20" customHeight="1">
      <x:c r="C342" s="2" t="str">
        <x:v>Date inside FY27: 1 means valid</x:v>
      </x:c>
      <x:c r="D342" s="100"/>
      <x:c r="E342" s="100"/>
      <x:c r="F342" s="100"/>
      <x:c r="G342" s="100"/>
      <x:c r="H342" s="101" t="n">
        <x:f>IF(AND(H183&gt;=0,H183&lt;1),1,0)</x:f>
        <x:v>1</x:v>
      </x:c>
      <x:c r="I342" s="100"/>
      <x:c r="J342" s="100"/>
      <x:c r="K342" s="100"/>
      <x:c r="L342" s="100"/>
      <x:c r="M342" s="100"/>
      <x:c r="N342" s="2"/>
      <x:c r="O342" s="2"/>
    </x:row>
    <x:row r="343" ht="20" customHeight="1">
      <x:c r="C343" s="2" t="str">
        <x:v>Cash-flow stub plus elapsed less full year</x:v>
      </x:c>
      <x:c r="D343" s="100"/>
      <x:c r="E343" s="100"/>
      <x:c r="F343" s="100"/>
      <x:c r="G343" s="100"/>
      <x:c r="H343" s="101" t="n">
        <x:f>I185+I16*H183-I16</x:f>
        <x:v>0</x:v>
      </x:c>
      <x:c r="I343" s="100"/>
      <x:c r="J343" s="100"/>
      <x:c r="K343" s="100"/>
      <x:c r="L343" s="100"/>
      <x:c r="M343" s="100"/>
      <x:c r="N343" s="2"/>
      <x:c r="O343" s="2"/>
    </x:row>
    <x:row r="344" ht="20" customHeight="1">
      <x:c r="C344" s="2" t="str">
        <x:v>September EV to equity reconciliation</x:v>
      </x:c>
      <x:c r="D344" s="100"/>
      <x:c r="E344" s="100"/>
      <x:c r="F344" s="100"/>
      <x:c r="G344" s="100"/>
      <x:c r="H344" s="101" t="n">
        <x:f>H192-H203-H204-H206</x:f>
        <x:v>0</x:v>
      </x:c>
      <x:c r="I344" s="100"/>
      <x:c r="J344" s="100"/>
      <x:c r="K344" s="100"/>
      <x:c r="L344" s="100"/>
      <x:c r="M344" s="100"/>
      <x:c r="N344" s="2"/>
      <x:c r="O344" s="2"/>
    </x:row>
    <x:row r="345" ht="20" customHeight="1">
      <x:c r="C345" s="2" t="str">
        <x:v>Date / claims / shares attribution difference</x:v>
      </x:c>
      <x:c r="D345" s="100"/>
      <x:c r="E345" s="100"/>
      <x:c r="F345" s="100"/>
      <x:c r="G345" s="100"/>
      <x:c r="H345" s="101" t="n">
        <x:f>H249</x:f>
        <x:v>2.2737367544323206e-13</x:v>
      </x:c>
      <x:c r="I345" s="100"/>
      <x:c r="J345" s="100"/>
      <x:c r="K345" s="100"/>
      <x:c r="L345" s="100"/>
      <x:c r="M345" s="100"/>
      <x:c r="N345" s="2"/>
      <x:c r="O345" s="2"/>
    </x:row>
    <x:row r="346" ht="20" customHeight="1">
      <x:c r="C346" s="2" t="str">
        <x:v>WACC sensitivity center difference</x:v>
      </x:c>
      <x:c r="D346" s="100"/>
      <x:c r="E346" s="100"/>
      <x:c r="F346" s="100"/>
      <x:c r="G346" s="100"/>
      <x:c r="H346" s="101" t="n">
        <x:f>G52-H218</x:f>
        <x:v>0</x:v>
      </x:c>
      <x:c r="I346" s="100"/>
      <x:c r="J346" s="100"/>
      <x:c r="K346" s="100"/>
      <x:c r="L346" s="100"/>
      <x:c r="M346" s="100"/>
      <x:c r="N346" s="2"/>
      <x:c r="O346" s="2"/>
    </x:row>
    <x:row r="347" ht="20" customHeight="1">
      <x:c r="C347" s="2" t="str">
        <x:v>ROIC sensitivity center difference</x:v>
      </x:c>
      <x:c r="D347" s="100"/>
      <x:c r="E347" s="100"/>
      <x:c r="F347" s="100"/>
      <x:c r="G347" s="100"/>
      <x:c r="H347" s="101" t="n">
        <x:f>G146-H218</x:f>
        <x:v>0</x:v>
      </x:c>
      <x:c r="I347" s="100"/>
      <x:c r="J347" s="100"/>
      <x:c r="K347" s="100"/>
      <x:c r="L347" s="100"/>
      <x:c r="M347" s="100"/>
      <x:c r="N347" s="2"/>
      <x:c r="O347" s="2"/>
    </x:row>
    <x:row r="348" ht="20" customHeight="1">
      <x:c r="C348" s="2" t="str">
        <x:v>Growth root reprices market: difference</x:v>
      </x:c>
      <x:c r="D348" s="100"/>
      <x:c r="E348" s="100"/>
      <x:c r="F348" s="100"/>
      <x:c r="G348" s="100"/>
      <x:c r="H348" s="101" t="n">
        <x:f>H302</x:f>
        <x:v>6.730260793119669e-11</x:v>
      </x:c>
      <x:c r="I348" s="100"/>
      <x:c r="J348" s="100"/>
      <x:c r="K348" s="100"/>
      <x:c r="L348" s="100"/>
      <x:c r="M348" s="100"/>
      <x:c r="N348" s="2"/>
      <x:c r="O348" s="2"/>
    </x:row>
    <x:row r="349" ht="20" customHeight="1">
      <x:c r="C349" s="2" t="str">
        <x:v>Growth duration reprices market: difference</x:v>
      </x:c>
      <x:c r="D349" s="100"/>
      <x:c r="E349" s="100"/>
      <x:c r="F349" s="100"/>
      <x:c r="G349" s="100"/>
      <x:c r="H349" s="101" t="n">
        <x:f>H310</x:f>
        <x:v>0</x:v>
      </x:c>
      <x:c r="I349" s="100"/>
      <x:c r="J349" s="100"/>
      <x:c r="K349" s="100"/>
      <x:c r="L349" s="100"/>
      <x:c r="M349" s="100"/>
      <x:c r="N349" s="2"/>
      <x:c r="O349" s="2"/>
    </x:row>
    <x:row r="350" ht="20" customHeight="1">
      <x:c r="C350" s="2" t="str">
        <x:v>Zero extension reconciles to base</x:v>
      </x:c>
      <x:c r="D350" s="100"/>
      <x:c r="E350" s="100"/>
      <x:c r="F350" s="100"/>
      <x:c r="G350" s="100"/>
      <x:c r="H350" s="101" t="n">
        <x:f>F325-H218</x:f>
        <x:v>0</x:v>
      </x:c>
      <x:c r="I350" s="100"/>
      <x:c r="J350" s="100"/>
      <x:c r="K350" s="100"/>
      <x:c r="L350" s="100"/>
      <x:c r="M350" s="100"/>
      <x:c r="N350" s="2"/>
      <x:c r="O350" s="2"/>
    </x:row>
    <x:row r="351" ht="20" customHeight="1">
      <x:c r="C351" s="2"/>
      <x:c r="D351" s="3"/>
      <x:c r="E351" s="3"/>
      <x:c r="F351" s="3"/>
      <x:c r="G351" s="3"/>
      <x:c r="H351" s="3"/>
      <x:c r="I351" s="3"/>
      <x:c r="J351" s="3"/>
      <x:c r="K351" s="3"/>
      <x:c r="L351" s="3"/>
      <x:c r="M351" s="3"/>
      <x:c r="N351" s="2"/>
      <x:c r="O351" s="2"/>
    </x:row>
    <x:row r="352" ht="20" customHeight="1">
      <x:c r="C352" s="2"/>
      <x:c r="D352" s="3"/>
      <x:c r="E352" s="3"/>
      <x:c r="F352" s="3"/>
      <x:c r="G352" s="3"/>
      <x:c r="H352" s="3"/>
      <x:c r="I352" s="3"/>
      <x:c r="J352" s="3"/>
      <x:c r="K352" s="3"/>
      <x:c r="L352" s="3"/>
      <x:c r="M352" s="3"/>
      <x:c r="N352" s="2"/>
      <x:c r="O352" s="2"/>
    </x:row>
    <x:row r="353" ht="20" customHeight="1">
      <x:c r="C353" s="2"/>
      <x:c r="D353" s="3"/>
      <x:c r="E353" s="3"/>
      <x:c r="F353" s="3"/>
      <x:c r="G353" s="3"/>
      <x:c r="H353" s="3"/>
      <x:c r="I353" s="3"/>
      <x:c r="J353" s="3"/>
      <x:c r="K353" s="3"/>
      <x:c r="L353" s="3"/>
      <x:c r="M353" s="3"/>
      <x:c r="N353" s="2"/>
      <x:c r="O353" s="2"/>
    </x:row>
    <x:row r="354" ht="44" customHeight="1">
      <x:c r="C354" s="16" t="str">
        <x:v>Verification scope: same-build case recalculation, driver changes, missing active inputs, historical preservation, cash/asset/valuation bridges and reverse-DCF repricing. Native desktop Excel recalculation has not been independently tested.</x:v>
      </x:c>
      <x:c r="D354" s="38"/>
      <x:c r="E354" s="38"/>
      <x:c r="F354" s="38"/>
      <x:c r="G354" s="38"/>
      <x:c r="H354" s="38"/>
      <x:c r="I354" s="38"/>
      <x:c r="J354" s="38"/>
      <x:c r="K354" s="38"/>
      <x:c r="L354" s="38"/>
      <x:c r="M354" s="38"/>
      <x:c r="N354" s="2"/>
      <x:c r="O354" s="2"/>
    </x:row>
    <x:row r="355" ht="20" customHeight="1">
      <x:c r="C355" s="2"/>
      <x:c r="D355" s="3"/>
      <x:c r="E355" s="3"/>
      <x:c r="F355" s="3"/>
      <x:c r="G355" s="3"/>
      <x:c r="H355" s="3"/>
      <x:c r="I355" s="3"/>
      <x:c r="J355" s="3"/>
      <x:c r="K355" s="3"/>
      <x:c r="L355" s="3"/>
      <x:c r="M355" s="3"/>
      <x:c r="N355" s="2"/>
      <x:c r="O355" s="2"/>
    </x:row>
    <x:row r="356" ht="20" customHeight="1">
      <x:c r="C356" s="2"/>
      <x:c r="D356" s="3"/>
      <x:c r="E356" s="3"/>
      <x:c r="F356" s="3"/>
      <x:c r="G356" s="3"/>
      <x:c r="H356" s="3"/>
      <x:c r="I356" s="3"/>
      <x:c r="J356" s="3"/>
      <x:c r="K356" s="3"/>
      <x:c r="L356" s="3"/>
      <x:c r="M356" s="3"/>
      <x:c r="N356" s="2"/>
      <x:c r="O356" s="2"/>
    </x:row>
    <x:row r="357" ht="20" customHeight="1">
      <x:c r="C357" s="2"/>
      <x:c r="D357" s="3"/>
      <x:c r="E357" s="3"/>
      <x:c r="F357" s="3"/>
      <x:c r="G357" s="3"/>
      <x:c r="H357" s="3"/>
      <x:c r="I357" s="3"/>
      <x:c r="J357" s="3"/>
      <x:c r="K357" s="3"/>
      <x:c r="L357" s="3"/>
      <x:c r="M357" s="3"/>
      <x:c r="N357" s="2"/>
      <x:c r="O357" s="2"/>
    </x:row>
    <x:row r="358" ht="20" customHeight="1">
      <x:c r="C358" s="2"/>
      <x:c r="D358" s="3"/>
      <x:c r="E358" s="3"/>
      <x:c r="F358" s="3"/>
      <x:c r="G358" s="3"/>
      <x:c r="H358" s="3"/>
      <x:c r="I358" s="3"/>
      <x:c r="J358" s="3"/>
      <x:c r="K358" s="3"/>
      <x:c r="L358" s="3"/>
      <x:c r="M358" s="3"/>
      <x:c r="N358" s="2"/>
      <x:c r="O358" s="2"/>
    </x:row>
    <x:row r="359" ht="20" customHeight="1">
      <x:c r="C359" s="2"/>
      <x:c r="D359" s="3"/>
      <x:c r="E359" s="3"/>
      <x:c r="F359" s="3"/>
      <x:c r="G359" s="3"/>
      <x:c r="H359" s="3"/>
      <x:c r="I359" s="3"/>
      <x:c r="J359" s="3"/>
      <x:c r="K359" s="3"/>
      <x:c r="L359" s="3"/>
      <x:c r="M359" s="3"/>
      <x:c r="N359" s="2"/>
      <x:c r="O359" s="2"/>
    </x:row>
    <x:row r="360" ht="20" customHeight="1">
      <x:c r="C360" s="2"/>
      <x:c r="D360" s="3"/>
      <x:c r="E360" s="3"/>
      <x:c r="F360" s="3"/>
      <x:c r="G360" s="3"/>
      <x:c r="H360" s="3"/>
      <x:c r="I360" s="3"/>
      <x:c r="J360" s="3"/>
      <x:c r="K360" s="3"/>
      <x:c r="L360" s="3"/>
      <x:c r="M360" s="3"/>
      <x:c r="N360" s="2"/>
      <x:c r="O360" s="2"/>
    </x:row>
  </x:sheetData>
  <x:mergeCells>
    <x:mergeCell ref="C90:M90"/>
    <x:mergeCell ref="C103:M103"/>
    <x:mergeCell ref="C224:M224"/>
    <x:mergeCell ref="C226:M226"/>
    <x:mergeCell ref="C228:M228"/>
    <x:mergeCell ref="C267:M267"/>
    <x:mergeCell ref="C270:M270"/>
    <x:mergeCell ref="C273:M273"/>
    <x:mergeCell ref="C276:M276"/>
    <x:mergeCell ref="H316:M316"/>
    <x:mergeCell ref="C312:M312"/>
    <x:mergeCell ref="C332:M332"/>
    <x:mergeCell ref="C354:M354"/>
    <x:mergeCell ref="C105:M105"/>
    <x:mergeCell ref="C318:M318"/>
  </x:mergeCells>
  <x:conditionalFormatting sqref="H158:H158">
    <x:cfRule type="cellIs" dxfId="19" priority="1" operator="notBetween">
      <x:formula>-0.0001</x:formula>
      <x:formula>0.0001</x:formula>
    </x:cfRule>
  </x:conditionalFormatting>
  <x:conditionalFormatting sqref="H159:H159">
    <x:cfRule type="cellIs" dxfId="20" priority="2" operator="notBetween">
      <x:formula>-0.0001</x:formula>
      <x:formula>0.0001</x:formula>
    </x:cfRule>
  </x:conditionalFormatting>
  <x:conditionalFormatting sqref="H160:H160">
    <x:cfRule type="cellIs" dxfId="21" priority="3" operator="notBetween">
      <x:formula>-0.0001</x:formula>
      <x:formula>0.0001</x:formula>
    </x:cfRule>
  </x:conditionalFormatting>
  <x:conditionalFormatting sqref="H161:H161">
    <x:cfRule type="cellIs" dxfId="22" priority="4" operator="notBetween">
      <x:formula>-0.0001</x:formula>
      <x:formula>0.0001</x:formula>
    </x:cfRule>
  </x:conditionalFormatting>
  <x:conditionalFormatting sqref="H156:H156">
    <x:cfRule type="cellIs" dxfId="23" priority="5" operator="lessThanOrEqual">
      <x:formula>0</x:formula>
    </x:cfRule>
  </x:conditionalFormatting>
  <x:conditionalFormatting sqref="H157:H157">
    <x:cfRule type="cellIs" dxfId="24" priority="6" operator="lessThanOrEqual">
      <x:formula>0</x:formula>
    </x:cfRule>
  </x:conditionalFormatting>
  <x:conditionalFormatting sqref="H343:H343">
    <x:cfRule type="cellIs" dxfId="25" priority="7" operator="notBetween">
      <x:formula>-0.01</x:formula>
      <x:formula>0.01</x:formula>
    </x:cfRule>
  </x:conditionalFormatting>
  <x:conditionalFormatting sqref="H344:H344">
    <x:cfRule type="cellIs" dxfId="26" priority="8" operator="notBetween">
      <x:formula>-0.01</x:formula>
      <x:formula>0.01</x:formula>
    </x:cfRule>
  </x:conditionalFormatting>
  <x:conditionalFormatting sqref="H345:H345">
    <x:cfRule type="cellIs" dxfId="27" priority="9" operator="notBetween">
      <x:formula>-0.01</x:formula>
      <x:formula>0.01</x:formula>
    </x:cfRule>
  </x:conditionalFormatting>
  <x:conditionalFormatting sqref="H346:H346">
    <x:cfRule type="cellIs" dxfId="28" priority="10" operator="notBetween">
      <x:formula>-0.01</x:formula>
      <x:formula>0.01</x:formula>
    </x:cfRule>
  </x:conditionalFormatting>
  <x:conditionalFormatting sqref="H347:H347">
    <x:cfRule type="cellIs" dxfId="29" priority="11" operator="notBetween">
      <x:formula>-0.01</x:formula>
      <x:formula>0.01</x:formula>
    </x:cfRule>
  </x:conditionalFormatting>
  <x:conditionalFormatting sqref="H348:H348">
    <x:cfRule type="cellIs" dxfId="30" priority="12" operator="notBetween">
      <x:formula>-0.01</x:formula>
      <x:formula>0.01</x:formula>
    </x:cfRule>
  </x:conditionalFormatting>
  <x:conditionalFormatting sqref="H349:H349">
    <x:cfRule type="cellIs" dxfId="31" priority="13" operator="notBetween">
      <x:formula>-0.01</x:formula>
      <x:formula>0.01</x:formula>
    </x:cfRule>
  </x:conditionalFormatting>
  <x:conditionalFormatting sqref="H350:H350">
    <x:cfRule type="cellIs" dxfId="32" priority="14" operator="notBetween">
      <x:formula>-0.01</x:formula>
      <x:formula>0.01</x:formula>
    </x:cfRule>
  </x:conditionalFormatting>
  <x:pageMargins left="0.7" right="0.7" top="0.75" bottom="0.75" header="0.3" footer="0.3"/>
</x:worksheet>
</file>

<file path=xl/worksheets/sheet6.xml><?xml version="1.0" encoding="utf-8"?>
<x:worksheet xmlns:x="http://schemas.openxmlformats.org/spreadsheetml/2006/main">
  <x:sheetPr>
    <x:tabColor rgb="FF17324F"/>
  </x:sheetPr>
  <x:sheetViews>
    <x:sheetView showGridLines="0" workbookViewId="0"/>
  </x:sheetViews>
  <x:sheetFormatPr defaultRowHeight="15"/>
  <x:cols>
    <x:col min="1" max="1" width="2" hidden="0" customWidth="1"/>
    <x:col min="2" max="2" width="2" hidden="0" customWidth="1"/>
    <x:col min="3" max="3" width="5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 hidden="0" customWidth="1"/>
    <x:col min="15" max="15" width="96" hidden="0" customWidth="1"/>
  </x:cols>
  <x:sheetData>
    <x:row r="1" ht="20" customHeight="1">
      <x:c r="A1" s="2"/>
      <x:c r="B1" s="2"/>
      <x:c r="C1" s="2"/>
      <x:c r="D1" s="2"/>
      <x:c r="E1" s="2"/>
      <x:c r="F1" s="2"/>
      <x:c r="G1" s="2"/>
      <x:c r="H1" s="2"/>
      <x:c r="I1" s="2"/>
      <x:c r="J1" s="2"/>
      <x:c r="K1" s="2"/>
      <x:c r="L1" s="2"/>
      <x:c r="M1" s="2"/>
      <x:c r="N1" s="2"/>
      <x:c r="O1" s="2"/>
    </x:row>
    <x:row r="2" ht="20" customHeight="1">
      <x:c r="A2" s="2"/>
      <x:c r="B2" s="2"/>
      <x:c r="C2" s="4" t="str">
        <x:f>"Polycab "&amp;CHOOSE('02_Drivers+Scenarios'!$D$3,"base","bull","bear")&amp;"-case outlook"</x:f>
        <x:v>Polycab base-case outlook</x:v>
      </x:c>
      <x:c r="D2" s="2"/>
      <x:c r="E2" s="2"/>
      <x:c r="F2" s="2"/>
      <x:c r="G2" s="2"/>
      <x:c r="H2" s="2"/>
      <x:c r="I2" s="2"/>
      <x:c r="J2" s="2"/>
      <x:c r="K2" s="2"/>
      <x:c r="L2" s="2"/>
      <x:c r="M2" s="2"/>
      <x:c r="N2" s="2"/>
      <x:c r="O2" s="2"/>
    </x:row>
    <x:row r="3" ht="20" customHeight="1">
      <x:c r="A3" s="2"/>
      <x:c r="B3" s="2"/>
      <x:c r="C3" s="5"/>
      <x:c r="D3" s="5"/>
      <x:c r="E3" s="5"/>
      <x:c r="F3" s="5"/>
      <x:c r="G3" s="5"/>
      <x:c r="H3" s="5"/>
      <x:c r="I3" s="5"/>
      <x:c r="J3" s="5"/>
      <x:c r="K3" s="5"/>
      <x:c r="L3" s="5"/>
      <x:c r="M3" s="5"/>
      <x:c r="N3" s="2"/>
      <x:c r="O3" s="2"/>
    </x:row>
    <x:row r="4" ht="20" customHeight="1">
      <x:c r="A4" s="2"/>
      <x:c r="B4" s="2"/>
      <x:c r="C4" s="6" t="str">
        <x:v>INR million. March year-end. A = actual; E = estimate.</x:v>
      </x:c>
      <x:c r="D4" s="2"/>
      <x:c r="E4" s="2"/>
      <x:c r="F4" s="2"/>
      <x:c r="G4" s="2"/>
      <x:c r="H4" s="2"/>
      <x:c r="I4" s="2"/>
      <x:c r="J4" s="2"/>
      <x:c r="K4" s="2"/>
      <x:c r="L4" s="2"/>
      <x:c r="M4" s="2"/>
      <x:c r="N4" s="2"/>
      <x:c r="O4" s="2"/>
    </x:row>
    <x:row r="5" ht="20" customHeight="1">
      <x:c r="A5" s="2"/>
      <x:c r="B5" s="2"/>
      <x:c r="C5" s="2" t="str">
        <x:v>Case selected</x:v>
      </x:c>
      <x:c r="D5" s="7" t="str">
        <x:f>CHOOSE('02_Drivers+Scenarios'!$D$3,"Base","Bull","Bear")</x:f>
        <x:v>Base</x:v>
      </x:c>
      <x:c r="E5" s="2"/>
      <x:c r="F5" s="2"/>
      <x:c r="G5" s="2"/>
      <x:c r="H5" s="2"/>
      <x:c r="I5" s="2"/>
      <x:c r="J5" s="2"/>
      <x:c r="K5" s="2"/>
      <x:c r="L5" s="2"/>
      <x:c r="M5" s="2"/>
      <x:c r="N5" s="2"/>
      <x:c r="O5" s="2"/>
    </x:row>
    <x:row r="6" ht="20" customHeight="1">
      <x:c r="A6" s="2"/>
      <x:c r="B6" s="2"/>
      <x:c r="C6" s="9" t="str">
        <x:v>Metric</x:v>
      </x:c>
      <x:c r="D6" s="12" t="str">
        <x:v>FY22A</x:v>
      </x:c>
      <x:c r="E6" s="12" t="str">
        <x:v>FY23A</x:v>
      </x:c>
      <x:c r="F6" s="12" t="str">
        <x:v>FY24A</x:v>
      </x:c>
      <x:c r="G6" s="12" t="str">
        <x:v>FY25A</x:v>
      </x:c>
      <x:c r="H6" s="12" t="str">
        <x:v>FY26A</x:v>
      </x:c>
      <x:c r="I6" s="13" t="str">
        <x:v>FY27E</x:v>
      </x:c>
      <x:c r="J6" s="13" t="str">
        <x:v>FY28E</x:v>
      </x:c>
      <x:c r="K6" s="13" t="str">
        <x:v>FY29E</x:v>
      </x:c>
      <x:c r="L6" s="13" t="str">
        <x:v>FY30E</x:v>
      </x:c>
      <x:c r="M6" s="13" t="str">
        <x:v>FY31E</x:v>
      </x:c>
      <x:c r="N6" s="2"/>
      <x:c r="O6" s="2"/>
    </x:row>
    <x:row r="7" ht="20" customHeight="1">
      <x:c r="A7" s="2"/>
      <x:c r="B7" s="2"/>
      <x:c r="C7" s="2"/>
      <x:c r="D7" s="3"/>
      <x:c r="E7" s="3"/>
      <x:c r="F7" s="3"/>
      <x:c r="G7" s="3"/>
      <x:c r="H7" s="3"/>
      <x:c r="I7" s="3"/>
      <x:c r="J7" s="3"/>
      <x:c r="K7" s="3"/>
      <x:c r="L7" s="3"/>
      <x:c r="M7" s="3"/>
      <x:c r="N7" s="2"/>
      <x:c r="O7" s="2"/>
    </x:row>
    <x:row r="8" ht="20" customHeight="1">
      <x:c r="A8" s="2"/>
      <x:c r="B8" s="2"/>
      <x:c r="C8" s="2"/>
      <x:c r="D8" s="3"/>
      <x:c r="E8" s="3"/>
      <x:c r="F8" s="3"/>
      <x:c r="G8" s="3"/>
      <x:c r="H8" s="3"/>
      <x:c r="I8" s="3"/>
      <x:c r="J8" s="3"/>
      <x:c r="K8" s="3"/>
      <x:c r="L8" s="3"/>
      <x:c r="M8" s="3"/>
      <x:c r="N8" s="2"/>
      <x:c r="O8" s="2"/>
    </x:row>
    <x:row r="9" ht="20" customHeight="1">
      <x:c r="A9" s="2"/>
      <x:c r="B9" s="2"/>
      <x:c r="C9" s="47" t="str">
        <x:v>Revenue</x:v>
      </x:c>
      <x:c r="D9" s="54" t="n">
        <x:f>'03_3Statement+Schedules'!D9</x:f>
        <x:v>122037.61</x:v>
      </x:c>
      <x:c r="E9" s="54" t="n">
        <x:f>'03_3Statement+Schedules'!E9</x:f>
        <x:v>141077.78</x:v>
      </x:c>
      <x:c r="F9" s="54" t="n">
        <x:f>'03_3Statement+Schedules'!F9</x:f>
        <x:v>180394.44</x:v>
      </x:c>
      <x:c r="G9" s="54" t="n">
        <x:f>'03_3Statement+Schedules'!G9</x:f>
        <x:v>224083.13</x:v>
      </x:c>
      <x:c r="H9" s="54" t="n">
        <x:f>'03_3Statement+Schedules'!H9</x:f>
        <x:v>288837.92</x:v>
      </x:c>
      <x:c r="I9" s="54" t="n">
        <x:f>'03_3Statement+Schedules'!I9</x:f>
        <x:v>356060.0821978763</x:v>
      </x:c>
      <x:c r="J9" s="54" t="n">
        <x:f>'03_3Statement+Schedules'!J9</x:f>
        <x:v>421774.0254034791</x:v>
      </x:c>
      <x:c r="K9" s="54" t="n">
        <x:f>'03_3Statement+Schedules'!K9</x:f>
        <x:v>493020.2812259107</x:v>
      </x:c>
      <x:c r="L9" s="54" t="n">
        <x:f>'03_3Statement+Schedules'!L9</x:f>
        <x:v>569345.1749434969</x:v>
      </x:c>
      <x:c r="M9" s="54" t="n">
        <x:f>'03_3Statement+Schedules'!M9</x:f>
        <x:v>646963.6080530502</x:v>
      </x:c>
      <x:c r="N9" s="2"/>
      <x:c r="O9" s="2"/>
    </x:row>
    <x:row r="10" ht="20" customHeight="1">
      <x:c r="A10" s="2"/>
      <x:c r="B10" s="2"/>
      <x:c r="C10" s="24" t="str">
        <x:v>Revenue growth</x:v>
      </x:c>
      <x:c r="D10" s="25" t="str">
        <x:v>n.a.</x:v>
      </x:c>
      <x:c r="E10" s="25" t="n">
        <x:f>E9/D9-1</x:f>
        <x:v>0.1560188699205105</x:v>
      </x:c>
      <x:c r="F10" s="25" t="n">
        <x:f>F9/E9-1</x:f>
        <x:v>0.278687827381463</x:v>
      </x:c>
      <x:c r="G10" s="25" t="n">
        <x:f>G9/F9-1</x:f>
        <x:v>0.24218423805079592</x:v>
      </x:c>
      <x:c r="H10" s="25" t="n">
        <x:f>H9/G9-1</x:f>
        <x:v>0.28897664005318013</x:v>
      </x:c>
      <x:c r="I10" s="25" t="n">
        <x:f>I9/H9-1</x:f>
        <x:v>0.23273316120638277</x:v>
      </x:c>
      <x:c r="J10" s="25" t="n">
        <x:f>J9/I9-1</x:f>
        <x:v>0.1845585801136873</x:v>
      </x:c>
      <x:c r="K10" s="25" t="n">
        <x:f>K9/J9-1</x:f>
        <x:v>0.16892044443532472</x:v>
      </x:c>
      <x:c r="L10" s="25" t="n">
        <x:f>L9/K9-1</x:f>
        <x:v>0.1548108599666569</x:v>
      </x:c>
      <x:c r="M10" s="25" t="n">
        <x:f>M9/L9-1</x:f>
        <x:v>0.13632930693977752</x:v>
      </x:c>
      <x:c r="N10" s="2"/>
      <x:c r="O10" s="2"/>
    </x:row>
    <x:row r="11" ht="20" customHeight="1">
      <x:c r="A11" s="2"/>
      <x:c r="B11" s="2"/>
      <x:c r="C11" s="2"/>
      <x:c r="D11" s="3"/>
      <x:c r="E11" s="3"/>
      <x:c r="F11" s="3"/>
      <x:c r="G11" s="3"/>
      <x:c r="H11" s="3"/>
      <x:c r="I11" s="3"/>
      <x:c r="J11" s="3"/>
      <x:c r="K11" s="3"/>
      <x:c r="L11" s="3"/>
      <x:c r="M11" s="3"/>
      <x:c r="N11" s="2"/>
      <x:c r="O11" s="2"/>
    </x:row>
    <x:row r="12" ht="20" customHeight="1">
      <x:c r="A12" s="2"/>
      <x:c r="B12" s="2"/>
      <x:c r="C12" s="47" t="str">
        <x:v>Operating EBITDA</x:v>
      </x:c>
      <x:c r="D12" s="54" t="n">
        <x:f>'03_3Statement+Schedules'!D13</x:f>
        <x:v>12651.98999999999</x:v>
      </x:c>
      <x:c r="E12" s="54" t="n">
        <x:f>'03_3Statement+Schedules'!E13</x:f>
        <x:v>18521.140000000007</x:v>
      </x:c>
      <x:c r="F12" s="54" t="n">
        <x:f>'03_3Statement+Schedules'!F13</x:f>
        <x:v>24918.049999999996</x:v>
      </x:c>
      <x:c r="G12" s="54" t="n">
        <x:f>'03_3Statement+Schedules'!G13</x:f>
        <x:v>29602.400000000016</x:v>
      </x:c>
      <x:c r="H12" s="54" t="n">
        <x:f>'03_3Statement+Schedules'!H13</x:f>
        <x:v>40057.279999999955</x:v>
      </x:c>
      <x:c r="I12" s="54" t="n">
        <x:f>'03_3Statement+Schedules'!I13</x:f>
        <x:v>47232.90988089188</x:v>
      </x:c>
      <x:c r="J12" s="54" t="n">
        <x:f>'03_3Statement+Schedules'!J13</x:f>
        <x:v>54205.54140835151</x:v>
      </x:c>
      <x:c r="K12" s="54" t="n">
        <x:f>'03_3Statement+Schedules'!K13</x:f>
        <x:v>61345.88427209601</x:v>
      </x:c>
      <x:c r="L12" s="54" t="n">
        <x:f>'03_3Statement+Schedules'!L13</x:f>
        <x:v>68391.51648332927</x:v>
      </x:c>
      <x:c r="M12" s="54" t="n">
        <x:f>'03_3Statement+Schedules'!M13</x:f>
        <x:v>77759.74881576226</x:v>
      </x:c>
      <x:c r="N12" s="2"/>
      <x:c r="O12" s="2"/>
    </x:row>
    <x:row r="13" ht="20" customHeight="1">
      <x:c r="A13" s="2"/>
      <x:c r="B13" s="2"/>
      <x:c r="C13" s="24" t="str">
        <x:v>Operating EBITDA margin</x:v>
      </x:c>
      <x:c r="D13" s="25" t="n">
        <x:f>'03_3Statement+Schedules'!D26</x:f>
        <x:v>0.10367287592734724</x:v>
      </x:c>
      <x:c r="E13" s="25" t="n">
        <x:f>'03_3Statement+Schedules'!E26</x:f>
        <x:v>0.1312831829363916</x:v>
      </x:c>
      <x:c r="F13" s="25" t="n">
        <x:f>'03_3Statement+Schedules'!F26</x:f>
        <x:v>0.13813092022126622</x:v>
      </x:c>
      <x:c r="G13" s="25" t="n">
        <x:f>'03_3Statement+Schedules'!G26</x:f>
        <x:v>0.13210454530869867</x:v>
      </x:c>
      <x:c r="H13" s="25" t="n">
        <x:f>'03_3Statement+Schedules'!H26</x:f>
        <x:v>0.13868428355944384</x:v>
      </x:c>
      <x:c r="I13" s="25" t="n">
        <x:f>'03_3Statement+Schedules'!I26</x:f>
        <x:v>0.13265432504911553</x:v>
      </x:c>
      <x:c r="J13" s="25" t="n">
        <x:f>'03_3Statement+Schedules'!J26</x:f>
        <x:v>0.1285179696793732</x:v>
      </x:c>
      <x:c r="K13" s="25" t="n">
        <x:f>'03_3Statement+Schedules'!K26</x:f>
        <x:v>0.12442872353964325</x:v>
      </x:c>
      <x:c r="L13" s="25" t="n">
        <x:f>'03_3Statement+Schedules'!L26</x:f>
        <x:v>0.12012311598164785</x:v>
      </x:c>
      <x:c r="M13" s="25" t="n">
        <x:f>'03_3Statement+Schedules'!M26</x:f>
        <x:v>0.12019184363363147</x:v>
      </x:c>
      <x:c r="N13" s="2"/>
      <x:c r="O13" s="2"/>
    </x:row>
    <x:row r="14" ht="20" customHeight="1">
      <x:c r="A14" s="2"/>
      <x:c r="B14" s="2"/>
      <x:c r="C14" s="2"/>
      <x:c r="D14" s="3"/>
      <x:c r="E14" s="3"/>
      <x:c r="F14" s="3"/>
      <x:c r="G14" s="3"/>
      <x:c r="H14" s="3"/>
      <x:c r="I14" s="3"/>
      <x:c r="J14" s="3"/>
      <x:c r="K14" s="3"/>
      <x:c r="L14" s="3"/>
      <x:c r="M14" s="3"/>
      <x:c r="N14" s="2"/>
      <x:c r="O14" s="2"/>
    </x:row>
    <x:row r="15" ht="20" customHeight="1">
      <x:c r="A15" s="2"/>
      <x:c r="B15" s="2"/>
      <x:c r="C15" s="47" t="str">
        <x:v>Parent PAT</x:v>
      </x:c>
      <x:c r="D15" s="54" t="n">
        <x:f>'03_3Statement+Schedules'!D24</x:f>
        <x:v>9085.77</x:v>
      </x:c>
      <x:c r="E15" s="54" t="n">
        <x:f>'03_3Statement+Schedules'!E24</x:f>
        <x:v>12707.83</x:v>
      </x:c>
      <x:c r="F15" s="54" t="n">
        <x:f>'03_3Statement+Schedules'!F24</x:f>
        <x:v>17840.45</x:v>
      </x:c>
      <x:c r="G15" s="54" t="n">
        <x:f>'03_3Statement+Schedules'!G24</x:f>
        <x:v>20199.9</x:v>
      </x:c>
      <x:c r="H15" s="54" t="n">
        <x:f>'03_3Statement+Schedules'!H24</x:f>
        <x:v>26720.33</x:v>
      </x:c>
      <x:c r="I15" s="54" t="n">
        <x:f>'03_3Statement+Schedules'!I24</x:f>
        <x:v>31476.780134041896</x:v>
      </x:c>
      <x:c r="J15" s="54" t="n">
        <x:f>'03_3Statement+Schedules'!J24</x:f>
        <x:v>34824.81970281911</x:v>
      </x:c>
      <x:c r="K15" s="54" t="n">
        <x:f>'03_3Statement+Schedules'!K24</x:f>
        <x:v>39515.83133499486</x:v>
      </x:c>
      <x:c r="L15" s="54" t="n">
        <x:f>'03_3Statement+Schedules'!L24</x:f>
        <x:v>44381.759902668295</x:v>
      </x:c>
      <x:c r="M15" s="54" t="n">
        <x:f>'03_3Statement+Schedules'!M24</x:f>
        <x:v>51157.62710878663</x:v>
      </x:c>
      <x:c r="N15" s="2"/>
      <x:c r="O15" s="2"/>
    </x:row>
    <x:row r="16" ht="20" customHeight="1">
      <x:c r="A16" s="2"/>
      <x:c r="B16" s="2"/>
      <x:c r="C16" s="2" t="str">
        <x:v>Diluted EPS (INR)</x:v>
      </x:c>
      <x:c r="D16" s="64" t="n">
        <x:f>'03_3Statement+Schedules'!D25</x:f>
        <x:v>60.6</x:v>
      </x:c>
      <x:c r="E16" s="64" t="n">
        <x:f>'03_3Statement+Schedules'!E25</x:f>
        <x:v>84.66</x:v>
      </x:c>
      <x:c r="F16" s="64" t="n">
        <x:f>'03_3Statement+Schedules'!F25</x:f>
        <x:v>118.49</x:v>
      </x:c>
      <x:c r="G16" s="64" t="n">
        <x:f>'03_3Statement+Schedules'!G25</x:f>
        <x:v>133.8</x:v>
      </x:c>
      <x:c r="H16" s="64" t="n">
        <x:f>'03_3Statement+Schedules'!H25</x:f>
        <x:v>176.95</x:v>
      </x:c>
      <x:c r="I16" s="64" t="n">
        <x:f>'03_3Statement+Schedules'!I25</x:f>
        <x:v>208.453527621576</x:v>
      </x:c>
      <x:c r="J16" s="64" t="n">
        <x:f>'03_3Statement+Schedules'!J25</x:f>
        <x:v>230.6257655619315</x:v>
      </x:c>
      <x:c r="K16" s="64" t="n">
        <x:f>'03_3Statement+Schedules'!K25</x:f>
        <x:v>261.69177417770265</x:v>
      </x:c>
      <x:c r="L16" s="64" t="n">
        <x:f>'03_3Statement+Schedules'!L25</x:f>
        <x:v>293.9161621477146</x:v>
      </x:c>
      <x:c r="M16" s="64" t="n">
        <x:f>'03_3Statement+Schedules'!M25</x:f>
        <x:v>338.7890308399975</x:v>
      </x:c>
      <x:c r="N16" s="2"/>
      <x:c r="O16" s="2"/>
    </x:row>
    <x:row r="17" ht="20" customHeight="1">
      <x:c r="A17" s="2"/>
      <x:c r="B17" s="2"/>
      <x:c r="C17" s="2"/>
      <x:c r="D17" s="3"/>
      <x:c r="E17" s="3"/>
      <x:c r="F17" s="3"/>
      <x:c r="G17" s="3"/>
      <x:c r="H17" s="3"/>
      <x:c r="I17" s="3"/>
      <x:c r="J17" s="3"/>
      <x:c r="K17" s="3"/>
      <x:c r="L17" s="3"/>
      <x:c r="M17" s="3"/>
      <x:c r="N17" s="2"/>
      <x:c r="O17" s="2"/>
    </x:row>
    <x:row r="18" ht="20" customHeight="1">
      <x:c r="A18" s="2"/>
      <x:c r="B18" s="2"/>
      <x:c r="C18" s="2" t="str">
        <x:v>Net cash capex</x:v>
      </x:c>
      <x:c r="D18" s="3" t="n">
        <x:f>'03_3Statement+Schedules'!D89</x:f>
        <x:v>5200.03</x:v>
      </x:c>
      <x:c r="E18" s="3" t="n">
        <x:f>'03_3Statement+Schedules'!E89</x:f>
        <x:v>4584.179999999999</x:v>
      </x:c>
      <x:c r="F18" s="3" t="n">
        <x:f>'03_3Statement+Schedules'!F89</x:f>
        <x:v>8579.72</x:v>
      </x:c>
      <x:c r="G18" s="3" t="n">
        <x:f>'03_3Statement+Schedules'!G89</x:f>
        <x:v>9583.37</x:v>
      </x:c>
      <x:c r="H18" s="3" t="n">
        <x:f>'03_3Statement+Schedules'!H89</x:f>
        <x:v>14799.340000000002</x:v>
      </x:c>
      <x:c r="I18" s="3" t="n">
        <x:f>'03_3Statement+Schedules'!I89</x:f>
        <x:v>14000</x:v>
      </x:c>
      <x:c r="J18" s="3" t="n">
        <x:f>'03_3Statement+Schedules'!J89</x:f>
        <x:v>14000</x:v>
      </x:c>
      <x:c r="K18" s="3" t="n">
        <x:f>'03_3Statement+Schedules'!K89</x:f>
        <x:v>14000</x:v>
      </x:c>
      <x:c r="L18" s="3" t="n">
        <x:f>'03_3Statement+Schedules'!L89</x:f>
        <x:v>14000</x:v>
      </x:c>
      <x:c r="M18" s="3" t="n">
        <x:f>'03_3Statement+Schedules'!M89</x:f>
        <x:v>15819.999999999998</x:v>
      </x:c>
      <x:c r="N18" s="2"/>
      <x:c r="O18" s="2"/>
    </x:row>
    <x:row r="19" ht="20" customHeight="1">
      <x:c r="A19" s="2"/>
      <x:c r="B19" s="2"/>
      <x:c r="C19" s="47" t="str">
        <x:v>Operating FCFF</x:v>
      </x:c>
      <x:c r="D19" s="54" t="str">
        <x:v>n.a.</x:v>
      </x:c>
      <x:c r="E19" s="54" t="n">
        <x:f>'04_Valuation'!E16</x:f>
        <x:v>3319.3991032862195</x:v>
      </x:c>
      <x:c r="F19" s="54" t="n">
        <x:f>'04_Valuation'!F16</x:f>
        <x:v>-4078.26382229899</x:v>
      </x:c>
      <x:c r="G19" s="54" t="n">
        <x:f>'04_Valuation'!G16</x:f>
        <x:v>12225.007503833072</x:v>
      </x:c>
      <x:c r="H19" s="54" t="n">
        <x:f>'04_Valuation'!H16</x:f>
        <x:v>-7412.105897143072</x:v>
      </x:c>
      <x:c r="I19" s="54" t="n">
        <x:f>'04_Valuation'!I16</x:f>
        <x:v>1120.7991056994579</x:v>
      </x:c>
      <x:c r="J19" s="54" t="n">
        <x:f>'04_Valuation'!J16</x:f>
        <x:v>10036.163945279717</x:v>
      </x:c>
      <x:c r="K19" s="54" t="n">
        <x:f>'04_Valuation'!K16</x:f>
        <x:v>14091.086790474732</x:v>
      </x:c>
      <x:c r="L19" s="54" t="n">
        <x:f>'04_Valuation'!L16</x:f>
        <x:v>18274.517319029375</x:v>
      </x:c>
      <x:c r="M19" s="54" t="n">
        <x:f>'04_Valuation'!M16</x:f>
        <x:v>23349.792028214426</x:v>
      </x:c>
      <x:c r="N19" s="2"/>
      <x:c r="O19" s="2"/>
    </x:row>
    <x:row r="20" ht="20" customHeight="1">
      <x:c r="A20" s="2"/>
      <x:c r="B20" s="2"/>
      <x:c r="C20" s="2"/>
      <x:c r="D20" s="3"/>
      <x:c r="E20" s="3"/>
      <x:c r="F20" s="3"/>
      <x:c r="G20" s="3"/>
      <x:c r="H20" s="3"/>
      <x:c r="I20" s="3"/>
      <x:c r="J20" s="3"/>
      <x:c r="K20" s="3"/>
      <x:c r="L20" s="3"/>
      <x:c r="M20" s="3"/>
      <x:c r="N20" s="2"/>
      <x:c r="O20" s="2"/>
    </x:row>
    <x:row r="21" ht="20" customHeight="1">
      <x:c r="A21" s="2"/>
      <x:c r="B21" s="2"/>
      <x:c r="C21" s="24" t="str">
        <x:v>Export mix</x:v>
      </x:c>
      <x:c r="D21" s="25" t="n">
        <x:f>'03_3Statement+Schedules'!D122</x:f>
        <x:v>0.07562635813664328</x:v>
      </x:c>
      <x:c r="E21" s="25" t="n">
        <x:f>'03_3Statement+Schedules'!E122</x:f>
        <x:v>0.09806810115668109</x:v>
      </x:c>
      <x:c r="F21" s="25" t="n">
        <x:f>'03_3Statement+Schedules'!F122</x:f>
        <x:v>0.0796011783955204</x:v>
      </x:c>
      <x:c r="G21" s="25" t="n">
        <x:f>'03_3Statement+Schedules'!G122</x:f>
        <x:v>0.060030668082867285</x:v>
      </x:c>
      <x:c r="H21" s="25" t="n">
        <x:f>'03_3Statement+Schedules'!H122</x:f>
        <x:v>0.05433725599464226</x:v>
      </x:c>
      <x:c r="I21" s="25" t="n">
        <x:f>'03_3Statement+Schedules'!I122</x:f>
        <x:v>0.050690487090236505</x:v>
      </x:c>
      <x:c r="J21" s="25" t="n">
        <x:f>'03_3Statement+Schedules'!J122</x:f>
        <x:v>0.053490903638310904</x:v>
      </x:c>
      <x:c r="K21" s="25" t="n">
        <x:f>'03_3Statement+Schedules'!K122</x:f>
        <x:v>0.0572011806844466</x:v>
      </x:c>
      <x:c r="L21" s="25" t="n">
        <x:f>'03_3Statement+Schedules'!L122</x:f>
        <x:v>0.061916178946933985</x:v>
      </x:c>
      <x:c r="M21" s="25" t="n">
        <x:f>'03_3Statement+Schedules'!M122</x:f>
        <x:v>0.06810985443304177</x:v>
      </x:c>
      <x:c r="N21" s="2"/>
      <x:c r="O21" s="2"/>
    </x:row>
    <x:row r="22" ht="20" customHeight="1">
      <x:c r="A22" s="2"/>
      <x:c r="B22" s="2"/>
      <x:c r="C22" s="2" t="str">
        <x:v>Funded closing cash cycle</x:v>
      </x:c>
      <x:c r="D22" s="3" t="n">
        <x:f>'03_3Statement+Schedules'!D128</x:f>
        <x:v>76.64440325481266</x:v>
      </x:c>
      <x:c r="E22" s="3" t="n">
        <x:f>'03_3Statement+Schedules'!E128</x:f>
        <x:v>64.15629204958307</x:v>
      </x:c>
      <x:c r="F22" s="3" t="n">
        <x:f>'03_3Statement+Schedules'!F128</x:f>
        <x:v>63.731684164385676</x:v>
      </x:c>
      <x:c r="G22" s="3" t="n">
        <x:f>'03_3Statement+Schedules'!G128</x:f>
        <x:v>62.362227254799805</x:v>
      </x:c>
      <x:c r="H22" s="3" t="n">
        <x:f>'03_3Statement+Schedules'!H128</x:f>
        <x:v>38.95758119172133</x:v>
      </x:c>
      <x:c r="I22" s="3" t="n">
        <x:f>'03_3Statement+Schedules'!I128</x:f>
        <x:v>63.731684164385676</x:v>
      </x:c>
      <x:c r="J22" s="3" t="n">
        <x:f>'03_3Statement+Schedules'!J128</x:f>
        <x:v>63.731684164385676</x:v>
      </x:c>
      <x:c r="K22" s="3" t="n">
        <x:f>'03_3Statement+Schedules'!K128</x:f>
        <x:v>63.731684164385676</x:v>
      </x:c>
      <x:c r="L22" s="3" t="n">
        <x:f>'03_3Statement+Schedules'!L128</x:f>
        <x:v>63.731684164385676</x:v>
      </x:c>
      <x:c r="M22" s="3" t="n">
        <x:f>'03_3Statement+Schedules'!M128</x:f>
        <x:v>63.731684164385676</x:v>
      </x:c>
      <x:c r="N22" s="2"/>
      <x:c r="O22" s="2"/>
    </x:row>
    <x:row r="23" ht="20" customHeight="1">
      <x:c r="A23" s="2"/>
      <x:c r="B23" s="2"/>
      <x:c r="C23" s="2"/>
      <x:c r="D23" s="3"/>
      <x:c r="E23" s="3"/>
      <x:c r="F23" s="3"/>
      <x:c r="G23" s="3"/>
      <x:c r="H23" s="3"/>
      <x:c r="I23" s="3"/>
      <x:c r="J23" s="3"/>
      <x:c r="K23" s="3"/>
      <x:c r="L23" s="3"/>
      <x:c r="M23" s="3"/>
      <x:c r="N23" s="2"/>
      <x:c r="O23" s="2"/>
    </x:row>
    <x:row r="24" ht="20" customHeight="1">
      <x:c r="A24" s="2"/>
      <x:c r="B24" s="2"/>
      <x:c r="C24" s="47" t="str">
        <x:v>Treasury assets</x:v>
      </x:c>
      <x:c r="D24" s="54" t="n">
        <x:f>'03_3Statement+Schedules'!D39</x:f>
        <x:v>11711.69</x:v>
      </x:c>
      <x:c r="E24" s="54" t="n">
        <x:f>'03_3Statement+Schedules'!E39</x:f>
        <x:v>20457.38</x:v>
      </x:c>
      <x:c r="F24" s="54" t="n">
        <x:f>'03_3Statement+Schedules'!F39</x:f>
        <x:v>22247.75</x:v>
      </x:c>
      <x:c r="G24" s="54" t="n">
        <x:f>'03_3Statement+Schedules'!G39</x:f>
        <x:v>25196.78</x:v>
      </x:c>
      <x:c r="H24" s="54" t="n">
        <x:f>'03_3Statement+Schedules'!H39</x:f>
        <x:v>42872.93000000001</x:v>
      </x:c>
      <x:c r="I24" s="54" t="n">
        <x:f>'03_3Statement+Schedules'!I39</x:f>
        <x:v>24756.165475716476</x:v>
      </x:c>
      <x:c r="J24" s="54" t="n">
        <x:f>'03_3Statement+Schedules'!J39</x:f>
        <x:v>30661.024912115445</x:v>
      </x:c>
      <x:c r="K24" s="54" t="n">
        <x:f>'03_3Statement+Schedules'!K39</x:f>
        <x:v>39828.03516045959</x:v>
      </x:c>
      <x:c r="L24" s="54" t="n">
        <x:f>'03_3Statement+Schedules'!L39</x:f>
        <x:v>52018.18126243949</x:v>
      </x:c>
      <x:c r="M24" s="54" t="n">
        <x:f>'03_3Statement+Schedules'!M39</x:f>
        <x:v>67709.70126856246</x:v>
      </x:c>
      <x:c r="N24" s="2"/>
      <x:c r="O24" s="2"/>
    </x:row>
    <x:row r="25" ht="20" customHeight="1">
      <x:c r="A25" s="2"/>
      <x:c r="B25" s="2"/>
      <x:c r="C25" s="2" t="str">
        <x:v>Funding shortfall</x:v>
      </x:c>
      <x:c r="D25" s="3" t="n">
        <x:f>'03_3Statement+Schedules'!D85</x:f>
        <x:v>0</x:v>
      </x:c>
      <x:c r="E25" s="3" t="n">
        <x:f>'03_3Statement+Schedules'!E85</x:f>
        <x:v>0</x:v>
      </x:c>
      <x:c r="F25" s="3" t="n">
        <x:f>'03_3Statement+Schedules'!F85</x:f>
        <x:v>0</x:v>
      </x:c>
      <x:c r="G25" s="3" t="n">
        <x:f>'03_3Statement+Schedules'!G85</x:f>
        <x:v>0</x:v>
      </x:c>
      <x:c r="H25" s="3" t="n">
        <x:f>'03_3Statement+Schedules'!H85</x:f>
        <x:v>0</x:v>
      </x:c>
      <x:c r="I25" s="3" t="n">
        <x:f>'03_3Statement+Schedules'!I85</x:f>
        <x:v>0</x:v>
      </x:c>
      <x:c r="J25" s="3" t="n">
        <x:f>'03_3Statement+Schedules'!J85</x:f>
        <x:v>0</x:v>
      </x:c>
      <x:c r="K25" s="3" t="n">
        <x:f>'03_3Statement+Schedules'!K85</x:f>
        <x:v>0</x:v>
      </x:c>
      <x:c r="L25" s="3" t="n">
        <x:f>'03_3Statement+Schedules'!L85</x:f>
        <x:v>0</x:v>
      </x:c>
      <x:c r="M25" s="3" t="n">
        <x:f>'03_3Statement+Schedules'!M85</x:f>
        <x:v>0</x:v>
      </x:c>
      <x:c r="N25" s="2"/>
      <x:c r="O25" s="2"/>
    </x:row>
    <x:row r="26" ht="20" customHeight="1">
      <x:c r="A26" s="2"/>
      <x:c r="B26" s="2"/>
      <x:c r="C26" s="2"/>
      <x:c r="D26" s="3"/>
      <x:c r="E26" s="3"/>
      <x:c r="F26" s="3"/>
      <x:c r="G26" s="3"/>
      <x:c r="H26" s="3"/>
      <x:c r="I26" s="3"/>
      <x:c r="J26" s="3"/>
      <x:c r="K26" s="3"/>
      <x:c r="L26" s="3"/>
      <x:c r="M26" s="3"/>
      <x:c r="N26" s="2"/>
      <x:c r="O26" s="2"/>
    </x:row>
    <x:row r="27" ht="20" customHeight="1">
      <x:c r="A27" s="2"/>
      <x:c r="B27" s="2"/>
      <x:c r="C27" s="2"/>
      <x:c r="D27" s="3"/>
      <x:c r="E27" s="3"/>
      <x:c r="F27" s="3"/>
      <x:c r="G27" s="3"/>
      <x:c r="H27" s="3"/>
      <x:c r="I27" s="3"/>
      <x:c r="J27" s="3"/>
      <x:c r="K27" s="3"/>
      <x:c r="L27" s="3"/>
      <x:c r="M27" s="3"/>
      <x:c r="N27" s="2"/>
      <x:c r="O27" s="2"/>
    </x:row>
    <x:row r="28" ht="32" customHeight="1">
      <x:c r="A28" s="2"/>
      <x:c r="B28" s="2"/>
      <x:c r="C28" s="16" t="str">
        <x:v>FY27 cash generation normalizes supplier funding. Asset commissioning now drives depreciation, with linked cash/investment allocation and return measures.</x:v>
      </x:c>
      <x:c r="D28" s="38"/>
      <x:c r="E28" s="38"/>
      <x:c r="F28" s="38"/>
      <x:c r="G28" s="38"/>
      <x:c r="H28" s="38"/>
      <x:c r="I28" s="38"/>
      <x:c r="J28" s="38"/>
      <x:c r="K28" s="38"/>
      <x:c r="L28" s="38"/>
      <x:c r="M28" s="38"/>
      <x:c r="N28" s="2"/>
      <x:c r="O28" s="2"/>
    </x:row>
    <x:row r="29" ht="20" customHeight="1">
      <x:c r="A29" s="2"/>
      <x:c r="B29" s="2"/>
      <x:c r="C29" s="2"/>
      <x:c r="D29" s="3"/>
      <x:c r="E29" s="3"/>
      <x:c r="F29" s="3"/>
      <x:c r="G29" s="3"/>
      <x:c r="H29" s="3"/>
      <x:c r="I29" s="3"/>
      <x:c r="J29" s="3"/>
      <x:c r="K29" s="3"/>
      <x:c r="L29" s="3"/>
      <x:c r="M29" s="3"/>
      <x:c r="N29" s="2"/>
      <x:c r="O29" s="2"/>
    </x:row>
    <x:row r="30" ht="32" customHeight="1">
      <x:c r="A30" s="2"/>
      <x:c r="B30" s="2"/>
      <x:c r="C30" s="16" t="str">
        <x:v>Base-case export share remains below the FY30 management ambition. Revenue growth and margins retain the prior evidence-based operating assumptions.</x:v>
      </x:c>
      <x:c r="D30" s="38"/>
      <x:c r="E30" s="38"/>
      <x:c r="F30" s="38"/>
      <x:c r="G30" s="38"/>
      <x:c r="H30" s="38"/>
      <x:c r="I30" s="38"/>
      <x:c r="J30" s="38"/>
      <x:c r="K30" s="38"/>
      <x:c r="L30" s="38"/>
      <x:c r="M30" s="38"/>
      <x:c r="N30" s="2"/>
      <x:c r="O30" s="2"/>
    </x:row>
    <x:row r="31" ht="20" customHeight="1">
      <x:c r="A31" s="2"/>
      <x:c r="B31" s="2"/>
      <x:c r="C31" s="2"/>
      <x:c r="D31" s="3"/>
      <x:c r="E31" s="3"/>
      <x:c r="F31" s="3"/>
      <x:c r="G31" s="3"/>
      <x:c r="H31" s="3"/>
      <x:c r="I31" s="3"/>
      <x:c r="J31" s="3"/>
      <x:c r="K31" s="3"/>
      <x:c r="L31" s="3"/>
      <x:c r="M31" s="3"/>
      <x:c r="N31" s="2"/>
      <x:c r="O31" s="2"/>
    </x:row>
    <x:row r="32" ht="32" customHeight="1">
      <x:c r="A32" s="2"/>
      <x:c r="B32" s="2"/>
      <x:c r="C32" s="16" t="str">
        <x:v>Valuation and all peer prices use 11 September 2026. September financing claims are estimated, with dividend timing explicit. The March-anchored DCF is retained in Valuation as a reference.</x:v>
      </x:c>
      <x:c r="D32" s="38"/>
      <x:c r="E32" s="38"/>
      <x:c r="F32" s="38"/>
      <x:c r="G32" s="38"/>
      <x:c r="H32" s="38"/>
      <x:c r="I32" s="38"/>
      <x:c r="J32" s="38"/>
      <x:c r="K32" s="38"/>
      <x:c r="L32" s="38"/>
      <x:c r="M32" s="38"/>
      <x:c r="N32" s="2"/>
      <x:c r="O32" s="2"/>
    </x:row>
    <x:row r="33" ht="20" customHeight="1">
      <x:c r="A33" s="2"/>
      <x:c r="B33" s="2"/>
      <x:c r="C33" s="2"/>
      <x:c r="D33" s="3"/>
      <x:c r="E33" s="3"/>
      <x:c r="F33" s="3"/>
      <x:c r="G33" s="3"/>
      <x:c r="H33" s="3"/>
      <x:c r="I33" s="3"/>
      <x:c r="J33" s="3"/>
      <x:c r="K33" s="3"/>
      <x:c r="L33" s="3"/>
      <x:c r="M33" s="3"/>
      <x:c r="N33" s="2"/>
      <x:c r="O33" s="2"/>
    </x:row>
    <x:row r="34" ht="20" customHeight="1">
      <x:c r="A34" s="2"/>
      <x:c r="B34" s="2"/>
      <x:c r="C34" s="2"/>
      <x:c r="D34" s="3"/>
      <x:c r="E34" s="3"/>
      <x:c r="F34" s="3"/>
      <x:c r="G34" s="3"/>
      <x:c r="H34" s="3"/>
      <x:c r="I34" s="3"/>
      <x:c r="J34" s="3"/>
      <x:c r="K34" s="3"/>
      <x:c r="L34" s="3"/>
      <x:c r="M34" s="3"/>
      <x:c r="N34" s="2"/>
      <x:c r="O34" s="2"/>
    </x:row>
    <x:row r="35" ht="20" customHeight="1">
      <x:c r="A35" s="2"/>
      <x:c r="B35" s="2"/>
      <x:c r="C35" s="2"/>
      <x:c r="D35" s="3"/>
      <x:c r="E35" s="3"/>
      <x:c r="F35" s="3"/>
      <x:c r="G35" s="3"/>
      <x:c r="H35" s="3"/>
      <x:c r="I35" s="3"/>
      <x:c r="J35" s="3"/>
      <x:c r="K35" s="3"/>
      <x:c r="L35" s="3"/>
      <x:c r="M35" s="3"/>
      <x:c r="N35" s="2"/>
      <x:c r="O35" s="2"/>
    </x:row>
    <x:row r="36" ht="20" customHeight="1">
      <x:c r="A36" s="2"/>
      <x:c r="B36" s="2"/>
      <x:c r="C36" s="2"/>
      <x:c r="D36" s="3"/>
      <x:c r="E36" s="3"/>
      <x:c r="F36" s="3"/>
      <x:c r="G36" s="3"/>
      <x:c r="H36" s="3"/>
      <x:c r="I36" s="3"/>
      <x:c r="J36" s="3"/>
      <x:c r="K36" s="3"/>
      <x:c r="L36" s="3"/>
      <x:c r="M36" s="3"/>
      <x:c r="N36" s="2"/>
      <x:c r="O36" s="2"/>
    </x:row>
    <x:row r="37" ht="20" customHeight="1">
      <x:c r="A37" s="2"/>
      <x:c r="B37" s="2"/>
      <x:c r="C37" s="2"/>
      <x:c r="D37" s="3"/>
      <x:c r="E37" s="3"/>
      <x:c r="F37" s="3"/>
      <x:c r="G37" s="3"/>
      <x:c r="H37" s="3"/>
      <x:c r="I37" s="3"/>
      <x:c r="J37" s="3"/>
      <x:c r="K37" s="3"/>
      <x:c r="L37" s="3"/>
      <x:c r="M37" s="3"/>
      <x:c r="N37" s="2"/>
      <x:c r="O37" s="2"/>
    </x:row>
    <x:row r="38" ht="20" customHeight="1">
      <x:c r="A38" s="2"/>
      <x:c r="B38" s="2"/>
      <x:c r="C38" s="2"/>
      <x:c r="D38" s="3"/>
      <x:c r="E38" s="3"/>
      <x:c r="F38" s="3"/>
      <x:c r="G38" s="3"/>
      <x:c r="H38" s="3"/>
      <x:c r="I38" s="3"/>
      <x:c r="J38" s="3"/>
      <x:c r="K38" s="3"/>
      <x:c r="L38" s="3"/>
      <x:c r="M38" s="3"/>
      <x:c r="N38" s="2"/>
      <x:c r="O38" s="2"/>
    </x:row>
    <x:row r="39" ht="20" customHeight="1">
      <x:c r="A39" s="2"/>
      <x:c r="B39" s="2"/>
      <x:c r="C39" s="2"/>
      <x:c r="D39" s="3"/>
      <x:c r="E39" s="3"/>
      <x:c r="F39" s="3"/>
      <x:c r="G39" s="3"/>
      <x:c r="H39" s="3"/>
      <x:c r="I39" s="3"/>
      <x:c r="J39" s="3"/>
      <x:c r="K39" s="3"/>
      <x:c r="L39" s="3"/>
      <x:c r="M39" s="3"/>
      <x:c r="N39" s="2"/>
      <x:c r="O39" s="2"/>
    </x:row>
    <x:row r="40" ht="20" customHeight="1">
      <x:c r="A40" s="2"/>
      <x:c r="B40" s="2"/>
      <x:c r="C40" s="2"/>
      <x:c r="D40" s="3"/>
      <x:c r="E40" s="3"/>
      <x:c r="F40" s="3"/>
      <x:c r="G40" s="3"/>
      <x:c r="H40" s="3"/>
      <x:c r="I40" s="3"/>
      <x:c r="J40" s="3"/>
      <x:c r="K40" s="3"/>
      <x:c r="L40" s="3"/>
      <x:c r="M40" s="3"/>
      <x:c r="N40" s="2"/>
      <x:c r="O40" s="2"/>
    </x:row>
    <x:row r="41" ht="20" customHeight="1">
      <x:c r="A41" s="2"/>
      <x:c r="B41" s="2"/>
      <x:c r="C41" s="2"/>
      <x:c r="D41" s="3"/>
      <x:c r="E41" s="3"/>
      <x:c r="F41" s="3"/>
      <x:c r="G41" s="3"/>
      <x:c r="H41" s="3"/>
      <x:c r="I41" s="3"/>
      <x:c r="J41" s="3"/>
      <x:c r="K41" s="3"/>
      <x:c r="L41" s="3"/>
      <x:c r="M41" s="3"/>
      <x:c r="N41" s="2"/>
      <x:c r="O41" s="2"/>
    </x:row>
    <x:row r="42" ht="20" customHeight="1">
      <x:c r="A42" s="2"/>
      <x:c r="B42" s="2"/>
      <x:c r="C42" s="2"/>
      <x:c r="D42" s="3"/>
      <x:c r="E42" s="3"/>
      <x:c r="F42" s="3"/>
      <x:c r="G42" s="3"/>
      <x:c r="H42" s="3"/>
      <x:c r="I42" s="3"/>
      <x:c r="J42" s="3"/>
      <x:c r="K42" s="3"/>
      <x:c r="L42" s="3"/>
      <x:c r="M42" s="3"/>
      <x:c r="N42" s="2"/>
      <x:c r="O42" s="2"/>
    </x:row>
    <x:row r="43" ht="20" customHeight="1">
      <x:c r="A43" s="2"/>
      <x:c r="B43" s="2"/>
      <x:c r="C43" s="2"/>
      <x:c r="D43" s="3"/>
      <x:c r="E43" s="3"/>
      <x:c r="F43" s="3"/>
      <x:c r="G43" s="3"/>
      <x:c r="H43" s="3"/>
      <x:c r="I43" s="3"/>
      <x:c r="J43" s="3"/>
      <x:c r="K43" s="3"/>
      <x:c r="L43" s="3"/>
      <x:c r="M43" s="3"/>
      <x:c r="N43" s="2"/>
      <x:c r="O43" s="2"/>
    </x:row>
    <x:row r="44" ht="20" customHeight="1">
      <x:c r="A44" s="2"/>
      <x:c r="B44" s="2"/>
      <x:c r="C44" s="2"/>
      <x:c r="D44" s="3"/>
      <x:c r="E44" s="3"/>
      <x:c r="F44" s="3"/>
      <x:c r="G44" s="3"/>
      <x:c r="H44" s="3"/>
      <x:c r="I44" s="3"/>
      <x:c r="J44" s="3"/>
      <x:c r="K44" s="3"/>
      <x:c r="L44" s="3"/>
      <x:c r="M44" s="3"/>
      <x:c r="N44" s="2"/>
      <x:c r="O44" s="2"/>
    </x:row>
    <x:row r="45" ht="20" customHeight="1">
      <x:c r="A45" s="2"/>
      <x:c r="B45" s="2"/>
      <x:c r="C45" s="2"/>
      <x:c r="D45" s="3"/>
      <x:c r="E45" s="3"/>
      <x:c r="F45" s="3"/>
      <x:c r="G45" s="3"/>
      <x:c r="H45" s="3"/>
      <x:c r="I45" s="3"/>
      <x:c r="J45" s="3"/>
      <x:c r="K45" s="3"/>
      <x:c r="L45" s="3"/>
      <x:c r="M45" s="3"/>
      <x:c r="N45" s="2"/>
      <x:c r="O45" s="2"/>
    </x:row>
    <x:row r="46" ht="20" customHeight="1">
      <x:c r="A46" s="2"/>
      <x:c r="B46" s="2"/>
      <x:c r="C46" s="2"/>
      <x:c r="D46" s="3"/>
      <x:c r="E46" s="3"/>
      <x:c r="F46" s="3"/>
      <x:c r="G46" s="3"/>
      <x:c r="H46" s="3"/>
      <x:c r="I46" s="3"/>
      <x:c r="J46" s="3"/>
      <x:c r="K46" s="3"/>
      <x:c r="L46" s="3"/>
      <x:c r="M46" s="3"/>
      <x:c r="N46" s="2"/>
      <x:c r="O46" s="2"/>
    </x:row>
    <x:row r="47" ht="20" customHeight="1">
      <x:c r="A47" s="2"/>
      <x:c r="B47" s="2"/>
      <x:c r="C47" s="2"/>
      <x:c r="D47" s="3"/>
      <x:c r="E47" s="3"/>
      <x:c r="F47" s="3"/>
      <x:c r="G47" s="3"/>
      <x:c r="H47" s="3"/>
      <x:c r="I47" s="3"/>
      <x:c r="J47" s="3"/>
      <x:c r="K47" s="3"/>
      <x:c r="L47" s="3"/>
      <x:c r="M47" s="3"/>
      <x:c r="N47" s="2"/>
      <x:c r="O47" s="2"/>
    </x:row>
    <x:row r="48" ht="20" customHeight="1">
      <x:c r="A48" s="2"/>
      <x:c r="B48" s="2"/>
      <x:c r="C48" s="2"/>
      <x:c r="D48" s="3"/>
      <x:c r="E48" s="3"/>
      <x:c r="F48" s="3"/>
      <x:c r="G48" s="3"/>
      <x:c r="H48" s="3"/>
      <x:c r="I48" s="3"/>
      <x:c r="J48" s="3"/>
      <x:c r="K48" s="3"/>
      <x:c r="L48" s="3"/>
      <x:c r="M48" s="3"/>
      <x:c r="N48" s="2"/>
      <x:c r="O48" s="2"/>
    </x:row>
    <x:row r="49" ht="20" customHeight="1">
      <x:c r="A49" s="2"/>
      <x:c r="B49" s="2"/>
      <x:c r="C49" s="2"/>
      <x:c r="D49" s="3"/>
      <x:c r="E49" s="3"/>
      <x:c r="F49" s="3"/>
      <x:c r="G49" s="3"/>
      <x:c r="H49" s="3"/>
      <x:c r="I49" s="3"/>
      <x:c r="J49" s="3"/>
      <x:c r="K49" s="3"/>
      <x:c r="L49" s="3"/>
      <x:c r="M49" s="3"/>
      <x:c r="N49" s="2"/>
      <x:c r="O49" s="2"/>
    </x:row>
    <x:row r="50" ht="20" customHeight="1">
      <x:c r="A50" s="2"/>
      <x:c r="B50" s="2"/>
      <x:c r="C50" s="2"/>
      <x:c r="D50" s="3"/>
      <x:c r="E50" s="3"/>
      <x:c r="F50" s="3"/>
      <x:c r="G50" s="3"/>
      <x:c r="H50" s="3"/>
      <x:c r="I50" s="3"/>
      <x:c r="J50" s="3"/>
      <x:c r="K50" s="3"/>
      <x:c r="L50" s="3"/>
      <x:c r="M50" s="3"/>
      <x:c r="N50" s="2"/>
      <x:c r="O50" s="2"/>
    </x:row>
    <x:row r="51" ht="20" customHeight="1">
      <x:c r="A51" s="2"/>
      <x:c r="B51" s="2"/>
      <x:c r="C51" s="2"/>
      <x:c r="D51" s="3"/>
      <x:c r="E51" s="3"/>
      <x:c r="F51" s="3"/>
      <x:c r="G51" s="3"/>
      <x:c r="H51" s="3"/>
      <x:c r="I51" s="3"/>
      <x:c r="J51" s="3"/>
      <x:c r="K51" s="3"/>
      <x:c r="L51" s="3"/>
      <x:c r="M51" s="3"/>
      <x:c r="N51" s="2"/>
      <x:c r="O51" s="2"/>
    </x:row>
    <x:row r="52" ht="20" customHeight="1">
      <x:c r="A52" s="2"/>
      <x:c r="B52" s="2"/>
      <x:c r="C52" s="2"/>
      <x:c r="D52" s="3"/>
      <x:c r="E52" s="3"/>
      <x:c r="F52" s="3"/>
      <x:c r="G52" s="3"/>
      <x:c r="H52" s="3"/>
      <x:c r="I52" s="3"/>
      <x:c r="J52" s="3"/>
      <x:c r="K52" s="3"/>
      <x:c r="L52" s="3"/>
      <x:c r="M52" s="3"/>
      <x:c r="N52" s="2"/>
      <x:c r="O52" s="2"/>
    </x:row>
    <x:row r="53" ht="20" customHeight="1">
      <x:c r="A53" s="2"/>
      <x:c r="B53" s="2"/>
      <x:c r="C53" s="2"/>
      <x:c r="D53" s="3"/>
      <x:c r="E53" s="3"/>
      <x:c r="F53" s="3"/>
      <x:c r="G53" s="3"/>
      <x:c r="H53" s="3"/>
      <x:c r="I53" s="3"/>
      <x:c r="J53" s="3"/>
      <x:c r="K53" s="3"/>
      <x:c r="L53" s="3"/>
      <x:c r="M53" s="3"/>
      <x:c r="N53" s="2"/>
      <x:c r="O53" s="2"/>
    </x:row>
    <x:row r="54" ht="20" customHeight="1">
      <x:c r="A54" s="2"/>
      <x:c r="B54" s="2"/>
      <x:c r="C54" s="2"/>
      <x:c r="D54" s="3"/>
      <x:c r="E54" s="3"/>
      <x:c r="F54" s="3"/>
      <x:c r="G54" s="3"/>
      <x:c r="H54" s="3"/>
      <x:c r="I54" s="3"/>
      <x:c r="J54" s="3"/>
      <x:c r="K54" s="3"/>
      <x:c r="L54" s="3"/>
      <x:c r="M54" s="3"/>
      <x:c r="N54" s="2"/>
      <x:c r="O54" s="2"/>
    </x:row>
    <x:row r="55" ht="24" customHeight="1">
      <x:c r="A55" s="2"/>
      <x:c r="B55" s="2"/>
      <x:c r="C55" s="80" t="str">
        <x:v>Valuation and capital returns</x:v>
      </x:c>
      <x:c r="D55" s="81"/>
      <x:c r="E55" s="81"/>
      <x:c r="F55" s="81"/>
      <x:c r="G55" s="81"/>
      <x:c r="H55" s="81"/>
      <x:c r="I55" s="81"/>
      <x:c r="J55" s="81"/>
      <x:c r="K55" s="81"/>
      <x:c r="L55" s="81"/>
      <x:c r="M55" s="81"/>
      <x:c r="N55" s="2"/>
      <x:c r="O55" s="2"/>
    </x:row>
    <x:row r="56" ht="20" customHeight="1">
      <x:c r="A56" s="2"/>
      <x:c r="B56" s="2"/>
      <x:c r="C56" s="2"/>
      <x:c r="D56" s="3"/>
      <x:c r="E56" s="3"/>
      <x:c r="F56" s="3"/>
      <x:c r="G56" s="3"/>
      <x:c r="H56" s="3"/>
      <x:c r="I56" s="3"/>
      <x:c r="J56" s="3"/>
      <x:c r="K56" s="3"/>
      <x:c r="L56" s="3"/>
      <x:c r="M56" s="3"/>
      <x:c r="N56" s="2"/>
      <x:c r="O56" s="2"/>
    </x:row>
    <x:row r="57" ht="20" customHeight="1">
      <x:c r="A57" s="2"/>
      <x:c r="B57" s="2"/>
      <x:c r="C57" s="95" t="str">
        <x:v>September DCF value per diluted share (INR)</x:v>
      </x:c>
      <x:c r="D57" s="146"/>
      <x:c r="E57" s="146"/>
      <x:c r="F57" s="146"/>
      <x:c r="G57" s="146"/>
      <x:c r="H57" s="146" t="n">
        <x:f>'04_Valuation'!H218</x:f>
        <x:v>1992.818859426222</x:v>
      </x:c>
      <x:c r="I57" s="146"/>
      <x:c r="J57" s="146"/>
      <x:c r="K57" s="146"/>
      <x:c r="L57" s="146"/>
      <x:c r="M57" s="146"/>
      <x:c r="N57" s="2"/>
      <x:c r="O57" s="2"/>
    </x:row>
    <x:row r="58" ht="20" customHeight="1">
      <x:c r="A58" s="2"/>
      <x:c r="B58" s="2"/>
      <x:c r="C58" s="2" t="str">
        <x:v>Enterprise value (INR million)</x:v>
      </x:c>
      <x:c r="D58" s="3"/>
      <x:c r="E58" s="3"/>
      <x:c r="F58" s="3"/>
      <x:c r="G58" s="3"/>
      <x:c r="H58" s="3" t="n">
        <x:f>'04_Valuation'!H192</x:f>
        <x:v>319944.0898430795</x:v>
      </x:c>
      <x:c r="I58" s="3"/>
      <x:c r="J58" s="3"/>
      <x:c r="K58" s="3"/>
      <x:c r="L58" s="3"/>
      <x:c r="M58" s="3"/>
      <x:c r="N58" s="2"/>
      <x:c r="O58" s="2"/>
    </x:row>
    <x:row r="59" ht="20" customHeight="1">
      <x:c r="A59" s="2"/>
      <x:c r="B59" s="2"/>
      <x:c r="C59" s="95" t="str">
        <x:v>Equity value (INR million)</x:v>
      </x:c>
      <x:c r="D59" s="96"/>
      <x:c r="E59" s="96"/>
      <x:c r="F59" s="96"/>
      <x:c r="G59" s="96"/>
      <x:c r="H59" s="96" t="n">
        <x:f>'04_Valuation'!H206</x:f>
        <x:v>301261.91775550187</x:v>
      </x:c>
      <x:c r="I59" s="96"/>
      <x:c r="J59" s="96"/>
      <x:c r="K59" s="96"/>
      <x:c r="L59" s="96"/>
      <x:c r="M59" s="96"/>
      <x:c r="N59" s="2"/>
      <x:c r="O59" s="2"/>
    </x:row>
    <x:row r="60" ht="20" customHeight="1">
      <x:c r="A60" s="2"/>
      <x:c r="B60" s="2"/>
      <x:c r="C60" s="24" t="str">
        <x:v>WACC</x:v>
      </x:c>
      <x:c r="D60" s="25"/>
      <x:c r="E60" s="25"/>
      <x:c r="F60" s="25"/>
      <x:c r="G60" s="25"/>
      <x:c r="H60" s="161" t="n">
        <x:f>'04_Valuation'!H24</x:f>
        <x:v>0.12447490157367178</x:v>
      </x:c>
      <x:c r="I60" s="25"/>
      <x:c r="J60" s="25"/>
      <x:c r="K60" s="25"/>
      <x:c r="L60" s="25"/>
      <x:c r="M60" s="25"/>
      <x:c r="N60" s="2"/>
      <x:c r="O60" s="2"/>
    </x:row>
    <x:row r="61" ht="20" customHeight="1">
      <x:c r="A61" s="2"/>
      <x:c r="B61" s="2"/>
      <x:c r="C61" s="24" t="str">
        <x:v>Terminal growth</x:v>
      </x:c>
      <x:c r="D61" s="25"/>
      <x:c r="E61" s="25"/>
      <x:c r="F61" s="25"/>
      <x:c r="G61" s="25"/>
      <x:c r="H61" s="25" t="n">
        <x:f>'04_Valuation'!H25</x:f>
        <x:v>0.04</x:v>
      </x:c>
      <x:c r="I61" s="25"/>
      <x:c r="J61" s="25"/>
      <x:c r="K61" s="25"/>
      <x:c r="L61" s="25"/>
      <x:c r="M61" s="25"/>
      <x:c r="N61" s="2"/>
      <x:c r="O61" s="2"/>
    </x:row>
    <x:row r="62" ht="20" customHeight="1">
      <x:c r="A62" s="2"/>
      <x:c r="B62" s="2"/>
      <x:c r="C62" s="24" t="str">
        <x:v>Terminal value / enterprise value</x:v>
      </x:c>
      <x:c r="D62" s="25"/>
      <x:c r="E62" s="25"/>
      <x:c r="F62" s="25"/>
      <x:c r="G62" s="25"/>
      <x:c r="H62" s="25" t="n">
        <x:f>'04_Valuation'!H220</x:f>
        <x:v>0.8589386842950096</x:v>
      </x:c>
      <x:c r="I62" s="25"/>
      <x:c r="J62" s="25"/>
      <x:c r="K62" s="25"/>
      <x:c r="L62" s="25"/>
      <x:c r="M62" s="25"/>
      <x:c r="N62" s="2"/>
      <x:c r="O62" s="2"/>
    </x:row>
    <x:row r="63" ht="20" customHeight="1">
      <x:c r="A63" s="2"/>
      <x:c r="B63" s="2"/>
      <x:c r="C63" s="2"/>
      <x:c r="D63" s="3"/>
      <x:c r="E63" s="3"/>
      <x:c r="F63" s="3"/>
      <x:c r="G63" s="3"/>
      <x:c r="H63" s="3"/>
      <x:c r="I63" s="3"/>
      <x:c r="J63" s="3"/>
      <x:c r="K63" s="3"/>
      <x:c r="L63" s="3"/>
      <x:c r="M63" s="3"/>
      <x:c r="N63" s="2"/>
      <x:c r="O63" s="2"/>
    </x:row>
    <x:row r="64" ht="20" customHeight="1">
      <x:c r="A64" s="2"/>
      <x:c r="B64" s="2"/>
      <x:c r="C64" s="24" t="str">
        <x:v>FY27E ROCE, average operating capital</x:v>
      </x:c>
      <x:c r="D64" s="25"/>
      <x:c r="E64" s="25"/>
      <x:c r="F64" s="25"/>
      <x:c r="G64" s="25"/>
      <x:c r="H64" s="25" t="n">
        <x:f>'03_3Statement+Schedules'!I171</x:f>
        <x:v>0.30280223954858987</x:v>
      </x:c>
      <x:c r="I64" s="25"/>
      <x:c r="J64" s="25"/>
      <x:c r="K64" s="25"/>
      <x:c r="L64" s="25"/>
      <x:c r="M64" s="25"/>
      <x:c r="N64" s="2"/>
      <x:c r="O64" s="2"/>
    </x:row>
    <x:row r="65" ht="20" customHeight="1">
      <x:c r="A65" s="2"/>
      <x:c r="B65" s="2"/>
      <x:c r="C65" s="24" t="str">
        <x:v>FY31E ROCE, average operating capital</x:v>
      </x:c>
      <x:c r="D65" s="25"/>
      <x:c r="E65" s="25"/>
      <x:c r="F65" s="25"/>
      <x:c r="G65" s="25"/>
      <x:c r="H65" s="25" t="n">
        <x:f>'03_3Statement+Schedules'!M171</x:f>
        <x:v>0.2837348239410183</x:v>
      </x:c>
      <x:c r="I65" s="25"/>
      <x:c r="J65" s="25"/>
      <x:c r="K65" s="25"/>
      <x:c r="L65" s="25"/>
      <x:c r="M65" s="25"/>
      <x:c r="N65" s="2"/>
      <x:c r="O65" s="2"/>
    </x:row>
    <x:row r="66" ht="20" customHeight="1">
      <x:c r="A66" s="2"/>
      <x:c r="B66" s="2"/>
      <x:c r="C66" s="2" t="str">
        <x:v>Common valuation / price date</x:v>
      </x:c>
      <x:c r="D66" s="3"/>
      <x:c r="E66" s="3"/>
      <x:c r="F66" s="3"/>
      <x:c r="G66" s="3"/>
      <x:c r="H66" s="147" t="n">
        <x:f>'04_Valuation'!H182</x:f>
        <x:v>46276</x:v>
      </x:c>
      <x:c r="I66" s="3"/>
      <x:c r="J66" s="3"/>
      <x:c r="K66" s="3"/>
      <x:c r="L66" s="3"/>
      <x:c r="M66" s="3"/>
      <x:c r="N66" s="2"/>
      <x:c r="O66" s="2"/>
    </x:row>
    <x:row r="67" ht="20" customHeight="1">
      <x:c r="A67" s="2"/>
      <x:c r="B67" s="2"/>
      <x:c r="C67" s="2"/>
      <x:c r="D67" s="3"/>
      <x:c r="E67" s="3"/>
      <x:c r="F67" s="3"/>
      <x:c r="G67" s="3"/>
      <x:c r="H67" s="3"/>
      <x:c r="I67" s="3"/>
      <x:c r="J67" s="3"/>
      <x:c r="K67" s="3"/>
      <x:c r="L67" s="3"/>
      <x:c r="M67" s="3"/>
      <x:c r="N67" s="2"/>
      <x:c r="O67" s="2"/>
    </x:row>
    <x:row r="68" ht="20" customHeight="1">
      <x:c r="A68" s="2"/>
      <x:c r="B68" s="2"/>
      <x:c r="C68" s="2"/>
      <x:c r="D68" s="3"/>
      <x:c r="E68" s="3"/>
      <x:c r="F68" s="3"/>
      <x:c r="G68" s="3"/>
      <x:c r="H68" s="3"/>
      <x:c r="I68" s="3"/>
      <x:c r="J68" s="3"/>
      <x:c r="K68" s="3"/>
      <x:c r="L68" s="3"/>
      <x:c r="M68" s="3"/>
      <x:c r="N68" s="2"/>
      <x:c r="O68" s="2"/>
    </x:row>
    <x:row r="69" ht="3" customHeight="1">
      <x:c r="A69" s="2"/>
      <x:c r="B69" s="2"/>
      <x:c r="C69" s="2"/>
      <x:c r="D69" s="3"/>
      <x:c r="E69" s="3"/>
      <x:c r="F69" s="3"/>
      <x:c r="G69" s="3"/>
      <x:c r="H69" s="3"/>
      <x:c r="I69" s="3"/>
      <x:c r="J69" s="3"/>
      <x:c r="K69" s="3"/>
      <x:c r="L69" s="3"/>
      <x:c r="M69" s="3"/>
      <x:c r="N69" s="2"/>
      <x:c r="O69" s="2"/>
    </x:row>
    <x:row r="70" ht="3" customHeight="1">
      <x:c r="A70" s="2"/>
      <x:c r="B70" s="2"/>
      <x:c r="C70"/>
      <x:c r="D70"/>
      <x:c r="E70"/>
      <x:c r="F70"/>
      <x:c r="G70" s="3"/>
      <x:c r="H70" s="3"/>
      <x:c r="I70" s="3"/>
      <x:c r="J70" s="3"/>
      <x:c r="K70" s="3"/>
      <x:c r="L70" s="3"/>
      <x:c r="M70" s="3"/>
      <x:c r="N70" s="2"/>
      <x:c r="O70" s="2"/>
    </x:row>
    <x:row r="71" ht="3" customHeight="1">
      <x:c r="A71" s="2"/>
      <x:c r="B71" s="2"/>
      <x:c r="C71"/>
      <x:c r="D71"/>
      <x:c r="E71"/>
      <x:c r="F71"/>
      <x:c r="G71" s="3"/>
      <x:c r="H71" s="3"/>
      <x:c r="I71" s="3"/>
      <x:c r="J71" s="3"/>
      <x:c r="K71" s="3"/>
      <x:c r="L71" s="3"/>
      <x:c r="M71" s="3"/>
      <x:c r="N71" s="2"/>
      <x:c r="O71" s="2"/>
    </x:row>
    <x:row r="72" ht="3" customHeight="1">
      <x:c r="A72" s="2"/>
      <x:c r="B72" s="2"/>
      <x:c r="C72"/>
      <x:c r="D72"/>
      <x:c r="E72"/>
      <x:c r="F72"/>
      <x:c r="G72" s="3"/>
      <x:c r="H72" s="3"/>
      <x:c r="I72" s="3"/>
      <x:c r="J72" s="3"/>
      <x:c r="K72" s="3"/>
      <x:c r="L72" s="3"/>
      <x:c r="M72" s="3"/>
      <x:c r="N72" s="2"/>
      <x:c r="O72" s="2"/>
    </x:row>
    <x:row r="73" ht="3" customHeight="1">
      <x:c r="A73" s="2"/>
      <x:c r="B73" s="2"/>
      <x:c r="C73"/>
      <x:c r="D73"/>
      <x:c r="E73"/>
      <x:c r="F73"/>
      <x:c r="G73" s="3"/>
      <x:c r="H73" s="3"/>
      <x:c r="I73" s="3"/>
      <x:c r="J73" s="3"/>
      <x:c r="K73" s="3"/>
      <x:c r="L73" s="3"/>
      <x:c r="M73" s="3"/>
      <x:c r="N73" s="2"/>
      <x:c r="O73" s="2"/>
    </x:row>
    <x:row r="74" ht="3" customHeight="1">
      <x:c r="A74" s="2"/>
      <x:c r="B74" s="2"/>
      <x:c r="C74"/>
      <x:c r="D74"/>
      <x:c r="E74"/>
      <x:c r="F74"/>
      <x:c r="G74" s="3"/>
      <x:c r="H74" s="3"/>
      <x:c r="I74" s="3"/>
      <x:c r="J74" s="3"/>
      <x:c r="K74" s="3"/>
      <x:c r="L74" s="3"/>
      <x:c r="M74" s="3"/>
      <x:c r="N74" s="2"/>
      <x:c r="O74" s="2"/>
    </x:row>
    <x:row r="75" ht="3" customHeight="1">
      <x:c r="A75" s="2"/>
      <x:c r="B75" s="2"/>
      <x:c r="C75"/>
      <x:c r="D75"/>
      <x:c r="E75"/>
      <x:c r="F75"/>
      <x:c r="G75" s="3"/>
      <x:c r="H75" s="3"/>
      <x:c r="I75" s="3"/>
      <x:c r="J75" s="3"/>
      <x:c r="K75" s="3"/>
      <x:c r="L75" s="3"/>
      <x:c r="M75" s="3"/>
      <x:c r="N75" s="2"/>
      <x:c r="O75" s="2"/>
    </x:row>
    <x:row r="76" ht="3" customHeight="1">
      <x:c r="A76" s="2"/>
      <x:c r="B76" s="2"/>
      <x:c r="C76"/>
      <x:c r="D76"/>
      <x:c r="E76"/>
      <x:c r="F76"/>
      <x:c r="G76" s="3"/>
      <x:c r="H76" s="3"/>
      <x:c r="I76" s="3"/>
      <x:c r="J76" s="3"/>
      <x:c r="K76" s="3"/>
      <x:c r="L76" s="3"/>
      <x:c r="M76" s="3"/>
      <x:c r="N76" s="2"/>
      <x:c r="O76" s="2"/>
    </x:row>
    <x:row r="77" ht="3" customHeight="1">
      <x:c r="A77" s="2"/>
      <x:c r="B77" s="2"/>
      <x:c r="C77"/>
      <x:c r="D77"/>
      <x:c r="E77"/>
      <x:c r="F77"/>
      <x:c r="G77" s="3"/>
      <x:c r="H77" s="3"/>
      <x:c r="I77" s="3"/>
      <x:c r="J77" s="3"/>
      <x:c r="K77" s="3"/>
      <x:c r="L77" s="3"/>
      <x:c r="M77" s="3"/>
      <x:c r="N77" s="2"/>
      <x:c r="O77" s="2"/>
    </x:row>
    <x:row r="78" ht="3" customHeight="1">
      <x:c r="A78" s="2"/>
      <x:c r="B78" s="2"/>
      <x:c r="C78"/>
      <x:c r="D78"/>
      <x:c r="E78"/>
      <x:c r="F78"/>
      <x:c r="G78" s="3"/>
      <x:c r="H78" s="3"/>
      <x:c r="I78" s="3"/>
      <x:c r="J78" s="3"/>
      <x:c r="K78" s="3"/>
      <x:c r="L78" s="3"/>
      <x:c r="M78" s="3"/>
      <x:c r="N78" s="2"/>
      <x:c r="O78" s="2"/>
    </x:row>
    <x:row r="79" ht="3" customHeight="1">
      <x:c r="A79" s="2"/>
      <x:c r="B79" s="2"/>
      <x:c r="C79"/>
      <x:c r="D79"/>
      <x:c r="E79"/>
      <x:c r="F79"/>
      <x:c r="G79" s="3"/>
      <x:c r="H79" s="3"/>
      <x:c r="I79" s="3"/>
      <x:c r="J79" s="3"/>
      <x:c r="K79" s="3"/>
      <x:c r="L79" s="3"/>
      <x:c r="M79" s="3"/>
      <x:c r="N79" s="2"/>
      <x:c r="O79" s="2"/>
    </x:row>
    <x:row r="80" ht="3" customHeight="1">
      <x:c r="A80" s="2"/>
      <x:c r="B80" s="2"/>
      <x:c r="C80"/>
      <x:c r="D80"/>
      <x:c r="E80"/>
      <x:c r="F80"/>
      <x:c r="G80" s="3"/>
      <x:c r="H80" s="3"/>
      <x:c r="I80" s="3"/>
      <x:c r="J80" s="3"/>
      <x:c r="K80" s="3"/>
      <x:c r="L80" s="3"/>
      <x:c r="M80" s="3"/>
      <x:c r="N80" s="2"/>
      <x:c r="O80" s="2"/>
    </x:row>
    <x:row r="81" ht="3" customHeight="1">
      <x:c r="A81" s="2"/>
      <x:c r="B81" s="2"/>
      <x:c r="C81" s="2"/>
      <x:c r="D81" s="3"/>
      <x:c r="E81" s="3"/>
      <x:c r="F81" s="3"/>
      <x:c r="G81" s="3"/>
      <x:c r="H81" s="3"/>
      <x:c r="I81" s="3"/>
      <x:c r="J81" s="3"/>
      <x:c r="K81" s="3"/>
      <x:c r="L81" s="3"/>
      <x:c r="M81" s="3"/>
      <x:c r="N81" s="2"/>
      <x:c r="O81" s="2"/>
    </x:row>
    <x:row r="82" ht="3" customHeight="1">
      <x:c r="A82" s="2"/>
      <x:c r="B82" s="2"/>
      <x:c r="C82" s="2"/>
      <x:c r="D82" s="3"/>
      <x:c r="E82" s="3"/>
      <x:c r="F82" s="3"/>
      <x:c r="G82" s="3"/>
      <x:c r="H82" s="3"/>
      <x:c r="I82" s="3"/>
      <x:c r="J82" s="3"/>
      <x:c r="K82" s="3"/>
      <x:c r="L82" s="3"/>
      <x:c r="M82" s="3"/>
      <x:c r="N82" s="2"/>
      <x:c r="O82" s="2"/>
    </x:row>
    <x:row r="83" ht="3" customHeight="1">
      <x:c r="A83" s="2"/>
      <x:c r="B83" s="2"/>
      <x:c r="C83" s="2"/>
      <x:c r="D83" s="3"/>
      <x:c r="E83" s="3"/>
      <x:c r="F83" s="3"/>
      <x:c r="G83" s="3"/>
      <x:c r="H83" s="3"/>
      <x:c r="I83" s="3"/>
      <x:c r="J83" s="3"/>
      <x:c r="K83" s="3"/>
      <x:c r="L83" s="3"/>
      <x:c r="M83" s="3"/>
      <x:c r="N83" s="2"/>
      <x:c r="O83" s="2"/>
    </x:row>
    <x:row r="84" ht="24" customHeight="1">
      <x:c r="A84" s="2"/>
      <x:c r="B84" s="2"/>
      <x:c r="C84" s="80" t="str">
        <x:v>Investment interpretation: active case</x:v>
      </x:c>
      <x:c r="D84" s="81"/>
      <x:c r="E84" s="81"/>
      <x:c r="F84" s="81"/>
      <x:c r="G84" s="81"/>
      <x:c r="H84" s="81"/>
      <x:c r="I84" s="81"/>
      <x:c r="J84" s="81"/>
      <x:c r="K84" s="81"/>
      <x:c r="L84" s="81"/>
      <x:c r="M84" s="81"/>
      <x:c r="N84" s="2"/>
      <x:c r="O84" s="2"/>
    </x:row>
    <x:row r="85" ht="20" customHeight="1">
      <x:c r="A85" s="2"/>
      <x:c r="B85" s="2"/>
      <x:c r="C85" s="2"/>
      <x:c r="D85" s="3"/>
      <x:c r="E85" s="3"/>
      <x:c r="F85" s="3"/>
      <x:c r="G85" s="3"/>
      <x:c r="H85" s="3"/>
      <x:c r="I85" s="3"/>
      <x:c r="J85" s="3"/>
      <x:c r="K85" s="3"/>
      <x:c r="L85" s="3"/>
      <x:c r="M85" s="3"/>
      <x:c r="N85" s="2"/>
      <x:c r="O85" s="2"/>
    </x:row>
    <x:row r="86" ht="20" customHeight="1">
      <x:c r="A86" s="2"/>
      <x:c r="B86" s="2"/>
      <x:c r="C86" s="2" t="str">
        <x:v>Observed price at common close (INR)</x:v>
      </x:c>
      <x:c r="D86" s="104"/>
      <x:c r="E86" s="104"/>
      <x:c r="F86" s="104"/>
      <x:c r="G86" s="104"/>
      <x:c r="H86" s="104" t="n">
        <x:f>'04_Valuation'!H212</x:f>
        <x:v>8241</x:v>
      </x:c>
      <x:c r="I86" s="104"/>
      <x:c r="J86" s="104"/>
      <x:c r="K86" s="104"/>
      <x:c r="L86" s="104"/>
      <x:c r="M86" s="104"/>
      <x:c r="N86" s="2"/>
      <x:c r="O86" s="2"/>
    </x:row>
    <x:row r="87" ht="20" customHeight="1">
      <x:c r="A87" s="2"/>
      <x:c r="B87" s="2"/>
      <x:c r="C87" s="24" t="str">
        <x:v>DCF / observed price less 1</x:v>
      </x:c>
      <x:c r="D87" s="25"/>
      <x:c r="E87" s="25"/>
      <x:c r="F87" s="25"/>
      <x:c r="G87" s="25"/>
      <x:c r="H87" s="25" t="n">
        <x:f>'04_Valuation'!H219</x:f>
        <x:v>-0.758182397836886</x:v>
      </x:c>
      <x:c r="I87" s="25"/>
      <x:c r="J87" s="25"/>
      <x:c r="K87" s="25"/>
      <x:c r="L87" s="25"/>
      <x:c r="M87" s="25"/>
      <x:c r="N87" s="2"/>
      <x:c r="O87" s="2"/>
    </x:row>
    <x:row r="88" ht="20" customHeight="1">
      <x:c r="A88" s="2"/>
      <x:c r="B88" s="2"/>
      <x:c r="C88" s="2"/>
      <x:c r="D88" s="3"/>
      <x:c r="E88" s="3"/>
      <x:c r="F88" s="3"/>
      <x:c r="G88" s="3"/>
      <x:c r="H88" s="3"/>
      <x:c r="I88" s="3"/>
      <x:c r="J88" s="3"/>
      <x:c r="K88" s="3"/>
      <x:c r="L88" s="3"/>
      <x:c r="M88" s="3"/>
      <x:c r="N88" s="2"/>
      <x:c r="O88" s="2"/>
    </x:row>
    <x:row r="89" ht="20" customHeight="1">
      <x:c r="A89" s="2"/>
      <x:c r="B89" s="2"/>
      <x:c r="C89" s="2"/>
      <x:c r="D89" s="3"/>
      <x:c r="E89" s="3"/>
      <x:c r="F89" s="3"/>
      <x:c r="G89" s="3"/>
      <x:c r="H89" s="3"/>
      <x:c r="I89" s="3"/>
      <x:c r="J89" s="3"/>
      <x:c r="K89" s="3"/>
      <x:c r="L89" s="3"/>
      <x:c r="M89" s="3"/>
      <x:c r="N89" s="2"/>
      <x:c r="O89" s="2"/>
    </x:row>
    <x:row r="90" ht="55" customHeight="1">
      <x:c r="A90" s="2"/>
      <x:c r="B90" s="2"/>
      <x:c r="C90" s="99" t="str">
        <x:f>CHOOSE('02_Drivers+Scenarios'!$D$3,"Base requires share gains and FMEG recovery, but normalizes margins and cash conversion. Track volumes versus commodity-led nominal growth, export recovery and the release of FY26 operating liabilities.","Bull requires stronger growth, sustained margins and better cash conversion. Evidence would include export wins, utilization gains and FMEG profitability holding as the revenue base expands.","Bear reflects weaker growth, competitive margin pressure and more cash tied up in operations. Watch pricing, inventory/receivable days and execution delays rather than treating a lower valuation as a timing prediction.")</x:f>
        <x:v>Base requires share gains and FMEG recovery, but normalizes margins and cash conversion. Track volumes versus commodity-led nominal growth, export recovery and the release of FY26 operating liabilities.</x:v>
      </x:c>
      <x:c r="D90" s="38"/>
      <x:c r="E90" s="38"/>
      <x:c r="F90" s="38"/>
      <x:c r="G90" s="38"/>
      <x:c r="H90" s="38"/>
      <x:c r="I90" s="38"/>
      <x:c r="J90" s="38"/>
      <x:c r="K90" s="38"/>
      <x:c r="L90" s="38"/>
      <x:c r="M90" s="38"/>
      <x:c r="N90" s="2"/>
      <x:c r="O90" s="2"/>
    </x:row>
    <x:row r="91" ht="20" customHeight="1">
      <x:c r="A91" s="2"/>
      <x:c r="B91" s="2"/>
      <x:c r="C91" s="2"/>
      <x:c r="D91" s="3"/>
      <x:c r="E91" s="3"/>
      <x:c r="F91" s="3"/>
      <x:c r="G91" s="3"/>
      <x:c r="H91" s="3"/>
      <x:c r="I91" s="3"/>
      <x:c r="J91" s="3"/>
      <x:c r="K91" s="3"/>
      <x:c r="L91" s="3"/>
      <x:c r="M91" s="3"/>
      <x:c r="N91" s="2"/>
      <x:c r="O91" s="2"/>
    </x:row>
    <x:row r="92" ht="20" customHeight="1">
      <x:c r="A92" s="2"/>
      <x:c r="B92" s="2"/>
      <x:c r="C92" s="2"/>
      <x:c r="D92" s="3"/>
      <x:c r="E92" s="3"/>
      <x:c r="F92" s="3"/>
      <x:c r="G92" s="3"/>
      <x:c r="H92" s="3"/>
      <x:c r="I92" s="3"/>
      <x:c r="J92" s="3"/>
      <x:c r="K92" s="3"/>
      <x:c r="L92" s="3"/>
      <x:c r="M92" s="3"/>
      <x:c r="N92" s="2"/>
      <x:c r="O92" s="2"/>
    </x:row>
    <x:row r="93" ht="55" customHeight="1">
      <x:c r="A93" s="2"/>
      <x:c r="B93" s="2"/>
      <x:c r="C93" s="99" t="str">
        <x:f>IF('04_Valuation'!H218&lt;'04_Valuation'!H212,"The active DCF does not support the observed price. A positive investment case needs stronger or longer cash-flow growth than this case assumes. Peer multiples describe market pricing; they do not resolve the intrinsic-value gap.","The active DCF supports the observed price under these assumptions. Confirm financing estimates, dilution and the durability of growth before turning this into an investment recommendation.")</x:f>
        <x:v>The active DCF does not support the observed price. A positive investment case needs stronger or longer cash-flow growth than this case assumes. Peer multiples describe market pricing; they do not resolve the intrinsic-value gap.</x:v>
      </x:c>
      <x:c r="D93" s="38"/>
      <x:c r="E93" s="38"/>
      <x:c r="F93" s="38"/>
      <x:c r="G93" s="38"/>
      <x:c r="H93" s="38"/>
      <x:c r="I93" s="38"/>
      <x:c r="J93" s="38"/>
      <x:c r="K93" s="38"/>
      <x:c r="L93" s="38"/>
      <x:c r="M93" s="38"/>
      <x:c r="N93" s="2"/>
      <x:c r="O93" s="2"/>
    </x:row>
    <x:row r="94" ht="20" customHeight="1">
      <x:c r="A94" s="2"/>
      <x:c r="B94" s="2"/>
      <x:c r="C94" s="2"/>
      <x:c r="D94" s="3"/>
      <x:c r="E94" s="3"/>
      <x:c r="F94" s="3"/>
      <x:c r="G94" s="3"/>
      <x:c r="H94" s="3"/>
      <x:c r="I94" s="3"/>
      <x:c r="J94" s="3"/>
      <x:c r="K94" s="3"/>
      <x:c r="L94" s="3"/>
      <x:c r="M94" s="3"/>
      <x:c r="N94" s="2"/>
      <x:c r="O94" s="2"/>
    </x:row>
    <x:row r="95" ht="20" customHeight="1">
      <x:c r="A95" s="2"/>
      <x:c r="B95" s="2"/>
      <x:c r="C95" s="2"/>
      <x:c r="D95" s="3"/>
      <x:c r="E95" s="3"/>
      <x:c r="F95" s="3"/>
      <x:c r="G95" s="3"/>
      <x:c r="H95" s="3"/>
      <x:c r="I95" s="3"/>
      <x:c r="J95" s="3"/>
      <x:c r="K95" s="3"/>
      <x:c r="L95" s="3"/>
      <x:c r="M95" s="3"/>
      <x:c r="N95" s="2"/>
      <x:c r="O95" s="2"/>
    </x:row>
    <x:row r="96" ht="44" customHeight="1">
      <x:c r="A96" s="2"/>
      <x:c r="B96" s="2"/>
      <x:c r="C96" s="16" t="str">
        <x:v>Potential catalysts: export conversion, FMEG profitability, capacity utilization and operating cash conversion. Risks: competition and price pressure, commodity-led nominal growth reversing, working-capital absorption, capex returns and terminal-value dependence.</x:v>
      </x:c>
      <x:c r="D96" s="38"/>
      <x:c r="E96" s="38"/>
      <x:c r="F96" s="38"/>
      <x:c r="G96" s="38"/>
      <x:c r="H96" s="38"/>
      <x:c r="I96" s="38"/>
      <x:c r="J96" s="38"/>
      <x:c r="K96" s="38"/>
      <x:c r="L96" s="38"/>
      <x:c r="M96" s="38"/>
      <x:c r="N96" s="2"/>
      <x:c r="O96" s="2"/>
    </x:row>
    <x:row r="97" ht="20" customHeight="1">
      <x:c r="A97" s="2"/>
      <x:c r="B97" s="2"/>
      <x:c r="C97" s="2"/>
      <x:c r="D97" s="3"/>
      <x:c r="E97" s="3"/>
      <x:c r="F97" s="3"/>
      <x:c r="G97" s="3"/>
      <x:c r="H97" s="3"/>
      <x:c r="I97" s="3"/>
      <x:c r="J97" s="3"/>
      <x:c r="K97" s="3"/>
      <x:c r="L97" s="3"/>
      <x:c r="M97" s="3"/>
      <x:c r="N97" s="2"/>
      <x:c r="O97" s="2"/>
    </x:row>
    <x:row r="98" ht="20" customHeight="1">
      <x:c r="A98" s="2"/>
      <x:c r="B98" s="2"/>
      <x:c r="C98" s="2"/>
      <x:c r="D98" s="3"/>
      <x:c r="E98" s="3"/>
      <x:c r="F98" s="3"/>
      <x:c r="G98" s="3"/>
      <x:c r="H98" s="3"/>
      <x:c r="I98" s="3"/>
      <x:c r="J98" s="3"/>
      <x:c r="K98" s="3"/>
      <x:c r="L98" s="3"/>
      <x:c r="M98" s="3"/>
      <x:c r="N98" s="2"/>
      <x:c r="O98" s="2"/>
    </x:row>
    <x:row r="99" ht="20" customHeight="1">
      <x:c r="A99" s="2"/>
      <x:c r="B99" s="2"/>
      <x:c r="C99" s="2"/>
      <x:c r="D99" s="3"/>
      <x:c r="E99" s="3"/>
      <x:c r="F99" s="3"/>
      <x:c r="G99" s="3"/>
      <x:c r="H99" s="3"/>
      <x:c r="I99" s="3"/>
      <x:c r="J99" s="3"/>
      <x:c r="K99" s="3"/>
      <x:c r="L99" s="3"/>
      <x:c r="M99" s="3"/>
      <x:c r="N99" s="2"/>
      <x:c r="O99" s="2"/>
    </x:row>
    <x:row r="100" ht="20" customHeight="1">
      <x:c r="A100" s="2"/>
      <x:c r="B100" s="2"/>
      <x:c r="C100" s="2"/>
      <x:c r="D100" s="3"/>
      <x:c r="E100" s="3"/>
      <x:c r="F100" s="3"/>
      <x:c r="G100" s="3"/>
      <x:c r="H100" s="3"/>
      <x:c r="I100" s="3"/>
      <x:c r="J100" s="3"/>
      <x:c r="K100" s="3"/>
      <x:c r="L100" s="3"/>
      <x:c r="M100" s="3"/>
      <x:c r="N100" s="2"/>
      <x:c r="O100" s="2"/>
    </x:row>
    <x:row r="101" ht="20" customHeight="1">
      <x:c r="A101" s="2"/>
      <x:c r="B101" s="2"/>
      <x:c r="C101" s="2"/>
      <x:c r="D101" s="3"/>
      <x:c r="E101" s="3"/>
      <x:c r="F101" s="3"/>
      <x:c r="G101" s="3"/>
      <x:c r="H101" s="3"/>
      <x:c r="I101" s="3"/>
      <x:c r="J101" s="3"/>
      <x:c r="K101" s="3"/>
      <x:c r="L101" s="3"/>
      <x:c r="M101" s="3"/>
      <x:c r="N101" s="2"/>
      <x:c r="O101" s="2"/>
    </x:row>
    <x:row r="102" ht="20" customHeight="1">
      <x:c r="A102" s="2"/>
      <x:c r="B102" s="2"/>
      <x:c r="C102" s="2"/>
      <x:c r="D102" s="3"/>
      <x:c r="E102" s="3"/>
      <x:c r="F102" s="3"/>
      <x:c r="G102" s="3"/>
      <x:c r="H102" s="3"/>
      <x:c r="I102" s="3"/>
      <x:c r="J102" s="3"/>
      <x:c r="K102" s="3"/>
      <x:c r="L102" s="3"/>
      <x:c r="M102" s="3"/>
      <x:c r="N102" s="2"/>
      <x:c r="O102" s="2"/>
    </x:row>
    <x:row r="103" ht="20" customHeight="1">
      <x:c r="A103" s="2"/>
      <x:c r="B103" s="2"/>
      <x:c r="C103" s="2"/>
      <x:c r="D103" s="3"/>
      <x:c r="E103" s="3"/>
      <x:c r="F103" s="3"/>
      <x:c r="G103" s="3"/>
      <x:c r="H103" s="3"/>
      <x:c r="I103" s="3"/>
      <x:c r="J103" s="3"/>
      <x:c r="K103" s="3"/>
      <x:c r="L103" s="3"/>
      <x:c r="M103" s="3"/>
      <x:c r="N103" s="2"/>
      <x:c r="O103" s="2"/>
    </x:row>
    <x:row r="104" ht="20" customHeight="1">
      <x:c r="A104" s="2"/>
      <x:c r="B104" s="2"/>
      <x:c r="C104" s="2"/>
      <x:c r="D104" s="3"/>
      <x:c r="E104" s="3"/>
      <x:c r="F104" s="3"/>
      <x:c r="G104" s="3"/>
      <x:c r="H104" s="3"/>
      <x:c r="I104" s="3"/>
      <x:c r="J104" s="3"/>
      <x:c r="K104" s="3"/>
      <x:c r="L104" s="3"/>
      <x:c r="M104" s="3"/>
      <x:c r="N104" s="2"/>
      <x:c r="O104" s="2"/>
    </x:row>
    <x:row r="105" ht="20" customHeight="1">
      <x:c r="A105" s="2"/>
      <x:c r="B105" s="2"/>
      <x:c r="C105" s="2"/>
      <x:c r="D105" s="3"/>
      <x:c r="E105" s="3"/>
      <x:c r="F105" s="3"/>
      <x:c r="G105" s="3"/>
      <x:c r="H105" s="3"/>
      <x:c r="I105" s="3"/>
      <x:c r="J105" s="3"/>
      <x:c r="K105" s="3"/>
      <x:c r="L105" s="3"/>
      <x:c r="M105" s="3"/>
      <x:c r="N105" s="2"/>
      <x:c r="O105" s="2"/>
    </x:row>
    <x:row r="106" ht="20" customHeight="1">
      <x:c r="A106" s="2"/>
      <x:c r="B106" s="2"/>
      <x:c r="C106" s="2"/>
      <x:c r="D106" s="3"/>
      <x:c r="E106" s="3"/>
      <x:c r="F106" s="3"/>
      <x:c r="G106" s="3"/>
      <x:c r="H106" s="3"/>
      <x:c r="I106" s="3"/>
      <x:c r="J106" s="3"/>
      <x:c r="K106" s="3"/>
      <x:c r="L106" s="3"/>
      <x:c r="M106" s="3"/>
      <x:c r="N106" s="2"/>
      <x:c r="O106" s="2"/>
    </x:row>
    <x:row r="107" ht="20" customHeight="1">
      <x:c r="A107" s="2"/>
      <x:c r="B107" s="2"/>
      <x:c r="C107" s="2"/>
      <x:c r="D107" s="3"/>
      <x:c r="E107" s="3"/>
      <x:c r="F107" s="3"/>
      <x:c r="G107" s="3"/>
      <x:c r="H107" s="3"/>
      <x:c r="I107" s="3"/>
      <x:c r="J107" s="3"/>
      <x:c r="K107" s="3"/>
      <x:c r="L107" s="3"/>
      <x:c r="M107" s="3"/>
      <x:c r="N107" s="2"/>
      <x:c r="O107" s="2"/>
    </x:row>
    <x:row r="108" ht="20" customHeight="1">
      <x:c r="A108" s="2"/>
      <x:c r="B108" s="2"/>
      <x:c r="C108" s="2"/>
      <x:c r="D108" s="3"/>
      <x:c r="E108" s="3"/>
      <x:c r="F108" s="3"/>
      <x:c r="G108" s="3"/>
      <x:c r="H108" s="3"/>
      <x:c r="I108" s="3"/>
      <x:c r="J108" s="3"/>
      <x:c r="K108" s="3"/>
      <x:c r="L108" s="3"/>
      <x:c r="M108" s="3"/>
      <x:c r="N108" s="2"/>
      <x:c r="O108" s="2"/>
    </x:row>
    <x:row r="109" ht="20" customHeight="1">
      <x:c r="A109" s="2"/>
      <x:c r="B109" s="2"/>
      <x:c r="C109" s="2"/>
      <x:c r="D109" s="3"/>
      <x:c r="E109" s="3"/>
      <x:c r="F109" s="3"/>
      <x:c r="G109" s="3"/>
      <x:c r="H109" s="3"/>
      <x:c r="I109" s="3"/>
      <x:c r="J109" s="3"/>
      <x:c r="K109" s="3"/>
      <x:c r="L109" s="3"/>
      <x:c r="M109" s="3"/>
      <x:c r="N109" s="2"/>
      <x:c r="O109" s="2"/>
    </x:row>
    <x:row r="110" ht="20" customHeight="1">
      <x:c r="A110" s="2"/>
      <x:c r="B110" s="2"/>
      <x:c r="C110" s="2"/>
      <x:c r="D110" s="3"/>
      <x:c r="E110" s="3"/>
      <x:c r="F110" s="3"/>
      <x:c r="G110" s="3"/>
      <x:c r="H110" s="3"/>
      <x:c r="I110" s="3"/>
      <x:c r="J110" s="3"/>
      <x:c r="K110" s="3"/>
      <x:c r="L110" s="3"/>
      <x:c r="M110" s="3"/>
      <x:c r="N110" s="2"/>
      <x:c r="O110" s="2"/>
    </x:row>
    <x:row r="111" ht="20" customHeight="1">
      <x:c r="A111" s="2"/>
      <x:c r="B111" s="2"/>
      <x:c r="C111" s="2"/>
      <x:c r="D111" s="3"/>
      <x:c r="E111" s="3"/>
      <x:c r="F111" s="3"/>
      <x:c r="G111" s="3"/>
      <x:c r="H111" s="3"/>
      <x:c r="I111" s="3"/>
      <x:c r="J111" s="3"/>
      <x:c r="K111" s="3"/>
      <x:c r="L111" s="3"/>
      <x:c r="M111" s="3"/>
      <x:c r="N111" s="2"/>
      <x:c r="O111" s="2"/>
    </x:row>
    <x:row r="112" ht="20" customHeight="1">
      <x:c r="A112" s="2"/>
      <x:c r="B112" s="2"/>
      <x:c r="C112" s="2"/>
      <x:c r="D112" s="3"/>
      <x:c r="E112" s="3"/>
      <x:c r="F112" s="3"/>
      <x:c r="G112" s="3"/>
      <x:c r="H112" s="3"/>
      <x:c r="I112" s="3"/>
      <x:c r="J112" s="3"/>
      <x:c r="K112" s="3"/>
      <x:c r="L112" s="3"/>
      <x:c r="M112" s="3"/>
      <x:c r="N112" s="2"/>
      <x:c r="O112" s="2"/>
    </x:row>
    <x:row r="113" ht="20" customHeight="1">
      <x:c r="A113" s="2"/>
      <x:c r="B113" s="2"/>
      <x:c r="C113" s="2"/>
      <x:c r="D113" s="3"/>
      <x:c r="E113" s="3"/>
      <x:c r="F113" s="3"/>
      <x:c r="G113" s="3"/>
      <x:c r="H113" s="3"/>
      <x:c r="I113" s="3"/>
      <x:c r="J113" s="3"/>
      <x:c r="K113" s="3"/>
      <x:c r="L113" s="3"/>
      <x:c r="M113" s="3"/>
      <x:c r="N113" s="2"/>
      <x:c r="O113" s="2"/>
    </x:row>
    <x:row r="114" ht="20" customHeight="1">
      <x:c r="A114" s="2"/>
      <x:c r="B114" s="2"/>
      <x:c r="C114" s="2"/>
      <x:c r="D114" s="3"/>
      <x:c r="E114" s="3"/>
      <x:c r="F114" s="3"/>
      <x:c r="G114" s="3"/>
      <x:c r="H114" s="3"/>
      <x:c r="I114" s="3"/>
      <x:c r="J114" s="3"/>
      <x:c r="K114" s="3"/>
      <x:c r="L114" s="3"/>
      <x:c r="M114" s="3"/>
      <x:c r="N114" s="2"/>
      <x:c r="O114" s="2"/>
    </x:row>
    <x:row r="115" ht="20" customHeight="1">
      <x:c r="A115" s="2"/>
      <x:c r="B115" s="2"/>
      <x:c r="C115" s="2"/>
      <x:c r="D115" s="3"/>
      <x:c r="E115" s="3"/>
      <x:c r="F115" s="3"/>
      <x:c r="G115" s="3"/>
      <x:c r="H115" s="3"/>
      <x:c r="I115" s="3"/>
      <x:c r="J115" s="3"/>
      <x:c r="K115" s="3"/>
      <x:c r="L115" s="3"/>
      <x:c r="M115" s="3"/>
      <x:c r="N115" s="2"/>
      <x:c r="O115" s="2"/>
    </x:row>
    <x:row r="116" ht="20" customHeight="1">
      <x:c r="A116" s="2"/>
      <x:c r="B116" s="2"/>
      <x:c r="C116" s="2"/>
      <x:c r="D116" s="3"/>
      <x:c r="E116" s="3"/>
      <x:c r="F116" s="3"/>
      <x:c r="G116" s="3"/>
      <x:c r="H116" s="3"/>
      <x:c r="I116" s="3"/>
      <x:c r="J116" s="3"/>
      <x:c r="K116" s="3"/>
      <x:c r="L116" s="3"/>
      <x:c r="M116" s="3"/>
      <x:c r="N116" s="2"/>
      <x:c r="O116" s="2"/>
    </x:row>
    <x:row r="117" ht="20" customHeight="1">
      <x:c r="A117" s="2"/>
      <x:c r="B117" s="2"/>
      <x:c r="C117" s="2"/>
      <x:c r="D117" s="3"/>
      <x:c r="E117" s="3"/>
      <x:c r="F117" s="3"/>
      <x:c r="G117" s="3"/>
      <x:c r="H117" s="3"/>
      <x:c r="I117" s="3"/>
      <x:c r="J117" s="3"/>
      <x:c r="K117" s="3"/>
      <x:c r="L117" s="3"/>
      <x:c r="M117" s="3"/>
      <x:c r="N117" s="2"/>
      <x:c r="O117" s="2"/>
    </x:row>
    <x:row r="118" ht="20" customHeight="1">
      <x:c r="A118" s="2"/>
      <x:c r="B118" s="2"/>
      <x:c r="C118" s="2"/>
      <x:c r="D118" s="3"/>
      <x:c r="E118" s="3"/>
      <x:c r="F118" s="3"/>
      <x:c r="G118" s="3"/>
      <x:c r="H118" s="3"/>
      <x:c r="I118" s="3"/>
      <x:c r="J118" s="3"/>
      <x:c r="K118" s="3"/>
      <x:c r="L118" s="3"/>
      <x:c r="M118" s="3"/>
      <x:c r="N118" s="2"/>
      <x:c r="O118" s="2"/>
    </x:row>
    <x:row r="119" ht="20" customHeight="1">
      <x:c r="A119" s="2"/>
      <x:c r="B119" s="2"/>
      <x:c r="C119" s="2"/>
      <x:c r="D119" s="3"/>
      <x:c r="E119" s="3"/>
      <x:c r="F119" s="3"/>
      <x:c r="G119" s="3"/>
      <x:c r="H119" s="3"/>
      <x:c r="I119" s="3"/>
      <x:c r="J119" s="3"/>
      <x:c r="K119" s="3"/>
      <x:c r="L119" s="3"/>
      <x:c r="M119" s="3"/>
      <x:c r="N119" s="2"/>
      <x:c r="O119" s="2"/>
    </x:row>
    <x:row r="120" ht="20" customHeight="1">
      <x:c r="A120" s="2"/>
      <x:c r="B120" s="2"/>
      <x:c r="C120" s="2"/>
      <x:c r="D120" s="3"/>
      <x:c r="E120" s="3"/>
      <x:c r="F120" s="3"/>
      <x:c r="G120" s="3"/>
      <x:c r="H120" s="3"/>
      <x:c r="I120" s="3"/>
      <x:c r="J120" s="3"/>
      <x:c r="K120" s="3"/>
      <x:c r="L120" s="3"/>
      <x:c r="M120" s="3"/>
      <x:c r="N120" s="2"/>
      <x:c r="O120" s="2"/>
    </x:row>
    <x:row r="121" ht="20" customHeight="1">
      <x:c r="A121" s="2"/>
      <x:c r="B121" s="2"/>
      <x:c r="C121" s="2"/>
      <x:c r="D121" s="3"/>
      <x:c r="E121" s="3"/>
      <x:c r="F121" s="3"/>
      <x:c r="G121" s="3"/>
      <x:c r="H121" s="3"/>
      <x:c r="I121" s="3"/>
      <x:c r="J121" s="3"/>
      <x:c r="K121" s="3"/>
      <x:c r="L121" s="3"/>
      <x:c r="M121" s="3"/>
      <x:c r="N121" s="2"/>
      <x:c r="O121" s="2"/>
    </x:row>
    <x:row r="122" ht="20" customHeight="1">
      <x:c r="A122" s="2"/>
      <x:c r="B122" s="2"/>
      <x:c r="C122" s="2"/>
      <x:c r="D122" s="3"/>
      <x:c r="E122" s="3"/>
      <x:c r="F122" s="3"/>
      <x:c r="G122" s="3"/>
      <x:c r="H122" s="3"/>
      <x:c r="I122" s="3"/>
      <x:c r="J122" s="3"/>
      <x:c r="K122" s="3"/>
      <x:c r="L122" s="3"/>
      <x:c r="M122" s="3"/>
      <x:c r="N122" s="2"/>
      <x:c r="O122" s="2"/>
    </x:row>
    <x:row r="123" ht="20" customHeight="1">
      <x:c r="A123" s="2"/>
      <x:c r="B123" s="2"/>
      <x:c r="C123" s="2"/>
      <x:c r="D123" s="3"/>
      <x:c r="E123" s="3"/>
      <x:c r="F123" s="3"/>
      <x:c r="G123" s="3"/>
      <x:c r="H123" s="3"/>
      <x:c r="I123" s="3"/>
      <x:c r="J123" s="3"/>
      <x:c r="K123" s="3"/>
      <x:c r="L123" s="3"/>
      <x:c r="M123" s="3"/>
      <x:c r="N123" s="2"/>
      <x:c r="O123" s="2"/>
    </x:row>
    <x:row r="124" ht="20" customHeight="1">
      <x:c r="A124" s="2"/>
      <x:c r="B124" s="2"/>
      <x:c r="C124" s="2"/>
      <x:c r="D124" s="3"/>
      <x:c r="E124" s="3"/>
      <x:c r="F124" s="3"/>
      <x:c r="G124" s="3"/>
      <x:c r="H124" s="3"/>
      <x:c r="I124" s="3"/>
      <x:c r="J124" s="3"/>
      <x:c r="K124" s="3"/>
      <x:c r="L124" s="3"/>
      <x:c r="M124" s="3"/>
      <x:c r="N124" s="2"/>
      <x:c r="O124" s="2"/>
    </x:row>
    <x:row r="125" ht="20" customHeight="1">
      <x:c r="A125" s="2"/>
      <x:c r="B125" s="2"/>
      <x:c r="C125" s="2"/>
      <x:c r="D125" s="3"/>
      <x:c r="E125" s="3"/>
      <x:c r="F125" s="3"/>
      <x:c r="G125" s="3"/>
      <x:c r="H125" s="3"/>
      <x:c r="I125" s="3"/>
      <x:c r="J125" s="3"/>
      <x:c r="K125" s="3"/>
      <x:c r="L125" s="3"/>
      <x:c r="M125" s="3"/>
      <x:c r="N125" s="2"/>
      <x:c r="O125" s="2"/>
    </x:row>
    <x:row r="126" ht="20" customHeight="1">
      <x:c r="A126" s="2"/>
      <x:c r="B126" s="2"/>
      <x:c r="C126" s="2"/>
      <x:c r="D126" s="3"/>
      <x:c r="E126" s="3"/>
      <x:c r="F126" s="3"/>
      <x:c r="G126" s="3"/>
      <x:c r="H126" s="3"/>
      <x:c r="I126" s="3"/>
      <x:c r="J126" s="3"/>
      <x:c r="K126" s="3"/>
      <x:c r="L126" s="3"/>
      <x:c r="M126" s="3"/>
      <x:c r="N126" s="2"/>
      <x:c r="O126" s="2"/>
    </x:row>
    <x:row r="127" ht="20" customHeight="1">
      <x:c r="A127" s="2"/>
      <x:c r="B127" s="2"/>
      <x:c r="C127" s="2"/>
      <x:c r="D127" s="3"/>
      <x:c r="E127" s="3"/>
      <x:c r="F127" s="3"/>
      <x:c r="G127" s="3"/>
      <x:c r="H127" s="3"/>
      <x:c r="I127" s="3"/>
      <x:c r="J127" s="3"/>
      <x:c r="K127" s="3"/>
      <x:c r="L127" s="3"/>
      <x:c r="M127" s="3"/>
      <x:c r="N127" s="2"/>
      <x:c r="O127" s="2"/>
    </x:row>
    <x:row r="128" ht="20" customHeight="1">
      <x:c r="A128" s="2"/>
      <x:c r="B128" s="2"/>
      <x:c r="C128" s="2"/>
      <x:c r="D128" s="3"/>
      <x:c r="E128" s="3"/>
      <x:c r="F128" s="3"/>
      <x:c r="G128" s="3"/>
      <x:c r="H128" s="3"/>
      <x:c r="I128" s="3"/>
      <x:c r="J128" s="3"/>
      <x:c r="K128" s="3"/>
      <x:c r="L128" s="3"/>
      <x:c r="M128" s="3"/>
      <x:c r="N128" s="2"/>
      <x:c r="O128" s="2"/>
    </x:row>
    <x:row r="129" ht="20" customHeight="1">
      <x:c r="A129" s="2"/>
      <x:c r="B129" s="2"/>
      <x:c r="C129" s="2"/>
      <x:c r="D129" s="3"/>
      <x:c r="E129" s="3"/>
      <x:c r="F129" s="3"/>
      <x:c r="G129" s="3"/>
      <x:c r="H129" s="3"/>
      <x:c r="I129" s="3"/>
      <x:c r="J129" s="3"/>
      <x:c r="K129" s="3"/>
      <x:c r="L129" s="3"/>
      <x:c r="M129" s="3"/>
      <x:c r="N129" s="2"/>
      <x:c r="O129" s="2"/>
    </x:row>
    <x:row r="130" ht="20" customHeight="1">
      <x:c r="A130" s="2"/>
      <x:c r="B130" s="2"/>
      <x:c r="C130" s="2"/>
      <x:c r="D130" s="3"/>
      <x:c r="E130" s="3"/>
      <x:c r="F130" s="3"/>
      <x:c r="G130" s="3"/>
      <x:c r="H130" s="3"/>
      <x:c r="I130" s="3"/>
      <x:c r="J130" s="3"/>
      <x:c r="K130" s="3"/>
      <x:c r="L130" s="3"/>
      <x:c r="M130" s="3"/>
      <x:c r="N130" s="2"/>
      <x:c r="O130" s="2"/>
    </x:row>
  </x:sheetData>
  <x:mergeCells>
    <x:mergeCell ref="C28:M28"/>
    <x:mergeCell ref="C30:M30"/>
    <x:mergeCell ref="C32:M32"/>
    <x:mergeCell ref="C90:M90"/>
    <x:mergeCell ref="C93:M93"/>
    <x:mergeCell ref="C96:M96"/>
  </x:mergeCells>
  <x:pageMargins left="0.7" right="0.7" top="0.75" bottom="0.75" header="0.3" footer="0.3"/>
  <x:drawing xmlns:r="http://schemas.openxmlformats.org/officeDocument/2006/relationships" r:id="Ref32dee622544003"/>
</x:worksheet>
</file>