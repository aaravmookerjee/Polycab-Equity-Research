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6cb8165bf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" sheetId="1" r:id="Raf7d0b50c63f46b5"/>
    <x:sheet xmlns:r="http://schemas.openxmlformats.org/officeDocument/2006/relationships" name="01_Sources" sheetId="2" r:id="Ra2ebe926098f4e55"/>
    <x:sheet xmlns:r="http://schemas.openxmlformats.org/officeDocument/2006/relationships" name="02_Historical_FS" sheetId="3" r:id="R4d1fe3e3e07441b3"/>
    <x:sheet xmlns:r="http://schemas.openxmlformats.org/officeDocument/2006/relationships" name="03_Segment_History" sheetId="4" r:id="R4dbdfb0927eb40b4"/>
    <x:sheet xmlns:r="http://schemas.openxmlformats.org/officeDocument/2006/relationships" name="04_Drivers" sheetId="5" r:id="R63a92ade089a43c9"/>
    <x:sheet xmlns:r="http://schemas.openxmlformats.org/officeDocument/2006/relationships" name="05_Segment_Forecast" sheetId="6" r:id="Rb2409d32a2824012"/>
    <x:sheet xmlns:r="http://schemas.openxmlformats.org/officeDocument/2006/relationships" name="06_3Statement_Model" sheetId="7" r:id="R7810e7a9dcc640a0"/>
    <x:sheet xmlns:r="http://schemas.openxmlformats.org/officeDocument/2006/relationships" name="07_Working_Capital" sheetId="8" r:id="R34e5da21eace4d04"/>
    <x:sheet xmlns:r="http://schemas.openxmlformats.org/officeDocument/2006/relationships" name="08_Fixed_Assets" sheetId="9" r:id="R803475f0be8f41bc"/>
    <x:sheet xmlns:r="http://schemas.openxmlformats.org/officeDocument/2006/relationships" name="09_FCF_DCF" sheetId="10" r:id="Rc81a5c33331d40f4"/>
    <x:sheet xmlns:r="http://schemas.openxmlformats.org/officeDocument/2006/relationships" name="10_Comps" sheetId="11" r:id="R64a05bcf00ac423d"/>
    <x:sheet xmlns:r="http://schemas.openxmlformats.org/officeDocument/2006/relationships" name="11_Scenarios" sheetId="12" r:id="Rc8b3450b48834f53"/>
    <x:sheet xmlns:r="http://schemas.openxmlformats.org/officeDocument/2006/relationships" name="12_Sensitivity" sheetId="13" r:id="Rc5e8138873124099"/>
    <x:sheet xmlns:r="http://schemas.openxmlformats.org/officeDocument/2006/relationships" name="13_Dashboard" sheetId="14" r:id="R05bd19188296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(#,##0.0);&quot;–&quot;"/>
    <x:numFmt numFmtId="201" formatCode="0.0%;(0.0%);&quot;–&quot;"/>
    <x:numFmt numFmtId="202" formatCode="0.00;(0.00);&quot;–&quot;"/>
    <x:numFmt numFmtId="203" formatCode="#,##0;(#,##0);&quot;–&quot;"/>
    <x:numFmt numFmtId="204" formatCode="0.0&quot;x&quot;"/>
    <x:numFmt numFmtId="205" formatCode="0.00;(0.00);0.00"/>
    <x:numFmt numFmtId="206" formatCode="dd mmm yyyy"/>
  </x:numFmts>
  <x:fonts count="24">
    <x:font>
      <x:sz val="11"/>
      <x:name val="Carlito"/>
    </x:font>
    <x:font>
      <x:sz val="10"/>
      <x:color rgb="FF172B42"/>
      <x:name val="Arial"/>
    </x:font>
    <x:font>
      <x:b/>
      <x:sz val="16"/>
      <x:color rgb="FF142E4C"/>
      <x:name val="Arial"/>
    </x:font>
    <x:font>
      <x:i/>
      <x:sz val="10"/>
      <x:color rgb="FF697687"/>
      <x:name val="Arial"/>
    </x:font>
    <x:font>
      <x:b/>
      <x:sz val="10"/>
      <x:color rgb="FF142E4C"/>
      <x:name val="Arial"/>
    </x:font>
    <x:font>
      <x:b/>
      <x:sz val="10"/>
      <x:color rgb="FFFFFFFF"/>
      <x:name val="Arial"/>
    </x:font>
    <x:font>
      <x:sz val="10"/>
      <x:color rgb="FF1553A0"/>
      <x:name val="Arial"/>
    </x:font>
    <x:font>
      <x:sz val="10"/>
      <x:color rgb="FF697687"/>
      <x:name val="Arial"/>
    </x:font>
    <x:font>
      <x:b/>
      <x:sz val="10"/>
      <x:color rgb="FF172B42"/>
      <x:name val="Arial"/>
    </x:font>
    <x:font>
      <x:i/>
      <x:sz val="10"/>
      <x:color rgb="FF172B42"/>
      <x:name val="Arial"/>
    </x:font>
    <x:font>
      <x:b/>
      <x:sz val="10"/>
      <x:color rgb="FF111111"/>
      <x:name val="Arial"/>
    </x:font>
    <x:font>
      <x:sz val="10"/>
      <x:color rgb="FF111111"/>
      <x:name val="Arial"/>
    </x:font>
    <x:font>
      <x:i/>
      <x:sz val="10"/>
      <x:color rgb="FF111111"/>
      <x:name val="Arial"/>
    </x:font>
    <x:font>
      <x:i/>
      <x:sz val="10"/>
      <x:color rgb="FF1553A0"/>
      <x:name val="Arial"/>
    </x:font>
    <x:font>
      <x:sz val="10"/>
      <x:color rgb="FF00804A"/>
      <x:name val="Arial"/>
    </x:font>
    <x:font>
      <x:i/>
      <x:sz val="10"/>
      <x:color rgb="FF00804A"/>
      <x:name val="Arial"/>
    </x:font>
    <x:font>
      <x:b/>
      <x:i/>
      <x:sz val="10"/>
      <x:color rgb="FF172B42"/>
      <x:name val="Arial"/>
    </x:font>
    <x:font>
      <x:b/>
      <x:i/>
      <x:sz val="10"/>
      <x:color rgb="FF00804A"/>
      <x:name val="Arial"/>
    </x:font>
    <x:font>
      <x:b/>
      <x:sz val="10"/>
      <x:color rgb="FF00804A"/>
      <x:name val="Arial"/>
    </x:font>
    <x:font>
      <x:b/>
      <x:i/>
      <x:sz val="10"/>
      <x:color rgb="FF111111"/>
      <x:name val="Arial"/>
    </x:font>
    <x:font>
      <x:b/>
      <x:sz val="16"/>
      <x:color rgb="FF172B42"/>
      <x:name val="Arial"/>
    </x:font>
    <x:font>
      <x:i/>
      <x:sz val="10"/>
      <x:color rgb="FF142E4C"/>
      <x:name val="Arial"/>
    </x:font>
    <x:font>
      <x:sz val="10"/>
      <x:color rgb="FF142E4C"/>
      <x:name val="Arial"/>
    </x:font>
    <x:font>
      <x:sz val="10"/>
      <x:color rgb="FF22222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CE5EE"/>
      </x:patternFill>
    </x:fill>
    <x:fill>
      <x:patternFill patternType="solid">
        <x:fgColor rgb="FF142E4C"/>
      </x:patternFill>
    </x:fill>
    <x:fill>
      <x:patternFill patternType="solid">
        <x:fgColor rgb="FFF2F5F9"/>
      </x:patternFill>
    </x:fill>
    <x:fill>
      <x:patternFill patternType="solid">
        <x:fgColor rgb="FFF5F8FC"/>
      </x:patternFill>
    </x:fill>
    <x:fill>
      <x:patternFill patternType="solid">
        <x:fgColor rgb="FFFFF0BD"/>
      </x:patternFill>
    </x:fill>
  </x:fills>
  <x:borders count="3">
    <x:border/>
    <x:border>
      <x:bottom style="thin">
        <x:color rgb="FF142E4C"/>
      </x:bottom>
    </x:border>
    <x:border>
      <x:top style="thin">
        <x:color rgb="FFBAC7D5"/>
      </x:top>
    </x:border>
  </x:borders>
  <x:cellStyleXfs count="1">
    <x:xf numFmtId="0" fontId="0" fillId="0" borderId="0"/>
  </x:cellStyleXfs>
  <x:cellXfs count="9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 applyAlignment="1">
      <x:alignment vertical="center"/>
    </x:xf>
    <x:xf numFmtId="200" fontId="8" fillId="4" borderId="2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0" fontId="10" fillId="4" borderId="2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201" fontId="12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1" fillId="0" borderId="0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0" fontId="14" fillId="0" borderId="0" xfId="0" applyNumberFormat="1" applyFont="1" applyFill="1" applyBorder="1" applyAlignment="1">
      <x:alignment vertical="center"/>
    </x:xf>
    <x:xf numFmtId="201" fontId="1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9" fillId="5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201" fontId="9" fillId="4" borderId="0" xfId="0" applyNumberFormat="1" applyFont="1" applyFill="1" applyBorder="1" applyAlignment="1">
      <x:alignment vertical="center"/>
    </x:xf>
    <x:xf numFmtId="0" fontId="16" fillId="4" borderId="0" xfId="0" applyNumberFormat="1" applyFont="1" applyFill="1" applyBorder="1" applyAlignment="1">
      <x:alignment vertical="center"/>
    </x:xf>
    <x:xf numFmtId="201" fontId="16" fillId="4" borderId="0" xfId="0" applyNumberFormat="1" applyFont="1" applyFill="1" applyBorder="1" applyAlignment="1">
      <x:alignment vertical="center"/>
    </x:xf>
    <x:xf numFmtId="0" fontId="16" fillId="4" borderId="2" xfId="0" applyNumberFormat="1" applyFont="1" applyFill="1" applyBorder="1" applyAlignment="1">
      <x:alignment vertical="center"/>
    </x:xf>
    <x:xf numFmtId="201" fontId="16" fillId="4" borderId="2" xfId="0" applyNumberFormat="1" applyFont="1" applyFill="1" applyBorder="1" applyAlignment="1">
      <x:alignment vertical="center"/>
    </x:xf>
    <x:xf numFmtId="201" fontId="9" fillId="6" borderId="0" xfId="0" applyNumberFormat="1" applyFont="1" applyFill="1" applyBorder="1" applyAlignment="1">
      <x:alignment vertical="center"/>
    </x:xf>
    <x:xf numFmtId="201" fontId="13" fillId="6" borderId="0" xfId="0" applyNumberFormat="1" applyFont="1" applyFill="1" applyBorder="1" applyAlignment="1">
      <x:alignment vertical="center"/>
    </x:xf>
    <x:xf numFmtId="201" fontId="17" fillId="4" borderId="2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200" fontId="6" fillId="6" borderId="0" xfId="0" applyNumberFormat="1" applyFont="1" applyFill="1" applyBorder="1" applyAlignment="1">
      <x:alignment vertical="center"/>
    </x:xf>
    <x:xf numFmtId="200" fontId="18" fillId="4" borderId="2" xfId="0" applyNumberFormat="1" applyFont="1" applyFill="1" applyBorder="1" applyAlignment="1">
      <x:alignment vertical="center"/>
    </x:xf>
    <x:xf numFmtId="201" fontId="19" fillId="4" borderId="2" xfId="0" applyNumberFormat="1" applyFont="1" applyFill="1" applyBorder="1" applyAlignment="1">
      <x:alignment vertical="center"/>
    </x:xf>
    <x:xf numFmtId="201" fontId="15" fillId="5" borderId="0" xfId="0" applyNumberFormat="1" applyFont="1" applyFill="1" applyBorder="1" applyAlignment="1">
      <x:alignment vertical="center"/>
    </x:xf>
    <x:xf numFmtId="200" fontId="11" fillId="5" borderId="0" xfId="0" applyNumberFormat="1" applyFont="1" applyFill="1" applyBorder="1" applyAlignment="1">
      <x:alignment vertical="center"/>
    </x:xf>
    <x:xf numFmtId="200" fontId="14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2" fontId="14" fillId="0" borderId="0" xfId="0" applyNumberFormat="1" applyFont="1" applyFill="1" applyBorder="1" applyAlignment="1">
      <x:alignment vertical="center"/>
    </x:xf>
    <x:xf numFmtId="202" fontId="14" fillId="5" borderId="0" xfId="0" applyNumberFormat="1" applyFont="1" applyFill="1" applyBorder="1" applyAlignment="1">
      <x:alignment vertical="center"/>
    </x:xf>
    <x:xf numFmtId="202" fontId="11" fillId="5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 applyAlignment="1">
      <x:alignment vertical="center"/>
    </x:xf>
    <x:xf numFmtId="202" fontId="8" fillId="4" borderId="2" xfId="0" applyNumberFormat="1" applyFont="1" applyFill="1" applyBorder="1" applyAlignment="1">
      <x:alignment vertical="center"/>
    </x:xf>
    <x:xf numFmtId="202" fontId="10" fillId="4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204" fontId="11" fillId="0" borderId="0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201" fontId="6" fillId="6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vertical="center"/>
    </x:xf>
    <x:xf numFmtId="201" fontId="21" fillId="0" borderId="0" xfId="0" applyNumberFormat="1" applyFont="1" applyFill="1" applyBorder="1" applyAlignment="1">
      <x:alignment vertical="center"/>
    </x:xf>
    <x:xf numFmtId="200" fontId="22" fillId="0" borderId="0" xfId="0" applyNumberFormat="1" applyFont="1" applyFill="1" applyBorder="1" applyAlignment="1">
      <x:alignment vertical="center"/>
    </x:xf>
    <x:xf numFmtId="200" fontId="22" fillId="5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205" fontId="14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1" fillId="0" borderId="0" xfId="0" applyNumberFormat="1" applyFont="1" applyFill="1" applyBorder="1" applyAlignment="1">
      <x:alignment vertical="center"/>
    </x:xf>
    <x:xf numFmtId="205" fontId="11" fillId="5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0" fontId="14" fillId="6" borderId="0" xfId="0" applyNumberFormat="1" applyFont="1" applyFill="1" applyBorder="1" applyAlignment="1">
      <x:alignment vertical="center"/>
    </x:xf>
    <x:xf numFmtId="206" fontId="6" fillId="6" borderId="0" xfId="0" applyNumberFormat="1" applyFont="1" applyFill="1" applyBorder="1" applyAlignment="1">
      <x:alignment vertical="center"/>
    </x:xf>
    <x:xf numFmtId="200" fontId="14" fillId="4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202" fontId="23" fillId="0" borderId="0" xfId="0" applyNumberFormat="1" applyFont="1" applyFill="1" applyBorder="1" applyAlignment="1">
      <x:alignment vertical="center"/>
    </x:xf>
    <x:xf numFmtId="205" fontId="23" fillId="0" borderId="0" xfId="0" applyNumberFormat="1" applyFont="1" applyFill="1" applyBorder="1" applyAlignment="1">
      <x:alignment vertical="center"/>
    </x:xf>
    <x:xf numFmtId="205" fontId="23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9">
    <x:dxf>
      <x:font>
        <x:b/>
        <x:color rgb="FFB22222"/>
      </x:font>
      <x:fill>
        <x:patternFill patternType="solid">
          <x:bgColor rgb="FFFDE0DE"/>
        </x:patternFill>
      </x:fill>
    </x:dxf>
    <x:dxf>
      <x:font>
        <x:b/>
        <x:color rgb="FFB22222"/>
      </x:font>
      <x:fill>
        <x:patternFill patternType="solid">
          <x:bgColor rgb="FFFDE0DE"/>
        </x:patternFill>
      </x:fill>
    </x:dxf>
    <x:dxf>
      <x:font>
        <x:b/>
        <x:color rgb="FFB22222"/>
      </x:font>
      <x:fill>
        <x:patternFill patternType="solid">
          <x:bgColor rgb="FFFDE0DE"/>
        </x:patternFill>
      </x:fill>
    </x:dxf>
    <x:dxf>
      <x:font>
        <x:b/>
        <x:color rgb="FFB22222"/>
      </x:font>
      <x:fill>
        <x:patternFill patternType="solid">
          <x:bgColor rgb="FFFDE0DE"/>
        </x:patternFill>
      </x:fill>
    </x:dxf>
    <x:dxf>
      <x:font>
        <x:b/>
        <x:color rgb="FFB22222"/>
      </x:font>
      <x:fill>
        <x:patternFill patternType="solid">
          <x:bgColor rgb="FFFDE0DE"/>
        </x:patternFill>
      </x:fill>
    </x:dxf>
    <x:dxf>
      <x:font>
        <x:b/>
        <x:color rgb="FFB22222"/>
      </x:font>
      <x:fill>
        <x:patternFill patternType="solid">
          <x:bgColor rgb="FFFDE0DE"/>
        </x:patternFill>
      </x:fill>
    </x:dxf>
    <x:dxf>
      <x:font>
        <x:b/>
        <x:color rgb="FFB22222"/>
      </x:font>
      <x:fill>
        <x:patternFill patternType="solid">
          <x:bgColor rgb="FFFDE0DE"/>
        </x:patternFill>
      </x:fill>
    </x:dxf>
    <x:dxf>
      <x:font>
        <x:b/>
        <x:color rgb="FFB22222"/>
      </x:font>
      <x:fill>
        <x:patternFill patternType="solid">
          <x:bgColor rgb="FFFDE0DE"/>
        </x:patternFill>
      </x:fill>
    </x:dxf>
    <x:dxf>
      <x:font>
        <x:b/>
        <x:color rgb="FFB22222"/>
      </x:font>
      <x:fill>
        <x:patternFill patternType="solid">
          <x:bgColor rgb="FFFDE0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6ac4873214656" /><Relationship Type="http://schemas.openxmlformats.org/officeDocument/2006/relationships/theme" Target="/xl/theme/theme1.xml" Id="Rb469582c82b94a7c" /><Relationship Type="http://schemas.openxmlformats.org/officeDocument/2006/relationships/sharedStrings" Target="/xl/sharedStrings.xml" Id="Rc69f0422fcaa4bb5" /><Relationship Type="http://schemas.openxmlformats.org/officeDocument/2006/relationships/worksheet" Target="/xl/worksheets/sheet1.xml" Id="Raf7d0b50c63f46b5" /><Relationship Type="http://schemas.openxmlformats.org/officeDocument/2006/relationships/worksheet" Target="/xl/worksheets/sheet2.xml" Id="Ra2ebe926098f4e55" /><Relationship Type="http://schemas.openxmlformats.org/officeDocument/2006/relationships/worksheet" Target="/xl/worksheets/sheet3.xml" Id="R4d1fe3e3e07441b3" /><Relationship Type="http://schemas.openxmlformats.org/officeDocument/2006/relationships/worksheet" Target="/xl/worksheets/sheet4.xml" Id="R4dbdfb0927eb40b4" /><Relationship Type="http://schemas.openxmlformats.org/officeDocument/2006/relationships/worksheet" Target="/xl/worksheets/sheet5.xml" Id="R63a92ade089a43c9" /><Relationship Type="http://schemas.openxmlformats.org/officeDocument/2006/relationships/worksheet" Target="/xl/worksheets/sheet6.xml" Id="Rb2409d32a2824012" /><Relationship Type="http://schemas.openxmlformats.org/officeDocument/2006/relationships/worksheet" Target="/xl/worksheets/sheet7.xml" Id="R7810e7a9dcc640a0" /><Relationship Type="http://schemas.openxmlformats.org/officeDocument/2006/relationships/worksheet" Target="/xl/worksheets/sheet8.xml" Id="R34e5da21eace4d04" /><Relationship Type="http://schemas.openxmlformats.org/officeDocument/2006/relationships/worksheet" Target="/xl/worksheets/sheet9.xml" Id="R803475f0be8f41bc" /><Relationship Type="http://schemas.openxmlformats.org/officeDocument/2006/relationships/worksheet" Target="/xl/worksheets/sheet10.xml" Id="Rc81a5c33331d40f4" /><Relationship Type="http://schemas.openxmlformats.org/officeDocument/2006/relationships/worksheet" Target="/xl/worksheets/sheet11.xml" Id="R64a05bcf00ac423d" /><Relationship Type="http://schemas.openxmlformats.org/officeDocument/2006/relationships/worksheet" Target="/xl/worksheets/sheet12.xml" Id="Rc8b3450b48834f53" /><Relationship Type="http://schemas.openxmlformats.org/officeDocument/2006/relationships/worksheet" Target="/xl/worksheets/sheet13.xml" Id="Rc5e8138873124099" /><Relationship Type="http://schemas.openxmlformats.org/officeDocument/2006/relationships/worksheet" Target="/xl/worksheets/sheet14.xml" Id="R05bd1918829648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0b152750e148f3" /><Relationship Type="http://schemas.openxmlformats.org/officeDocument/2006/relationships/chart" Target="/xl/drawings/charts/chart2.xml" Id="Rd36b7bd25f4045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Revenue (INR million)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142E4C"/>
            </a:solidFill>
          </c:spPr>
          <c:cat>
            <c:strRef>
              <c:f>'13_Dashboard'!$C$53:$C$57</c:f>
              <c:strCache>
                <c:ptCount val="0"/>
              </c:strCache>
            </c:strRef>
          </c:cat>
          <c:val>
            <c:numRef>
              <c:f>'13_Dashboard'!$D$53:$D$57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EBITDA and cash FCF (INR million)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EBITDA</c:v>
          </c:tx>
          <c:spPr>
            <a:solidFill xmlns:a="http://schemas.openxmlformats.org/drawingml/2006/main">
              <a:srgbClr val="142E4C"/>
            </a:solidFill>
          </c:spPr>
          <c:marker>
            <c:symbol val="none"/>
          </c:marker>
          <c:cat>
            <c:strRef>
              <c:f>'13_Dashboard'!$C$53:$C$57</c:f>
              <c:strCache>
                <c:ptCount val="0"/>
              </c:strCache>
            </c:strRef>
          </c:cat>
          <c:val>
            <c:numRef>
              <c:f>'13_Dashboard'!$E$53:$E$57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Cash FCF</c:v>
          </c:tx>
          <c:spPr>
            <a:solidFill xmlns:a="http://schemas.openxmlformats.org/drawingml/2006/main">
              <a:srgbClr val="BD8B36"/>
            </a:solidFill>
          </c:spPr>
          <c:marker>
            <c:symbol val="none"/>
          </c:marker>
          <c:cat>
            <c:strRef>
              <c:f>'13_Dashboard'!$C$53:$C$57</c:f>
              <c:strCache>
                <c:ptCount val="0"/>
              </c:strCache>
            </c:strRef>
          </c:cat>
          <c:val>
            <c:numRef>
              <c:f>'13_Dashboard'!$F$53:$F$57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26</xdr:row>
      <xdr:rowOff>0</xdr:rowOff>
    </xdr:from>
    <xdr:to>
      <xdr:col>7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0b152750e148f3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13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6b7bd25f4045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.xml" Id="Ra4f361ce7d8d4f8d" /></Relationships>
</file>

<file path=xl/worksheets/sheet1.xml><?xml version="1.0" encoding="utf-8"?>
<x:worksheet xmlns:x="http://schemas.openxmlformats.org/spreadsheetml/2006/main">
  <x:sheetPr>
    <x:tabColor rgb="FF142E4C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5" hidden="0" customWidth="1"/>
    <x:col min="16" max="16" width="3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9" customHeight="1">
      <x:c r="A2" s="2"/>
      <x:c r="B2" s="2"/>
      <x:c r="C2" s="3" t="str">
        <x:v>POLYCAB INDIA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</x:row>
    <x:row r="4" ht="30" customHeight="1">
      <x:c r="A4" s="2"/>
      <x:c r="B4" s="2"/>
      <x:c r="C4" s="84" t="str">
        <x:v>Equity valuation project</x:v>
      </x:c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2"/>
      <x:c r="O4" s="2"/>
      <x:c r="P4" s="2"/>
    </x:row>
    <x:row r="5" ht="1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19" customHeight="1">
      <x:c r="A6" s="2"/>
      <x:c r="B6" s="2"/>
      <x:c r="C6"/>
      <x:c r="D6"/>
      <x:c r="E6"/>
      <x:c r="F6"/>
      <x:c r="G6"/>
      <x:c r="H6"/>
      <x:c r="I6"/>
      <x:c r="J6"/>
      <x:c r="K6"/>
      <x:c r="L6"/>
      <x:c r="M6"/>
      <x:c r="N6" s="2"/>
      <x:c r="O6" s="2"/>
      <x:c r="P6" s="2"/>
    </x:row>
    <x:row r="7" ht="19" customHeight="1">
      <x:c r="A7" s="2"/>
      <x:c r="B7" s="2"/>
      <x:c r="C7" s="72" t="str">
        <x:v>Historical model and forecast architecture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1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19" customHeight="1">
      <x:c r="A9" s="2"/>
      <x:c r="B9" s="2"/>
      <x:c r="C9" s="2" t="str">
        <x:v>FY22–FY26 actuals. FY27E–FY31E forecast horizon.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19" customHeight="1">
      <x:c r="A10" s="2"/>
      <x:c r="B10" s="2"/>
      <x:c r="C10" s="2" t="str">
        <x:v>Active case (1 Base, 2 Bull, 3 Bear)</x:v>
      </x:c>
      <x:c r="D10" s="66" t="n">
        <x:v>1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19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19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19" customHeight="1">
      <x:c r="A13" s="2"/>
      <x:c r="B13" s="2"/>
      <x:c r="C13" s="2" t="str">
        <x:v>Stage: audited history populated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19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19" customHeight="1">
      <x:c r="A15" s="2"/>
      <x:c r="B15" s="2"/>
      <x:c r="C15" s="2" t="str">
        <x:v>Next: source and approve forecast assumptions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19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19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9" customHeight="1">
      <x:c r="A18" s="2"/>
      <x:c r="B18" s="2"/>
      <x:c r="C18" s="2" t="str">
        <x:v>Reporting basis</x:v>
      </x:c>
      <x:c r="D18" s="2" t="str">
        <x:v>Consolidated Ind AS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19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19" customHeight="1">
      <x:c r="A20" s="2"/>
      <x:c r="B20" s="2"/>
      <x:c r="C20" s="2" t="str">
        <x:v>Fiscal year-end</x:v>
      </x:c>
      <x:c r="D20" s="2" t="str">
        <x:v>31 March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19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19" customHeight="1">
      <x:c r="A22" s="2"/>
      <x:c r="B22" s="2"/>
      <x:c r="C22" s="2" t="str">
        <x:v>Model currency</x:v>
      </x:c>
      <x:c r="D22" s="2" t="str">
        <x:v>INR million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19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9" customHeight="1">
      <x:c r="A24" s="2"/>
      <x:c r="B24" s="2"/>
      <x:c r="C24" s="2" t="str">
        <x:v>Prepared as of</x:v>
      </x:c>
      <x:c r="D24" s="2" t="str">
        <x:v>14 September 2026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19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19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19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19" customHeight="1">
      <x:c r="A28" s="2"/>
      <x:c r="B28" s="2"/>
      <x:c r="C28" s="73" t="str">
        <x:v>Blue: source / input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9" customHeight="1">
      <x:c r="A29" s="2"/>
      <x:c r="B29" s="2"/>
      <x:c r="C29" s="70" t="str">
        <x:v>Green: linked formula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9" customHeight="1">
      <x:c r="A30" s="2"/>
      <x:c r="B30" s="2"/>
      <x:c r="C30" s="2" t="str">
        <x:v>Amber: input required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9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9" customHeight="1">
      <x:c r="A32" s="2"/>
      <x:c r="B32" s="2"/>
      <x:c r="C32" s="2" t="str">
        <x:v>Source definitions and exceptions: 01_Sources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9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9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9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9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9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9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</x:sheetData>
  <x:mergeCells>
    <x:mergeCell ref="C4:M4"/>
  </x:mergeCells>
  <x:dataValidations count="1">
    <x:dataValidation type="whole" operator="between" sqref="D10">
      <x:formula1>1</x:formula1>
      <x:formula2>3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791AA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5" hidden="0" customWidth="1"/>
    <x:col min="16" max="16" width="3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9" customHeight="1">
      <x:c r="A2" s="2"/>
      <x:c r="B2" s="2"/>
      <x:c r="C2" s="3" t="str">
        <x:v>Sources and accounting basis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</x:row>
    <x:row r="4" ht="30" customHeight="1">
      <x:c r="A4" s="2"/>
      <x:c r="B4" s="2"/>
      <x:c r="C4" s="84" t="str">
        <x:v>Primary company disclosures accessed 14 September 2026. Page references below are printed pages unless marked PDF.</x:v>
      </x:c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2"/>
      <x:c r="O4" s="2"/>
      <x:c r="P4" s="2"/>
    </x:row>
    <x:row r="5" ht="1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19" customHeight="1">
      <x:c r="A6" s="2"/>
      <x:c r="B6" s="2"/>
      <x:c r="C6" t="str">
        <x:v>Source ID</x:v>
      </x:c>
      <x:c r="D6" t="str">
        <x:v>Primary document / accounting basis</x:v>
      </x:c>
      <x:c r="E6"/>
      <x:c r="F6"/>
      <x:c r="G6"/>
      <x:c r="H6"/>
      <x:c r="I6"/>
      <x:c r="J6"/>
      <x:c r="K6"/>
      <x:c r="L6"/>
      <x:c r="M6"/>
      <x:c r="N6" s="2"/>
      <x:c r="O6" s="2"/>
      <x:c r="P6" s="2"/>
    </x:row>
    <x:row r="7" ht="19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40" customHeight="1">
      <x:c r="A8" s="2"/>
      <x:c r="B8" s="2"/>
      <x:c r="C8" s="2" t="str">
        <x:v>AR22</x:v>
      </x:c>
      <x:c r="D8" s="86" t="str">
        <x:v>Annual report FY22 — https://polycab.com/external/annual-reports/ar2022/pdf/Polycab_IR2021-22.pdf</x:v>
      </x:c>
      <x:c r="E8" s="86"/>
      <x:c r="F8" s="86"/>
      <x:c r="G8" s="86"/>
      <x:c r="H8" s="86"/>
      <x:c r="I8" s="86"/>
      <x:c r="J8" s="86"/>
      <x:c r="K8" s="86"/>
      <x:c r="L8" s="86"/>
      <x:c r="M8" s="86"/>
      <x:c r="N8" s="2"/>
      <x:c r="O8" s="2" t="str">
        <x:v>https://polycab.com/external/annual-reports/ar2022/pdf/Polycab_IR2021-22.pdf</x:v>
      </x:c>
      <x:c r="P8" s="2"/>
    </x:row>
    <x:row r="9" ht="40" customHeight="1">
      <x:c r="A9" s="2"/>
      <x:c r="B9" s="2"/>
      <x:c r="C9" s="2" t="str">
        <x:v>AR23</x:v>
      </x:c>
      <x:c r="D9" s="86" t="str">
        <x:v>Annual report FY23 — https://polycab.com/external/annual-reports/ar2023/Polycab_IAR%202023.pdf</x:v>
      </x:c>
      <x:c r="E9" s="86"/>
      <x:c r="F9" s="86"/>
      <x:c r="G9" s="86"/>
      <x:c r="H9" s="86"/>
      <x:c r="I9" s="86"/>
      <x:c r="J9" s="86"/>
      <x:c r="K9" s="86"/>
      <x:c r="L9" s="86"/>
      <x:c r="M9" s="86"/>
      <x:c r="N9" s="2"/>
      <x:c r="O9" s="2" t="str">
        <x:v>https://polycab.com/external/annual-reports/ar2023/Polycab_IAR%202023.pdf</x:v>
      </x:c>
      <x:c r="P9" s="2"/>
    </x:row>
    <x:row r="10" ht="40" customHeight="1">
      <x:c r="A10" s="2"/>
      <x:c r="B10" s="2"/>
      <x:c r="C10" s="2" t="str">
        <x:v>AR24</x:v>
      </x:c>
      <x:c r="D10" s="86" t="str">
        <x:v>Annual report FY24 — https://polycab.com/external/annual-reports/ar2024/pdf/Polycab_IR-2024.pdf</x:v>
      </x:c>
      <x:c r="E10" s="86"/>
      <x:c r="F10" s="86"/>
      <x:c r="G10" s="86"/>
      <x:c r="H10" s="86"/>
      <x:c r="I10" s="86"/>
      <x:c r="J10" s="86"/>
      <x:c r="K10" s="86"/>
      <x:c r="L10" s="86"/>
      <x:c r="M10" s="86"/>
      <x:c r="N10" s="2"/>
      <x:c r="O10" s="2" t="str">
        <x:v>https://polycab.com/external/annual-reports/ar2024/pdf/Polycab_IR-2024.pdf</x:v>
      </x:c>
      <x:c r="P10" s="2"/>
    </x:row>
    <x:row r="11" ht="40" customHeight="1">
      <x:c r="A11" s="2"/>
      <x:c r="B11" s="2"/>
      <x:c r="C11" s="2" t="str">
        <x:v>AR25</x:v>
      </x:c>
      <x:c r="D11" s="86" t="str">
        <x:v>Annual report FY25 — https://polycab.com/external/annual-reports/ar2025/pdf/Polycab_IAR_2025.pdf</x:v>
      </x:c>
      <x:c r="E11" s="86"/>
      <x:c r="F11" s="86"/>
      <x:c r="G11" s="86"/>
      <x:c r="H11" s="86"/>
      <x:c r="I11" s="86"/>
      <x:c r="J11" s="86"/>
      <x:c r="K11" s="86"/>
      <x:c r="L11" s="86"/>
      <x:c r="M11" s="86"/>
      <x:c r="N11" s="2"/>
      <x:c r="O11" s="2" t="str">
        <x:v>https://polycab.com/external/annual-reports/ar2025/pdf/Polycab_IAR_2025.pdf</x:v>
      </x:c>
      <x:c r="P11" s="2"/>
    </x:row>
    <x:row r="12" ht="40" customHeight="1">
      <x:c r="A12" s="2"/>
      <x:c r="B12" s="2"/>
      <x:c r="C12" s="2" t="str">
        <x:v>AR26</x:v>
      </x:c>
      <x:c r="D12" s="86" t="str">
        <x:v>Annual report FY26 — https://polycab.com/external/annual-reports/ar2026/pdf/Polycab_IR_2026.pdf</x:v>
      </x:c>
      <x:c r="E12" s="86"/>
      <x:c r="F12" s="86"/>
      <x:c r="G12" s="86"/>
      <x:c r="H12" s="86"/>
      <x:c r="I12" s="86"/>
      <x:c r="J12" s="86"/>
      <x:c r="K12" s="86"/>
      <x:c r="L12" s="86"/>
      <x:c r="M12" s="86"/>
      <x:c r="N12" s="2"/>
      <x:c r="O12" s="2" t="str">
        <x:v>https://polycab.com/external/annual-reports/ar2026/pdf/Polycab_IR_2026.pdf</x:v>
      </x:c>
      <x:c r="P12" s="2"/>
    </x:row>
    <x:row r="13" ht="40" customHeight="1">
      <x:c r="A13" s="2"/>
      <x:c r="B13" s="2"/>
      <x:c r="C13" s="2" t="str">
        <x:v>P26</x:v>
      </x:c>
      <x:c r="D13" s="86" t="str">
        <x:v>FY26 results presentation — https://cms.polycab.com/media/32ths2yr/q4-fy26-earnings-presentation.pdf</x:v>
      </x:c>
      <x:c r="E13" s="86"/>
      <x:c r="F13" s="86"/>
      <x:c r="G13" s="86"/>
      <x:c r="H13" s="86"/>
      <x:c r="I13" s="86"/>
      <x:c r="J13" s="86"/>
      <x:c r="K13" s="86"/>
      <x:c r="L13" s="86"/>
      <x:c r="M13" s="86"/>
      <x:c r="N13" s="2"/>
      <x:c r="O13" s="2" t="str">
        <x:v>https://cms.polycab.com/media/32ths2yr/q4-fy26-earnings-presentation.pdf</x:v>
      </x:c>
      <x:c r="P13" s="2"/>
    </x:row>
    <x:row r="14" ht="19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19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38" customHeight="1">
      <x:c r="A16" s="2"/>
      <x:c r="B16" s="2"/>
      <x:c r="C16" s="2" t="str">
        <x:v>FS</x:v>
      </x:c>
      <x:c r="D16" s="86" t="str">
        <x:v>FY22: AR23 pp218–219. FY23: AR24 pp300–301, restated. FY24: AR25 pp265–266. FY25/FY26: AR26 pp314–315, FY25 balance sheet restated.</x:v>
      </x:c>
      <x:c r="E16" s="86"/>
      <x:c r="F16" s="86"/>
      <x:c r="G16" s="86"/>
      <x:c r="H16" s="86"/>
      <x:c r="I16" s="86"/>
      <x:c r="J16" s="86"/>
      <x:c r="K16" s="86"/>
      <x:c r="L16" s="86"/>
      <x:c r="M16" s="86"/>
      <x:c r="N16" s="2"/>
      <x:c r="O16" s="13" t="str">
        <x:v>FY22: AR23 pp218–219. FY23: AR24 pp300–301, restated. FY24: AR25 pp265–266. FY25/FY26: AR26 pp314–315, FY25 balance sheet restated.</x:v>
      </x:c>
      <x:c r="P16" s="2"/>
    </x:row>
    <x:row r="17" ht="38" customHeight="1">
      <x:c r="A17" s="2"/>
      <x:c r="B17" s="2"/>
      <x:c r="C17" s="2" t="str">
        <x:v>CF</x:v>
      </x:c>
      <x:c r="D17" s="86" t="str">
        <x:v>FY22: AR23 pp221–222. FY23/FY24: AR24 pp304–306. FY25/FY26: AR26 pp316–317.</x:v>
      </x:c>
      <x:c r="E17" s="86"/>
      <x:c r="F17" s="86"/>
      <x:c r="G17" s="86"/>
      <x:c r="H17" s="86"/>
      <x:c r="I17" s="86"/>
      <x:c r="J17" s="86"/>
      <x:c r="K17" s="86"/>
      <x:c r="L17" s="86"/>
      <x:c r="M17" s="86"/>
      <x:c r="N17" s="2"/>
      <x:c r="O17" s="13" t="str">
        <x:v>FY22: AR23 pp221–222. FY23/FY24: AR24 pp304–306. FY25/FY26: AR26 pp316–317.</x:v>
      </x:c>
      <x:c r="P17" s="2"/>
    </x:row>
    <x:row r="18" ht="38" customHeight="1">
      <x:c r="A18" s="2"/>
      <x:c r="B18" s="2"/>
      <x:c r="C18" s="2" t="str">
        <x:v>SEG</x:v>
      </x:c>
      <x:c r="D18" s="86" t="str">
        <x:v>FY22: AR23 pp295–296. FY23/FY24: AR24 pp378–379. FY25/FY26: AR26 pp386–388.</x:v>
      </x:c>
      <x:c r="E18" s="86"/>
      <x:c r="F18" s="86"/>
      <x:c r="G18" s="86"/>
      <x:c r="H18" s="86"/>
      <x:c r="I18" s="86"/>
      <x:c r="J18" s="86"/>
      <x:c r="K18" s="86"/>
      <x:c r="L18" s="86"/>
      <x:c r="M18" s="86"/>
      <x:c r="N18" s="2"/>
      <x:c r="O18" s="13" t="str">
        <x:v>FY22: AR23 pp295–296. FY23/FY24: AR24 pp378–379. FY25/FY26: AR26 pp386–388.</x:v>
      </x:c>
      <x:c r="P18" s="2"/>
    </x:row>
    <x:row r="19" ht="38" customHeight="1">
      <x:c r="A19" s="2"/>
      <x:c r="B19" s="2"/>
      <x:c r="C19" s="2" t="str">
        <x:v>KPI</x:v>
      </x:c>
      <x:c r="D19" s="86" t="str">
        <x:v>Capex and finance income: SEG. Days, ROCE, ROE, EPS/dividends and rounded EBITDA: AR26 p520. Net cash: annual report corporate overviews.</x:v>
      </x:c>
      <x:c r="E19" s="86"/>
      <x:c r="F19" s="86"/>
      <x:c r="G19" s="86"/>
      <x:c r="H19" s="86"/>
      <x:c r="I19" s="86"/>
      <x:c r="J19" s="86"/>
      <x:c r="K19" s="86"/>
      <x:c r="L19" s="86"/>
      <x:c r="M19" s="86"/>
      <x:c r="N19" s="2"/>
      <x:c r="O19" s="13" t="str">
        <x:v>Capex and finance income: SEG. Days, ROCE, ROE, EPS/dividends and rounded EBITDA: AR26 p520. Net cash: annual report corporate overviews.</x:v>
      </x:c>
      <x:c r="P19" s="2"/>
    </x:row>
    <x:row r="20" ht="38" customHeight="1">
      <x:c r="A20" s="2"/>
      <x:c r="B20" s="2"/>
      <x:c r="C20" s="2" t="str">
        <x:v>OPS</x:v>
      </x:c>
      <x:c r="D20" s="86" t="str">
        <x:v>FY22: AR22 pp12–15. FY23: AR23 pp10–12. FY24: AR24 pp18–21. FY25: AR25 pp18–20. FY26: AR26 pp7–9 and p44.</x:v>
      </x:c>
      <x:c r="E20" s="86"/>
      <x:c r="F20" s="86"/>
      <x:c r="G20" s="86"/>
      <x:c r="H20" s="86"/>
      <x:c r="I20" s="86"/>
      <x:c r="J20" s="86"/>
      <x:c r="K20" s="86"/>
      <x:c r="L20" s="86"/>
      <x:c r="M20" s="86"/>
      <x:c r="N20" s="2"/>
      <x:c r="O20" s="13" t="str">
        <x:v>FY22: AR22 pp12–15. FY23: AR23 pp10–12. FY24: AR24 pp18–21. FY25: AR25 pp18–20. FY26: AR26 pp7–9 and p44.</x:v>
      </x:c>
      <x:c r="P20" s="2"/>
    </x:row>
    <x:row r="21" ht="38" customHeight="1">
      <x:c r="A21" s="2"/>
      <x:c r="B21" s="2"/>
      <x:c r="C21" s="2" t="str">
        <x:v>ADS</x:v>
      </x:c>
      <x:c r="D21" s="86" t="str">
        <x:v>Advertising: AR22 p220–221; AR24 p370–371; P26 p27. Commodity averages: AR24 p124.</x:v>
      </x:c>
      <x:c r="E21" s="86"/>
      <x:c r="F21" s="86"/>
      <x:c r="G21" s="86"/>
      <x:c r="H21" s="86"/>
      <x:c r="I21" s="86"/>
      <x:c r="J21" s="86"/>
      <x:c r="K21" s="86"/>
      <x:c r="L21" s="86"/>
      <x:c r="M21" s="86"/>
      <x:c r="N21" s="2"/>
      <x:c r="O21" s="13" t="str">
        <x:v>Advertising: AR22 p220–221; AR24 p370–371; P26 p27. Commodity averages: AR24 p124.</x:v>
      </x:c>
      <x:c r="P21" s="2"/>
    </x:row>
    <x:row r="22" ht="38" customHeight="1">
      <x:c r="A22" s="2"/>
      <x:c r="B22" s="2"/>
      <x:c r="C22" s="2" t="str">
        <x:v>P26</x:v>
      </x:c>
      <x:c r="D22" s="86" t="str">
        <x:v>Country history p10; capex, exports, advertising p27; company average/closing days p28; definitions p29.</x:v>
      </x:c>
      <x:c r="E22" s="86"/>
      <x:c r="F22" s="86"/>
      <x:c r="G22" s="86"/>
      <x:c r="H22" s="86"/>
      <x:c r="I22" s="86"/>
      <x:c r="J22" s="86"/>
      <x:c r="K22" s="86"/>
      <x:c r="L22" s="86"/>
      <x:c r="M22" s="86"/>
      <x:c r="N22" s="2"/>
      <x:c r="O22" s="13" t="str">
        <x:v>Country history p10; capex, exports, advertising p27; company average/closing days p28; definitions p29.</x:v>
      </x:c>
      <x:c r="P22" s="2"/>
    </x:row>
    <x:row r="23" ht="19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9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3" customHeight="1">
      <x:c r="A25" s="2"/>
      <x:c r="B25" s="2"/>
      <x:c r="C25" s="10" t="str">
        <x:v>FY21 OPENING BALANCES FOR HISTORICAL RATIOS</x:v>
      </x:c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2"/>
      <x:c r="O25" s="2"/>
      <x:c r="P25" s="2"/>
    </x:row>
    <x:row r="26" ht="19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19" customHeight="1">
      <x:c r="A27" s="2"/>
      <x:c r="B27" s="2"/>
      <x:c r="C27" s="2" t="str">
        <x:v>Current receivables at 31 March 2021</x:v>
      </x:c>
      <x:c r="D27" s="12" t="n">
        <x:v>14357.67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13" t="str">
        <x:v>AR22 pp162–166. Net fixed assets = PPE 18,261.17 + CWIP 990.50 + ROU 341.00 + intangibles 71.25 + goodwill 22.58.</x:v>
      </x:c>
      <x:c r="P27" s="2"/>
    </x:row>
    <x:row r="28" ht="19" customHeight="1">
      <x:c r="A28" s="2"/>
      <x:c r="B28" s="2"/>
      <x:c r="C28" s="2" t="str">
        <x:v>Inventories at 31 March 2021</x:v>
      </x:c>
      <x:c r="D28" s="12" t="n">
        <x:v>19879.1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9" customHeight="1">
      <x:c r="A29" s="2"/>
      <x:c r="B29" s="2"/>
      <x:c r="C29" s="2" t="str">
        <x:v>Trade payables incl acceptances at 31 March 2021</x:v>
      </x:c>
      <x:c r="D29" s="12" t="n">
        <x:v>13480.32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9" customHeight="1">
      <x:c r="A30" s="2"/>
      <x:c r="B30" s="2"/>
      <x:c r="C30" s="2" t="str">
        <x:v>Cash at 31 March 2021, gross</x:v>
      </x:c>
      <x:c r="D30" s="12" t="n">
        <x:v>2378.03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9" customHeight="1">
      <x:c r="A31" s="2"/>
      <x:c r="B31" s="2"/>
      <x:c r="C31" s="2" t="str">
        <x:v>Net fixed assets at 31 March 2021</x:v>
      </x:c>
      <x:c r="D31" s="12" t="n">
        <x:v>19686.5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9" customHeight="1">
      <x:c r="A32" s="2"/>
      <x:c r="B32" s="2"/>
      <x:c r="C32" s="2" t="str">
        <x:v>Cash credit at 31 March 2021</x:v>
      </x:c>
      <x:c r="D32" s="12" t="n">
        <x:v>0.84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9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9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3" customHeight="1">
      <x:c r="A35" s="2"/>
      <x:c r="B35" s="2"/>
      <x:c r="C35" s="10" t="str">
        <x:v>SOURCE DIFFERENCES AND MODEL DEFINITIONS</x:v>
      </x:c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2"/>
      <x:c r="O35" s="2"/>
      <x:c r="P35" s="2"/>
    </x:row>
    <x:row r="36" ht="19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44" customHeight="1">
      <x:c r="A37" s="2"/>
      <x:c r="B37" s="2"/>
      <x:c r="C37" s="2" t="str">
        <x:v>FY23 restatement</x:v>
      </x:c>
      <x:c r="D37" s="86" t="str">
        <x:v>FY24 audited comparatives report PAT 12,830.86 and parent equity 66,372.07. Earlier FY23 report had PAT 12,822.53 and parent equity 66,311.37. Latest audited comparative used.</x:v>
      </x:c>
      <x:c r="E37" s="86"/>
      <x:c r="F37" s="86"/>
      <x:c r="G37" s="86"/>
      <x:c r="H37" s="86"/>
      <x:c r="I37" s="86"/>
      <x:c r="J37" s="86"/>
      <x:c r="K37" s="86"/>
      <x:c r="L37" s="86"/>
      <x:c r="M37" s="86"/>
      <x:c r="N37" s="2"/>
      <x:c r="O37" s="13" t="str">
        <x:v>FY24 audited comparatives report PAT 12,830.86 and parent equity 66,372.07. Earlier FY23 report had PAT 12,822.53 and parent equity 66,311.37. Latest audited comparative used.</x:v>
      </x:c>
      <x:c r="P37" s="2"/>
    </x:row>
    <x:row r="38" ht="44" customHeight="1">
      <x:c r="A38" s="2"/>
      <x:c r="B38" s="2"/>
      <x:c r="C38" s="2" t="str">
        <x:v>FY24 liability reclassification</x:v>
      </x:c>
      <x:c r="D38" s="86" t="str">
        <x:v>FY25 comparative reclassifies provisions between current and non-current by 162.48, with no change to total liabilities. Used consistently in historical balance sheet.</x:v>
      </x:c>
      <x:c r="E38" s="86"/>
      <x:c r="F38" s="86"/>
      <x:c r="G38" s="86"/>
      <x:c r="H38" s="86"/>
      <x:c r="I38" s="86"/>
      <x:c r="J38" s="86"/>
      <x:c r="K38" s="86"/>
      <x:c r="L38" s="86"/>
      <x:c r="M38" s="86"/>
      <x:c r="N38" s="2"/>
      <x:c r="O38" s="13" t="str">
        <x:v>FY25 comparative reclassifies provisions between current and non-current by 162.48, with no change to total liabilities. Used consistently in historical balance sheet.</x:v>
      </x:c>
      <x:c r="P38" s="2"/>
    </x:row>
    <x:row r="39" ht="44" customHeight="1">
      <x:c r="A39" s="2"/>
      <x:c r="B39" s="2"/>
      <x:c r="C39" s="2" t="str">
        <x:v>FY25 merger restatement</x:v>
      </x:c>
      <x:c r="D39" s="86" t="str">
        <x:v>AR26 records deferred-tax asset and retained-earnings uplift of 30.30 from UEEPL merger. FY25 assets 137,757.66 and parent equity 98,280.55 replace older summary-table values. AR26 p406.</x:v>
      </x:c>
      <x:c r="E39" s="86"/>
      <x:c r="F39" s="86"/>
      <x:c r="G39" s="86"/>
      <x:c r="H39" s="86"/>
      <x:c r="I39" s="86"/>
      <x:c r="J39" s="86"/>
      <x:c r="K39" s="86"/>
      <x:c r="L39" s="86"/>
      <x:c r="M39" s="86"/>
      <x:c r="N39" s="2"/>
      <x:c r="O39" s="13" t="str">
        <x:v>AR26 records deferred-tax asset and retained-earnings uplift of 30.30 from UEEPL merger. FY25 assets 137,757.66 and parent equity 98,280.55 replace older summary-table values. AR26 p406.</x:v>
      </x:c>
      <x:c r="P39" s="2"/>
    </x:row>
    <x:row r="40" ht="44" customHeight="1">
      <x:c r="A40" s="2"/>
      <x:c r="B40" s="2"/>
      <x:c r="C40" s="2" t="str">
        <x:v>FY24 opening-equity boundary</x:v>
      </x:c>
      <x:c r="D40" s="86" t="str">
        <x:v>FY24 remains the published FY25 comparative. AR26 restates 1 April 2024 equity by 30.30; this is an opening adjustment when analysing FY25 equity changes, not FY25 profit.</x:v>
      </x:c>
      <x:c r="E40" s="86"/>
      <x:c r="F40" s="86"/>
      <x:c r="G40" s="86"/>
      <x:c r="H40" s="86"/>
      <x:c r="I40" s="86"/>
      <x:c r="J40" s="86"/>
      <x:c r="K40" s="86"/>
      <x:c r="L40" s="86"/>
      <x:c r="M40" s="86"/>
      <x:c r="N40" s="2"/>
      <x:c r="O40" s="13" t="str">
        <x:v>FY24 remains the published FY25 comparative. AR26 restates 1 April 2024 equity by 30.30; this is an opening adjustment when analysing FY25 equity changes, not FY25 profit.</x:v>
      </x:c>
      <x:c r="P40" s="2"/>
    </x:row>
    <x:row r="41" ht="44" customHeight="1">
      <x:c r="A41" s="2"/>
      <x:c r="B41" s="2"/>
      <x:c r="C41" s="2" t="str">
        <x:v>Segment revenue basis</x:v>
      </x:c>
      <x:c r="D41" s="86" t="str">
        <x:v>External segment income = consolidated operating revenue + allocated non-finance other income. Intersegment income is disclosed separately and is not added to consolidated revenue.</x:v>
      </x:c>
      <x:c r="E41" s="86"/>
      <x:c r="F41" s="86"/>
      <x:c r="G41" s="86"/>
      <x:c r="H41" s="86"/>
      <x:c r="I41" s="86"/>
      <x:c r="J41" s="86"/>
      <x:c r="K41" s="86"/>
      <x:c r="L41" s="86"/>
      <x:c r="M41" s="86"/>
      <x:c r="N41" s="2"/>
      <x:c r="O41" s="13" t="str">
        <x:v>External segment income = consolidated operating revenue + allocated non-finance other income. Intersegment income is disclosed separately and is not added to consolidated revenue.</x:v>
      </x:c>
      <x:c r="P41" s="2"/>
    </x:row>
    <x:row r="42" ht="44" customHeight="1">
      <x:c r="A42" s="2"/>
      <x:c r="B42" s="2"/>
      <x:c r="C42" s="2" t="str">
        <x:v>FY22 discontinued operation</x:v>
      </x:c>
      <x:c r="D42" s="86" t="str">
        <x:v>Copper business disposed in FY22. PAT contribution 720.53 retained separately. Historical CFO and D&amp;A cash-flow add-back include discontinued operations.</x:v>
      </x:c>
      <x:c r="E42" s="86"/>
      <x:c r="F42" s="86"/>
      <x:c r="G42" s="86"/>
      <x:c r="H42" s="86"/>
      <x:c r="I42" s="86"/>
      <x:c r="J42" s="86"/>
      <x:c r="K42" s="86"/>
      <x:c r="L42" s="86"/>
      <x:c r="M42" s="86"/>
      <x:c r="N42" s="2"/>
      <x:c r="O42" s="13" t="str">
        <x:v>Copper business disposed in FY22. PAT contribution 720.53 retained separately. Historical CFO and D&amp;A cash-flow add-back include discontinued operations.</x:v>
      </x:c>
      <x:c r="P42" s="2"/>
    </x:row>
    <x:row r="43" ht="44" customHeight="1">
      <x:c r="A43" s="2"/>
      <x:c r="B43" s="2"/>
      <x:c r="C43" s="2" t="str">
        <x:v>Working-capital days conflict</x:v>
      </x:c>
      <x:c r="D43" s="86" t="str">
        <x:v>AR26 p520 FY25 closing DSO/DIO/DPO/CCC = 42/79/72/49. P26 p28 shows FY25 41/101/94/48. Workbook retains AR26 series and separately calculates consistent model days.</x:v>
      </x:c>
      <x:c r="E43" s="86"/>
      <x:c r="F43" s="86"/>
      <x:c r="G43" s="86"/>
      <x:c r="H43" s="86"/>
      <x:c r="I43" s="86"/>
      <x:c r="J43" s="86"/>
      <x:c r="K43" s="86"/>
      <x:c r="L43" s="86"/>
      <x:c r="M43" s="86"/>
      <x:c r="N43" s="2"/>
      <x:c r="O43" s="13" t="str">
        <x:v>AR26 p520 FY25 closing DSO/DIO/DPO/CCC = 42/79/72/49. P26 p28 shows FY25 41/101/94/48. Workbook retains AR26 series and separately calculates consistent model days.</x:v>
      </x:c>
      <x:c r="P43" s="2"/>
    </x:row>
    <x:row r="44" ht="44" customHeight="1">
      <x:c r="A44" s="2"/>
      <x:c r="B44" s="2"/>
      <x:c r="C44" s="2" t="str">
        <x:v>FY26 company average days</x:v>
      </x:c>
      <x:c r="D44" s="86" t="str">
        <x:v>P26 p28 FY26 average DSO/DIO/DPO/CCC = 40/78/93/25. These are not the workbook simple two-point average ratios.</x:v>
      </x:c>
      <x:c r="E44" s="86"/>
      <x:c r="F44" s="86"/>
      <x:c r="G44" s="86"/>
      <x:c r="H44" s="86"/>
      <x:c r="I44" s="86"/>
      <x:c r="J44" s="86"/>
      <x:c r="K44" s="86"/>
      <x:c r="L44" s="86"/>
      <x:c r="M44" s="86"/>
      <x:c r="N44" s="2"/>
      <x:c r="O44" s="13" t="str">
        <x:v>P26 p28 FY26 average DSO/DIO/DPO/CCC = 40/78/93/25. These are not the workbook simple two-point average ratios.</x:v>
      </x:c>
      <x:c r="P44" s="2"/>
    </x:row>
    <x:row r="45" ht="44" customHeight="1">
      <x:c r="A45" s="2"/>
      <x:c r="B45" s="2"/>
      <x:c r="C45" s="2" t="str">
        <x:v>Capex definitions</x:v>
      </x:c>
      <x:c r="D45" s="86" t="str">
        <x:v>Reported capex is net of disposals. Gross cash capex includes PPE/CWIP, intangibles and separately disclosed investment property. Non-cash grants and ROU additions do not equal cash capex.</x:v>
      </x:c>
      <x:c r="E45" s="86"/>
      <x:c r="F45" s="86"/>
      <x:c r="G45" s="86"/>
      <x:c r="H45" s="86"/>
      <x:c r="I45" s="86"/>
      <x:c r="J45" s="86"/>
      <x:c r="K45" s="86"/>
      <x:c r="L45" s="86"/>
      <x:c r="M45" s="86"/>
      <x:c r="N45" s="2"/>
      <x:c r="O45" s="13" t="str">
        <x:v>Reported capex is net of disposals. Gross cash capex includes PPE/CWIP, intangibles and separately disclosed investment property. Non-cash grants and ROU additions do not equal cash capex.</x:v>
      </x:c>
      <x:c r="P45" s="2"/>
    </x:row>
    <x:row r="46" ht="44" customHeight="1">
      <x:c r="A46" s="2"/>
      <x:c r="B46" s="2"/>
      <x:c r="C46" s="2" t="str">
        <x:v>Forecast domestic W&amp;C proxy</x:v>
      </x:c>
      <x:c r="D46" s="86" t="str">
        <x:v>W&amp;C external segment income minus group exports. Separate audited domestic/export W&amp;C margins and allocations are not disclosed here. Requires analyst validation before forecasting.</x:v>
      </x:c>
      <x:c r="E46" s="86"/>
      <x:c r="F46" s="86"/>
      <x:c r="G46" s="86"/>
      <x:c r="H46" s="86"/>
      <x:c r="I46" s="86"/>
      <x:c r="J46" s="86"/>
      <x:c r="K46" s="86"/>
      <x:c r="L46" s="86"/>
      <x:c r="M46" s="86"/>
      <x:c r="N46" s="2"/>
      <x:c r="O46" s="13" t="str">
        <x:v>W&amp;C external segment income minus group exports. Separate audited domestic/export W&amp;C margins and allocations are not disclosed here. Requires analyst validation before forecasting.</x:v>
      </x:c>
      <x:c r="P46" s="2"/>
    </x:row>
    <x:row r="47" ht="44" customHeight="1">
      <x:c r="A47" s="2"/>
      <x:c r="B47" s="2"/>
      <x:c r="C47" s="2" t="str">
        <x:v>Supplier acceptances</x:v>
      </x:c>
      <x:c r="D47" s="86" t="str">
        <x:v>FY22 acceptances separated using AR23 note20; FY23 onward uses balance-sheet disclosure. They are operating liabilities in company accounts but interest-bearing; DCF treatment requires explicit review.</x:v>
      </x:c>
      <x:c r="E47" s="86"/>
      <x:c r="F47" s="86"/>
      <x:c r="G47" s="86"/>
      <x:c r="H47" s="86"/>
      <x:c r="I47" s="86"/>
      <x:c r="J47" s="86"/>
      <x:c r="K47" s="86"/>
      <x:c r="L47" s="86"/>
      <x:c r="M47" s="86"/>
      <x:c r="N47" s="2"/>
      <x:c r="O47" s="13" t="str">
        <x:v>FY22 acceptances separated using AR23 note20; FY23 onward uses balance-sheet disclosure. They are operating liabilities in company accounts but interest-bearing; DCF treatment requires explicit review.</x:v>
      </x:c>
      <x:c r="P47" s="2"/>
    </x:row>
    <x:row r="48" ht="44" customHeight="1">
      <x:c r="A48" s="2"/>
      <x:c r="B48" s="2"/>
      <x:c r="C48" s="2" t="str">
        <x:v>Historical net cash</x:v>
      </x:c>
      <x:c r="D48" s="86" t="str">
        <x:v>Reported net cash can include non-current deposits and historic borrowing classification. FY23 original debt 1,551.43 differs from restated borrowings 730.18. Liquidity proxy is labelled separately.</x:v>
      </x:c>
      <x:c r="E48" s="86"/>
      <x:c r="F48" s="86"/>
      <x:c r="G48" s="86"/>
      <x:c r="H48" s="86"/>
      <x:c r="I48" s="86"/>
      <x:c r="J48" s="86"/>
      <x:c r="K48" s="86"/>
      <x:c r="L48" s="86"/>
      <x:c r="M48" s="86"/>
      <x:c r="N48" s="2"/>
      <x:c r="O48" s="13" t="str">
        <x:v>Reported net cash can include non-current deposits and historic borrowing classification. FY23 original debt 1,551.43 differs from restated borrowings 730.18. Liquidity proxy is labelled separately.</x:v>
      </x:c>
      <x:c r="P48" s="2"/>
    </x:row>
    <x:row r="49" ht="44" customHeight="1">
      <x:c r="A49" s="2"/>
      <x:c r="B49" s="2"/>
      <x:c r="C49" s="2" t="str">
        <x:v>Unavailable operating detail</x:v>
      </x:c>
      <x:c r="D49" s="86" t="str">
        <x:v>n.a. means a comparable quantified annual observation was not verified. No interpolation of volumes, capacity utilisation or commodity averages. Lower-bound network counts preserve company qualifiers.</x:v>
      </x:c>
      <x:c r="E49" s="86"/>
      <x:c r="F49" s="86"/>
      <x:c r="G49" s="86"/>
      <x:c r="H49" s="86"/>
      <x:c r="I49" s="86"/>
      <x:c r="J49" s="86"/>
      <x:c r="K49" s="86"/>
      <x:c r="L49" s="86"/>
      <x:c r="M49" s="86"/>
      <x:c r="N49" s="2"/>
      <x:c r="O49" s="13" t="str">
        <x:v>n.a. means a comparable quantified annual observation was not verified. No interpolation of volumes, capacity utilisation or commodity averages. Lower-bound network counts preserve company qualifiers.</x:v>
      </x:c>
      <x:c r="P49" s="2"/>
    </x:row>
    <x:row r="50" ht="44" customHeight="1">
      <x:c r="A50" s="2"/>
      <x:c r="B50" s="2"/>
      <x:c r="C50" s="2" t="str">
        <x:v>Forecast state</x:v>
      </x:c>
      <x:c r="D50" s="86" t="str">
        <x:v>All Base/Bull/Bear economic assumptions are blank. Amber inputs must be populated with evidence, including explicit zeros. 3-statement balance-sheet check must reconcile before valuation use.</x:v>
      </x:c>
      <x:c r="E50" s="86"/>
      <x:c r="F50" s="86"/>
      <x:c r="G50" s="86"/>
      <x:c r="H50" s="86"/>
      <x:c r="I50" s="86"/>
      <x:c r="J50" s="86"/>
      <x:c r="K50" s="86"/>
      <x:c r="L50" s="86"/>
      <x:c r="M50" s="86"/>
      <x:c r="N50" s="2"/>
      <x:c r="O50" s="13" t="str">
        <x:v>All Base/Bull/Bear economic assumptions are blank. Amber inputs must be populated with evidence, including explicit zeros. 3-statement balance-sheet check must reconcile before valuation use.</x:v>
      </x:c>
      <x:c r="P50" s="2"/>
    </x:row>
    <x:row r="51" ht="44" customHeight="1">
      <x:c r="A51" s="2"/>
      <x:c r="B51" s="2"/>
      <x:c r="C51" s="2" t="str">
        <x:v>Units and signs</x:v>
      </x:c>
      <x:c r="D51" s="86" t="str">
        <x:v>INR million throughout, except marked shares, days, ratios and USD/MT. Historical expenses generally positive; cash inflows positive and outflows negative. Display rounding does not change source precision.</x:v>
      </x:c>
      <x:c r="E51" s="86"/>
      <x:c r="F51" s="86"/>
      <x:c r="G51" s="86"/>
      <x:c r="H51" s="86"/>
      <x:c r="I51" s="86"/>
      <x:c r="J51" s="86"/>
      <x:c r="K51" s="86"/>
      <x:c r="L51" s="86"/>
      <x:c r="M51" s="86"/>
      <x:c r="N51" s="2"/>
      <x:c r="O51" s="13" t="str">
        <x:v>INR million throughout, except marked shares, days, ratios and USD/MT. Historical expenses generally positive; cash inflows positive and outflows negative. Display rounding does not change source precision.</x:v>
      </x:c>
      <x:c r="P51" s="2"/>
    </x:row>
    <x:row r="52" ht="19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19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19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19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19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19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19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19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19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19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19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19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19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19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19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19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19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</x:sheetData>
  <x:mergeCells>
    <x:mergeCell ref="C4:M4"/>
    <x:mergeCell ref="D8:M8"/>
    <x:mergeCell ref="D9:M9"/>
    <x:mergeCell ref="D10:M10"/>
    <x:mergeCell ref="D11:M11"/>
    <x:mergeCell ref="D12:M12"/>
    <x:mergeCell ref="D13:M13"/>
    <x:mergeCell ref="D16:M16"/>
    <x:mergeCell ref="D17:M17"/>
    <x:mergeCell ref="D18:M18"/>
    <x:mergeCell ref="D19:M19"/>
    <x:mergeCell ref="D20:M20"/>
    <x:mergeCell ref="D21:M21"/>
    <x:mergeCell ref="D22:M22"/>
    <x:mergeCell ref="D37:M37"/>
    <x:mergeCell ref="D38:M38"/>
    <x:mergeCell ref="D39:M39"/>
    <x:mergeCell ref="D40:M40"/>
    <x:mergeCell ref="D41:M41"/>
    <x:mergeCell ref="D42:M42"/>
    <x:mergeCell ref="D43:M43"/>
    <x:mergeCell ref="D44:M44"/>
    <x:mergeCell ref="D45:M45"/>
    <x:mergeCell ref="D46:M46"/>
    <x:mergeCell ref="D47:M47"/>
    <x:mergeCell ref="D48:M48"/>
    <x:mergeCell ref="D49:M49"/>
    <x:mergeCell ref="D50:M50"/>
    <x:mergeCell ref="D51:M5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ACAAE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5" hidden="0" customWidth="1"/>
    <x:col min="16" max="16" width="3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9" customHeight="1">
      <x:c r="A2" s="2"/>
      <x:c r="B2" s="2"/>
      <x:c r="C2" s="3" t="str">
        <x:v>Polycab historical financial statements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</x:row>
    <x:row r="4" ht="30" customHeight="1">
      <x:c r="A4" s="2"/>
      <x:c r="B4" s="2"/>
      <x:c r="C4" s="84" t="str">
        <x:v>Consolidated Ind AS. March year-end. Audited statement inputs and linked analysis.</x:v>
      </x:c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2"/>
      <x:c r="O4" s="2"/>
      <x:c r="P4" s="2"/>
    </x:row>
    <x:row r="5" ht="1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19" customHeight="1">
      <x:c r="A6" s="2"/>
      <x:c r="B6" s="2"/>
      <x:c r="C6" s="2" t="str">
        <x:v>INR million, unless specified</x:v>
      </x:c>
      <x:c r="D6" s="8" t="str">
        <x:v>FY22A</x:v>
      </x:c>
      <x:c r="E6" s="8" t="str">
        <x:v>FY23A</x:v>
      </x:c>
      <x:c r="F6" s="8" t="str">
        <x:v>FY24A</x:v>
      </x:c>
      <x:c r="G6" s="8" t="str">
        <x:v>FY25A</x:v>
      </x:c>
      <x:c r="H6" s="8" t="str">
        <x:v>FY26A</x:v>
      </x:c>
      <x:c r="I6" s="2"/>
      <x:c r="J6" s="2"/>
      <x:c r="K6" s="2"/>
      <x:c r="L6" s="2"/>
      <x:c r="M6" s="2"/>
      <x:c r="N6" s="2"/>
      <x:c r="O6" s="2"/>
      <x:c r="P6" s="2"/>
    </x:row>
    <x:row r="7" ht="19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19" customHeight="1">
      <x:c r="A8" s="2"/>
      <x:c r="B8" s="2"/>
      <x:c r="C8" s="18" t="str">
        <x:v>Revenue</x:v>
      </x:c>
      <x:c r="D8" s="23" t="n">
        <x:f>D43</x:f>
        <x:v>122037.61</x:v>
      </x:c>
      <x:c r="E8" s="23" t="n">
        <x:f>E43</x:f>
        <x:v>141077.78</x:v>
      </x:c>
      <x:c r="F8" s="23" t="n">
        <x:f>F43</x:f>
        <x:v>180394.44</x:v>
      </x:c>
      <x:c r="G8" s="23" t="n">
        <x:f>G43</x:f>
        <x:v>224083.13</x:v>
      </x:c>
      <x:c r="H8" s="23" t="n">
        <x:f>H43</x:f>
        <x:v>288837.92</x:v>
      </x:c>
      <x:c r="I8" s="19"/>
      <x:c r="J8" s="19"/>
      <x:c r="K8" s="19"/>
      <x:c r="L8" s="19"/>
      <x:c r="M8" s="19"/>
      <x:c r="N8" s="2"/>
      <x:c r="O8" s="2"/>
      <x:c r="P8" s="2"/>
    </x:row>
    <x:row r="9" ht="19" customHeight="1">
      <x:c r="A9" s="2"/>
      <x:c r="B9" s="2"/>
      <x:c r="C9" s="21" t="str">
        <x:v>Revenue growth</x:v>
      </x:c>
      <x:c r="D9" s="22" t="str">
        <x:v>n.a.</x:v>
      </x:c>
      <x:c r="E9" s="25" t="n">
        <x:f>E43/D43-1</x:f>
        <x:v>0.1560188699205105</x:v>
      </x:c>
      <x:c r="F9" s="25" t="n">
        <x:f>F43/E43-1</x:f>
        <x:v>0.278687827381463</x:v>
      </x:c>
      <x:c r="G9" s="25" t="n">
        <x:f>G43/F43-1</x:f>
        <x:v>0.24218423805079592</x:v>
      </x:c>
      <x:c r="H9" s="25" t="n">
        <x:f>H43/G43-1</x:f>
        <x:v>0.28897664005318013</x:v>
      </x:c>
      <x:c r="I9" s="22"/>
      <x:c r="J9" s="22"/>
      <x:c r="K9" s="22"/>
      <x:c r="L9" s="22"/>
      <x:c r="M9" s="22"/>
      <x:c r="N9" s="2"/>
      <x:c r="O9" s="2"/>
      <x:c r="P9" s="2"/>
    </x:row>
    <x:row r="10" ht="19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19" customHeight="1">
      <x:c r="A11" s="2"/>
      <x:c r="B11" s="2"/>
      <x:c r="C11" s="2" t="str">
        <x:v>Materials, traded goods and project costs</x:v>
      </x:c>
      <x:c r="D11" s="24" t="n">
        <x:f>SUM(D45:D48)</x:f>
        <x:v>94656.76000000001</x:v>
      </x:c>
      <x:c r="E11" s="24" t="n">
        <x:f>SUM(E45:E48)</x:f>
        <x:v>105108.95999999999</x:v>
      </x:c>
      <x:c r="F11" s="24" t="n">
        <x:f>SUM(F45:F48)</x:f>
        <x:v>132803.01</x:v>
      </x:c>
      <x:c r="G11" s="24" t="n">
        <x:f>SUM(G45:G48)</x:f>
        <x:v>168300.33</x:v>
      </x:c>
      <x:c r="H11" s="24" t="n">
        <x:f>SUM(H45:H48)</x:f>
        <x:v>215815.97000000003</x:v>
      </x:c>
      <x:c r="I11" s="11"/>
      <x:c r="J11" s="11"/>
      <x:c r="K11" s="11"/>
      <x:c r="L11" s="11"/>
      <x:c r="M11" s="11"/>
      <x:c r="N11" s="2"/>
      <x:c r="O11" s="2"/>
      <x:c r="P11" s="2"/>
    </x:row>
    <x:row r="12" ht="19" customHeight="1">
      <x:c r="A12" s="2"/>
      <x:c r="B12" s="2"/>
      <x:c r="C12" s="18" t="str">
        <x:v>Gross contribution</x:v>
      </x:c>
      <x:c r="D12" s="23" t="n">
        <x:f>D43-D11</x:f>
        <x:v>27380.84999999999</x:v>
      </x:c>
      <x:c r="E12" s="23" t="n">
        <x:f>E43-E11</x:f>
        <x:v>35968.82000000001</x:v>
      </x:c>
      <x:c r="F12" s="23" t="n">
        <x:f>F43-F11</x:f>
        <x:v>47591.42999999999</x:v>
      </x:c>
      <x:c r="G12" s="23" t="n">
        <x:f>G43-G11</x:f>
        <x:v>55782.80000000002</x:v>
      </x:c>
      <x:c r="H12" s="23" t="n">
        <x:f>H43-H11</x:f>
        <x:v>73021.94999999995</x:v>
      </x:c>
      <x:c r="I12" s="19"/>
      <x:c r="J12" s="19"/>
      <x:c r="K12" s="19"/>
      <x:c r="L12" s="19"/>
      <x:c r="M12" s="19"/>
      <x:c r="N12" s="2"/>
      <x:c r="O12" s="13" t="str">
        <x:v>Gross contribution is a model subtotal, before employee costs and other expenses. It is not statutory gross profit.</x:v>
      </x:c>
      <x:c r="P12" s="2"/>
    </x:row>
    <x:row r="13" ht="19" customHeight="1">
      <x:c r="A13" s="2"/>
      <x:c r="B13" s="2"/>
      <x:c r="C13" s="21" t="str">
        <x:v>Gross contribution margin</x:v>
      </x:c>
      <x:c r="D13" s="25" t="n">
        <x:f>D12/D43</x:f>
        <x:v>0.2243640300723686</x:v>
      </x:c>
      <x:c r="E13" s="25" t="n">
        <x:f>E12/E43</x:f>
        <x:v>0.25495737174202776</x:v>
      </x:c>
      <x:c r="F13" s="25" t="n">
        <x:f>F12/F43</x:f>
        <x:v>0.2638187185813487</x:v>
      </x:c>
      <x:c r="G13" s="25" t="n">
        <x:f>G12/G43</x:f>
        <x:v>0.24893797226056247</x:v>
      </x:c>
      <x:c r="H13" s="25" t="n">
        <x:f>H12/H43</x:f>
        <x:v>0.252812892434622</x:v>
      </x:c>
      <x:c r="I13" s="22"/>
      <x:c r="J13" s="22"/>
      <x:c r="K13" s="22"/>
      <x:c r="L13" s="22"/>
      <x:c r="M13" s="22"/>
      <x:c r="N13" s="2"/>
      <x:c r="O13" s="2"/>
      <x:c r="P13" s="2"/>
    </x:row>
    <x:row r="14" ht="19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19" customHeight="1">
      <x:c r="A15" s="2"/>
      <x:c r="B15" s="2"/>
      <x:c r="C15" s="2" t="str">
        <x:v>Operating EBITDA before JV result</x:v>
      </x:c>
      <x:c r="D15" s="24" t="n">
        <x:f>D12-SUM(D49:D50)</x:f>
        <x:v>12651.98999999999</x:v>
      </x:c>
      <x:c r="E15" s="24" t="n">
        <x:f>E12-SUM(E49:E50)</x:f>
        <x:v>18521.140000000007</x:v>
      </x:c>
      <x:c r="F15" s="24" t="n">
        <x:f>F12-SUM(F49:F50)</x:f>
        <x:v>24918.049999999996</x:v>
      </x:c>
      <x:c r="G15" s="24" t="n">
        <x:f>G12-SUM(G49:G50)</x:f>
        <x:v>29602.400000000016</x:v>
      </x:c>
      <x:c r="H15" s="24" t="n">
        <x:f>H12-SUM(H49:H50)</x:f>
        <x:v>40057.279999999955</x:v>
      </x:c>
      <x:c r="I15" s="11"/>
      <x:c r="J15" s="11"/>
      <x:c r="K15" s="11"/>
      <x:c r="L15" s="11"/>
      <x:c r="M15" s="11"/>
      <x:c r="N15" s="2"/>
      <x:c r="O15" s="2"/>
      <x:c r="P15" s="2"/>
    </x:row>
    <x:row r="16" ht="19" customHeight="1">
      <x:c r="A16" s="2"/>
      <x:c r="B16" s="2"/>
      <x:c r="C16" s="18" t="str">
        <x:v>EBITDA, company definition</x:v>
      </x:c>
      <x:c r="D16" s="23" t="n">
        <x:f>D54+D52+D51-D44</x:f>
        <x:v>12626.44</x:v>
      </x:c>
      <x:c r="E16" s="23" t="n">
        <x:f>E54+E52+E51-E44</x:f>
        <x:v>18428.510000000002</x:v>
      </x:c>
      <x:c r="F16" s="23" t="n">
        <x:f>F54+F52+F51-F44</x:f>
        <x:v>24918.050000000003</x:v>
      </x:c>
      <x:c r="G16" s="23" t="n">
        <x:f>G54+G52+G51-G44</x:f>
        <x:v>29602.399999999998</x:v>
      </x:c>
      <x:c r="H16" s="23" t="n">
        <x:f>H54+H52+H51-H44</x:f>
        <x:v>40057.280000000006</x:v>
      </x:c>
      <x:c r="I16" s="19"/>
      <x:c r="J16" s="19"/>
      <x:c r="K16" s="19"/>
      <x:c r="L16" s="19"/>
      <x:c r="M16" s="19"/>
      <x:c r="N16" s="2"/>
      <x:c r="O16" s="13" t="str">
        <x:v>PBT + finance costs + D&amp;A - other income. FY22/FY23 include the JV loss, consistent with company EBITDA.</x:v>
      </x:c>
      <x:c r="P16" s="2"/>
    </x:row>
    <x:row r="17" ht="19" customHeight="1">
      <x:c r="A17" s="2"/>
      <x:c r="B17" s="2"/>
      <x:c r="C17" s="21" t="str">
        <x:v>EBITDA margin</x:v>
      </x:c>
      <x:c r="D17" s="25" t="n">
        <x:f>D16/D43</x:f>
        <x:v>0.10346351423958565</x:v>
      </x:c>
      <x:c r="E17" s="25" t="n">
        <x:f>E16/E43</x:f>
        <x:v>0.1306265947763</x:v>
      </x:c>
      <x:c r="F17" s="25" t="n">
        <x:f>F16/F43</x:f>
        <x:v>0.13813092022126625</x:v>
      </x:c>
      <x:c r="G17" s="25" t="n">
        <x:f>G16/G43</x:f>
        <x:v>0.13210454530869858</x:v>
      </x:c>
      <x:c r="H17" s="25" t="n">
        <x:f>H16/H43</x:f>
        <x:v>0.13868428355944404</x:v>
      </x:c>
      <x:c r="I17" s="22"/>
      <x:c r="J17" s="22"/>
      <x:c r="K17" s="22"/>
      <x:c r="L17" s="22"/>
      <x:c r="M17" s="22"/>
      <x:c r="N17" s="2"/>
      <x:c r="O17" s="2"/>
      <x:c r="P17" s="2"/>
    </x:row>
    <x:row r="18" ht="19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19" customHeight="1">
      <x:c r="A19" s="2"/>
      <x:c r="B19" s="2"/>
      <x:c r="C19" s="2" t="str">
        <x:v>EBIT, company definition</x:v>
      </x:c>
      <x:c r="D19" s="24" t="n">
        <x:f>D16-D51</x:f>
        <x:v>10611.25</x:v>
      </x:c>
      <x:c r="E19" s="24" t="n">
        <x:f>E16-E51</x:f>
        <x:v>16336.870000000003</x:v>
      </x:c>
      <x:c r="F19" s="24" t="n">
        <x:f>F16-F51</x:f>
        <x:v>22467.65</x:v>
      </x:c>
      <x:c r="G19" s="24" t="n">
        <x:f>G16-G51</x:f>
        <x:v>26621.37</x:v>
      </x:c>
      <x:c r="H19" s="24" t="n">
        <x:f>H16-H51</x:f>
        <x:v>36198.590000000004</x:v>
      </x:c>
      <x:c r="I19" s="11"/>
      <x:c r="J19" s="11"/>
      <x:c r="K19" s="11"/>
      <x:c r="L19" s="11"/>
      <x:c r="M19" s="11"/>
      <x:c r="N19" s="2"/>
      <x:c r="O19" s="2"/>
      <x:c r="P19" s="2"/>
    </x:row>
    <x:row r="20" ht="19" customHeight="1">
      <x:c r="A20" s="2"/>
      <x:c r="B20" s="2"/>
      <x:c r="C20" s="18" t="str">
        <x:v>Profit before tax</x:v>
      </x:c>
      <x:c r="D20" s="23" t="n">
        <x:f>D15-D51+D44-D52+D53</x:f>
        <x:v>11158.57999999999</x:v>
      </x:c>
      <x:c r="E20" s="23" t="n">
        <x:f>E15-E51+E44-E52+E53</x:f>
        <x:v>17072.560000000005</x:v>
      </x:c>
      <x:c r="F20" s="23" t="n">
        <x:f>F15-F51+F44-F52+F53</x:f>
        <x:v>23592.999999999993</x:v>
      </x:c>
      <x:c r="G20" s="23" t="n">
        <x:f>G15-G51+G44-G52+G53</x:f>
        <x:v>27008.45000000002</x:v>
      </x:c>
      <x:c r="H20" s="23" t="n">
        <x:f>H15-H51+H44-H52+H53</x:f>
        <x:v>36130.74999999995</x:v>
      </x:c>
      <x:c r="I20" s="19"/>
      <x:c r="J20" s="19"/>
      <x:c r="K20" s="19"/>
      <x:c r="L20" s="19"/>
      <x:c r="M20" s="19"/>
      <x:c r="N20" s="2"/>
      <x:c r="O20" s="2"/>
      <x:c r="P20" s="2"/>
    </x:row>
    <x:row r="21" ht="19" customHeight="1">
      <x:c r="A21" s="2"/>
      <x:c r="B21" s="2"/>
      <x:c r="C21" s="2" t="str">
        <x:v>Total tax expense</x:v>
      </x:c>
      <x:c r="D21" s="24" t="n">
        <x:f>SUM(D55:D56)</x:f>
        <x:v>2706.27</x:v>
      </x:c>
      <x:c r="E21" s="24" t="n">
        <x:f>SUM(E55:E56)</x:f>
        <x:v>4241.7</x:v>
      </x:c>
      <x:c r="F21" s="24" t="n">
        <x:f>SUM(F55:F56)</x:f>
        <x:v>5563.83</x:v>
      </x:c>
      <x:c r="G21" s="24" t="n">
        <x:f>SUM(G55:G56)</x:f>
        <x:v>6553.08</x:v>
      </x:c>
      <x:c r="H21" s="24" t="n">
        <x:f>SUM(H55:H56)</x:f>
        <x:v>9046.48</x:v>
      </x:c>
      <x:c r="I21" s="11"/>
      <x:c r="J21" s="11"/>
      <x:c r="K21" s="11"/>
      <x:c r="L21" s="11"/>
      <x:c r="M21" s="11"/>
      <x:c r="N21" s="2"/>
      <x:c r="O21" s="2"/>
      <x:c r="P21" s="2"/>
    </x:row>
    <x:row r="22" ht="19" customHeight="1">
      <x:c r="A22" s="2"/>
      <x:c r="B22" s="2"/>
      <x:c r="C22" s="21" t="str">
        <x:v>Effective tax rate</x:v>
      </x:c>
      <x:c r="D22" s="25" t="n">
        <x:f>D21/D54</x:f>
        <x:v>0.24252817114722483</x:v>
      </x:c>
      <x:c r="E22" s="25" t="n">
        <x:f>E21/E54</x:f>
        <x:v>0.2484513160299334</x:v>
      </x:c>
      <x:c r="F22" s="25" t="n">
        <x:f>F21/F54</x:f>
        <x:v>0.23582545670325944</x:v>
      </x:c>
      <x:c r="G22" s="25" t="n">
        <x:f>G21/G54</x:f>
        <x:v>0.24263073223380088</x:v>
      </x:c>
      <x:c r="H22" s="25" t="n">
        <x:f>H21/H54</x:f>
        <x:v>0.2503817385468057</x:v>
      </x:c>
      <x:c r="I22" s="22"/>
      <x:c r="J22" s="22"/>
      <x:c r="K22" s="22"/>
      <x:c r="L22" s="22"/>
      <x:c r="M22" s="22"/>
      <x:c r="N22" s="2"/>
      <x:c r="O22" s="2"/>
      <x:c r="P22" s="2"/>
    </x:row>
    <x:row r="23" ht="19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9" customHeight="1">
      <x:c r="A24" s="2"/>
      <x:c r="B24" s="2"/>
      <x:c r="C24" s="18" t="str">
        <x:v>PAT, total operations</x:v>
      </x:c>
      <x:c r="D24" s="23" t="n">
        <x:f>D54-D21+D58</x:f>
        <x:v>9172.84</x:v>
      </x:c>
      <x:c r="E24" s="23" t="n">
        <x:f>E54-E21+E58</x:f>
        <x:v>12830.86</x:v>
      </x:c>
      <x:c r="F24" s="23" t="n">
        <x:f>F54-F21+F58</x:f>
        <x:v>18029.17</x:v>
      </x:c>
      <x:c r="G24" s="23" t="n">
        <x:f>G54-G21+G58</x:f>
        <x:v>20455.370000000003</x:v>
      </x:c>
      <x:c r="H24" s="23" t="n">
        <x:f>H54-H21+H58</x:f>
        <x:v>27084.27</x:v>
      </x:c>
      <x:c r="I24" s="19"/>
      <x:c r="J24" s="19"/>
      <x:c r="K24" s="19"/>
      <x:c r="L24" s="19"/>
      <x:c r="M24" s="19"/>
      <x:c r="N24" s="2"/>
      <x:c r="O24" s="2"/>
      <x:c r="P24" s="2"/>
    </x:row>
    <x:row r="25" ht="19" customHeight="1">
      <x:c r="A25" s="2"/>
      <x:c r="B25" s="2"/>
      <x:c r="C25" s="21" t="str">
        <x:v>PAT margin, total operations</x:v>
      </x:c>
      <x:c r="D25" s="25" t="n">
        <x:f>D24/D43</x:f>
        <x:v>0.07516404164257232</x:v>
      </x:c>
      <x:c r="E25" s="25" t="n">
        <x:f>E24/E43</x:f>
        <x:v>0.09094883687565825</x:v>
      </x:c>
      <x:c r="F25" s="25" t="n">
        <x:f>F24/F43</x:f>
        <x:v>0.09994304702517438</x:v>
      </x:c>
      <x:c r="G25" s="25" t="n">
        <x:f>G24/G43</x:f>
        <x:v>0.09128473883776972</x:v>
      </x:c>
      <x:c r="H25" s="25" t="n">
        <x:f>H24/H43</x:f>
        <x:v>0.09376978618319923</x:v>
      </x:c>
      <x:c r="I25" s="22"/>
      <x:c r="J25" s="22"/>
      <x:c r="K25" s="22"/>
      <x:c r="L25" s="22"/>
      <x:c r="M25" s="22"/>
      <x:c r="N25" s="2"/>
      <x:c r="O25" s="2"/>
      <x:c r="P25" s="2"/>
    </x:row>
    <x:row r="26" ht="19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19" customHeight="1">
      <x:c r="A27" s="2"/>
      <x:c r="B27" s="2"/>
      <x:c r="C27" s="2" t="str">
        <x:v>Operating cash flow</x:v>
      </x:c>
      <x:c r="D27" s="24" t="n">
        <x:f>D125</x:f>
        <x:v>5116.11</x:v>
      </x:c>
      <x:c r="E27" s="24" t="n">
        <x:f>E125</x:f>
        <x:v>14275.21</x:v>
      </x:c>
      <x:c r="F27" s="24" t="n">
        <x:f>F125</x:f>
        <x:v>12962.4</x:v>
      </x:c>
      <x:c r="G27" s="24" t="n">
        <x:f>G125</x:f>
        <x:v>18085.34</x:v>
      </x:c>
      <x:c r="H27" s="24" t="n">
        <x:f>H125</x:f>
        <x:v>38106.67</x:v>
      </x:c>
      <x:c r="I27" s="11"/>
      <x:c r="J27" s="11"/>
      <x:c r="K27" s="11"/>
      <x:c r="L27" s="11"/>
      <x:c r="M27" s="11"/>
      <x:c r="N27" s="2"/>
      <x:c r="O27" s="2"/>
      <x:c r="P27" s="2"/>
    </x:row>
    <x:row r="28" ht="19" customHeight="1">
      <x:c r="A28" s="2"/>
      <x:c r="B28" s="2"/>
      <x:c r="C28" s="2" t="str">
        <x:v>Gross cash capex</x:v>
      </x:c>
      <x:c r="D28" s="24" t="n">
        <x:f>-SUM(D126:D128)</x:f>
        <x:v>5266.929999999999</x:v>
      </x:c>
      <x:c r="E28" s="24" t="n">
        <x:f>-SUM(E126:E128)</x:f>
        <x:v>4794.53</x:v>
      </x:c>
      <x:c r="F28" s="24" t="n">
        <x:f>-SUM(F126:F128)</x:f>
        <x:v>8585.189999999999</x:v>
      </x:c>
      <x:c r="G28" s="24" t="n">
        <x:f>-SUM(G126:G128)</x:f>
        <x:v>9724.44</x:v>
      </x:c>
      <x:c r="H28" s="24" t="n">
        <x:f>-SUM(H126:H128)</x:f>
        <x:v>14898.080000000002</x:v>
      </x:c>
      <x:c r="I28" s="11"/>
      <x:c r="J28" s="11"/>
      <x:c r="K28" s="11"/>
      <x:c r="L28" s="11"/>
      <x:c r="M28" s="11"/>
      <x:c r="N28" s="2"/>
      <x:c r="O28" s="2"/>
      <x:c r="P28" s="2"/>
    </x:row>
    <x:row r="29" ht="19" customHeight="1">
      <x:c r="A29" s="2"/>
      <x:c r="B29" s="2"/>
      <x:c r="C29" s="2" t="str">
        <x:v>Net cash capex</x:v>
      </x:c>
      <x:c r="D29" s="24" t="n">
        <x:f>D28-D129</x:f>
        <x:v>5200.03</x:v>
      </x:c>
      <x:c r="E29" s="24" t="n">
        <x:f>E28-E129</x:f>
        <x:v>4584.179999999999</x:v>
      </x:c>
      <x:c r="F29" s="24" t="n">
        <x:f>F28-F129</x:f>
        <x:v>8579.72</x:v>
      </x:c>
      <x:c r="G29" s="24" t="n">
        <x:f>G28-G129</x:f>
        <x:v>9583.37</x:v>
      </x:c>
      <x:c r="H29" s="24" t="n">
        <x:f>H28-H129</x:f>
        <x:v>14799.340000000002</x:v>
      </x:c>
      <x:c r="I29" s="11"/>
      <x:c r="J29" s="11"/>
      <x:c r="K29" s="11"/>
      <x:c r="L29" s="11"/>
      <x:c r="M29" s="11"/>
      <x:c r="N29" s="2"/>
      <x:c r="O29" s="2"/>
      <x:c r="P29" s="2"/>
    </x:row>
    <x:row r="30" ht="19" customHeight="1">
      <x:c r="A30" s="2"/>
      <x:c r="B30" s="2"/>
      <x:c r="C30" s="18" t="str">
        <x:v>CFO less net cash capex</x:v>
      </x:c>
      <x:c r="D30" s="23" t="n">
        <x:f>D27-D29</x:f>
        <x:v>-83.92000000000007</x:v>
      </x:c>
      <x:c r="E30" s="23" t="n">
        <x:f>E27-E29</x:f>
        <x:v>9691.029999999999</x:v>
      </x:c>
      <x:c r="F30" s="23" t="n">
        <x:f>F27-F29</x:f>
        <x:v>4382.68</x:v>
      </x:c>
      <x:c r="G30" s="23" t="n">
        <x:f>G27-G29</x:f>
        <x:v>8501.97</x:v>
      </x:c>
      <x:c r="H30" s="23" t="n">
        <x:f>H27-H29</x:f>
        <x:v>23307.329999999994</x:v>
      </x:c>
      <x:c r="I30" s="19"/>
      <x:c r="J30" s="19"/>
      <x:c r="K30" s="19"/>
      <x:c r="L30" s="19"/>
      <x:c r="M30" s="19"/>
      <x:c r="N30" s="2"/>
      <x:c r="O30" s="13" t="str">
        <x:v>Cash-flow metric includes the historical group perimeter. FY22 cash flows include discontinued copper operations.</x:v>
      </x:c>
      <x:c r="P30" s="2"/>
    </x:row>
    <x:row r="31" ht="19" customHeight="1">
      <x:c r="A31" s="2"/>
      <x:c r="B31" s="2"/>
      <x:c r="C31" s="21" t="str">
        <x:v>Cash FCF margin</x:v>
      </x:c>
      <x:c r="D31" s="25" t="n">
        <x:f>D30/D43</x:f>
        <x:v>-0.0006876568625032895</x:v>
      </x:c>
      <x:c r="E31" s="25" t="n">
        <x:f>E30/E43</x:f>
        <x:v>0.06869281611888137</x:v>
      </x:c>
      <x:c r="F31" s="25" t="n">
        <x:f>F30/F43</x:f>
        <x:v>0.02429498381435703</x:v>
      </x:c>
      <x:c r="G31" s="25" t="n">
        <x:f>G30/G43</x:f>
        <x:v>0.03794114264648124</x:v>
      </x:c>
      <x:c r="H31" s="25" t="n">
        <x:f>H30/H43</x:f>
        <x:v>0.08069345603929012</x:v>
      </x:c>
      <x:c r="I31" s="22"/>
      <x:c r="J31" s="22"/>
      <x:c r="K31" s="22"/>
      <x:c r="L31" s="22"/>
      <x:c r="M31" s="22"/>
      <x:c r="N31" s="2"/>
      <x:c r="O31" s="2"/>
      <x:c r="P31" s="2"/>
    </x:row>
    <x:row r="32" ht="19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9" customHeight="1">
      <x:c r="A33" s="2"/>
      <x:c r="B33" s="2"/>
      <x:c r="C33" s="2" t="str">
        <x:v>Borrowings, excluding leases/acceptances</x:v>
      </x:c>
      <x:c r="D33" s="24" t="n">
        <x:f>D95+D102</x:f>
        <x:v>831.35</x:v>
      </x:c>
      <x:c r="E33" s="24" t="n">
        <x:f>E95+E102</x:f>
        <x:v>730.1800000000001</x:v>
      </x:c>
      <x:c r="F33" s="24" t="n">
        <x:f>F95+F102</x:f>
        <x:v>897.74</x:v>
      </x:c>
      <x:c r="G33" s="24" t="n">
        <x:f>G95+G102</x:f>
        <x:v>1090.04</x:v>
      </x:c>
      <x:c r="H33" s="24" t="n">
        <x:f>H95+H102</x:f>
        <x:v>1324.9</x:v>
      </x:c>
      <x:c r="I33" s="11"/>
      <x:c r="J33" s="11"/>
      <x:c r="K33" s="11"/>
      <x:c r="L33" s="11"/>
      <x:c r="M33" s="11"/>
      <x:c r="N33" s="2"/>
      <x:c r="O33" s="2"/>
      <x:c r="P33" s="2"/>
    </x:row>
    <x:row r="34" ht="19" customHeight="1">
      <x:c r="A34" s="2"/>
      <x:c r="B34" s="2"/>
      <x:c r="C34" s="2" t="str">
        <x:v>Cash and other bank balances</x:v>
      </x:c>
      <x:c r="D34" s="24" t="n">
        <x:f>D84+D85</x:f>
        <x:v>4071.1800000000003</x:v>
      </x:c>
      <x:c r="E34" s="24" t="n">
        <x:f>E84+E85</x:f>
        <x:v>6952.43</x:v>
      </x:c>
      <x:c r="F34" s="24" t="n">
        <x:f>F84+F85</x:f>
        <x:v>4023.58</x:v>
      </x:c>
      <x:c r="G34" s="24" t="n">
        <x:f>G84+G85</x:f>
        <x:v>7706.36</x:v>
      </x:c>
      <x:c r="H34" s="24" t="n">
        <x:f>H84+H85</x:f>
        <x:v>8824.7</x:v>
      </x:c>
      <x:c r="I34" s="11"/>
      <x:c r="J34" s="11"/>
      <x:c r="K34" s="11"/>
      <x:c r="L34" s="11"/>
      <x:c r="M34" s="11"/>
      <x:c r="N34" s="2"/>
      <x:c r="O34" s="2"/>
      <x:c r="P34" s="2"/>
    </x:row>
    <x:row r="35" ht="19" customHeight="1">
      <x:c r="A35" s="2"/>
      <x:c r="B35" s="2"/>
      <x:c r="C35" s="2" t="str">
        <x:v>Cash, bank and investments less borrowings</x:v>
      </x:c>
      <x:c r="D35" s="24" t="n">
        <x:f>D34+D82-D33</x:f>
        <x:v>10880.34</x:v>
      </x:c>
      <x:c r="E35" s="24" t="n">
        <x:f>E34+E82-E33</x:f>
        <x:v>19727.2</x:v>
      </x:c>
      <x:c r="F35" s="24" t="n">
        <x:f>F34+F82-F33</x:f>
        <x:v>21350.01</x:v>
      </x:c>
      <x:c r="G35" s="24" t="n">
        <x:f>G34+G82-G33</x:f>
        <x:v>24106.739999999998</x:v>
      </x:c>
      <x:c r="H35" s="24" t="n">
        <x:f>H34+H82-H33</x:f>
        <x:v>41548.030000000006</x:v>
      </x:c>
      <x:c r="I35" s="11"/>
      <x:c r="J35" s="11"/>
      <x:c r="K35" s="11"/>
      <x:c r="L35" s="11"/>
      <x:c r="M35" s="11"/>
      <x:c r="N35" s="2"/>
      <x:c r="O35" s="13" t="str">
        <x:v>Liquidity proxy only. Excludes non-current deposits and does not deduct leases or supplier acceptances.</x:v>
      </x:c>
      <x:c r="P35" s="2"/>
    </x:row>
    <x:row r="36" ht="19" customHeight="1">
      <x:c r="A36" s="2"/>
      <x:c r="B36" s="2"/>
      <x:c r="C36" s="18" t="str">
        <x:v>Equity attributable to shareholders</x:v>
      </x:c>
      <x:c r="D36" s="23" t="n">
        <x:f>D92+D93</x:f>
        <x:v>55437.41</x:v>
      </x:c>
      <x:c r="E36" s="23" t="n">
        <x:f>E92+E93</x:f>
        <x:v>66372.06999999999</x:v>
      </x:c>
      <x:c r="F36" s="23" t="n">
        <x:f>F92+F93</x:f>
        <x:v>81871.34</x:v>
      </x:c>
      <x:c r="G36" s="23" t="n">
        <x:f>G92+G93</x:f>
        <x:v>98280.54999999999</x:v>
      </x:c>
      <x:c r="H36" s="23" t="n">
        <x:f>H92+H93</x:f>
        <x:v>120085.76</x:v>
      </x:c>
      <x:c r="I36" s="19"/>
      <x:c r="J36" s="19"/>
      <x:c r="K36" s="19"/>
      <x:c r="L36" s="19"/>
      <x:c r="M36" s="19"/>
      <x:c r="N36" s="2"/>
      <x:c r="O36" s="2"/>
      <x:c r="P36" s="2"/>
    </x:row>
    <x:row r="37" ht="19" customHeight="1">
      <x:c r="A37" s="2"/>
      <x:c r="B37" s="2"/>
      <x:c r="C37" s="2" t="str">
        <x:v>Total assets</x:v>
      </x:c>
      <x:c r="D37" s="24" t="n">
        <x:f>D91</x:f>
        <x:v>74119.06</x:v>
      </x:c>
      <x:c r="E37" s="24" t="n">
        <x:f>E91</x:f>
        <x:v>94254.76</x:v>
      </x:c>
      <x:c r="F37" s="24" t="n">
        <x:f>F91</x:f>
        <x:v>120788.84</x:v>
      </x:c>
      <x:c r="G37" s="24" t="n">
        <x:f>G91</x:f>
        <x:v>137757.66</x:v>
      </x:c>
      <x:c r="H37" s="24" t="n">
        <x:f>H91</x:f>
        <x:v>204761.9</x:v>
      </x:c>
      <x:c r="I37" s="11"/>
      <x:c r="J37" s="11"/>
      <x:c r="K37" s="11"/>
      <x:c r="L37" s="11"/>
      <x:c r="M37" s="11"/>
      <x:c r="N37" s="2"/>
      <x:c r="O37" s="2"/>
      <x:c r="P37" s="2"/>
    </x:row>
    <x:row r="38" ht="19" customHeight="1">
      <x:c r="A38" s="2"/>
      <x:c r="B38" s="2"/>
      <x:c r="C38" s="2" t="str">
        <x:v>Total liabilities</x:v>
      </x:c>
      <x:c r="D38" s="24" t="n">
        <x:f>D101+D111</x:f>
        <x:v>18430.95</x:v>
      </x:c>
      <x:c r="E38" s="24" t="n">
        <x:f>E101+E111</x:f>
        <x:v>27508.92</x:v>
      </x:c>
      <x:c r="F38" s="24" t="n">
        <x:f>F101+F111</x:f>
        <x:v>38355.43</x:v>
      </x:c>
      <x:c r="G38" s="24" t="n">
        <x:f>G101+G111</x:f>
        <x:v>38659.42</x:v>
      </x:c>
      <x:c r="H38" s="24" t="n">
        <x:f>H101+H111</x:f>
        <x:v>83494.21</x:v>
      </x:c>
      <x:c r="I38" s="11"/>
      <x:c r="J38" s="11"/>
      <x:c r="K38" s="11"/>
      <x:c r="L38" s="11"/>
      <x:c r="M38" s="11"/>
      <x:c r="N38" s="2"/>
      <x:c r="O38" s="2"/>
      <x:c r="P38" s="2"/>
    </x:row>
    <x:row r="39" ht="19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9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9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3" customHeight="1">
      <x:c r="A42" s="2"/>
      <x:c r="B42" s="2"/>
      <x:c r="C42" s="10" t="str">
        <x:v>INCOME STATEMENT</x:v>
      </x:c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2"/>
      <x:c r="O42" s="2"/>
      <x:c r="P42" s="2"/>
    </x:row>
    <x:row r="43" ht="19" customHeight="1">
      <x:c r="A43" s="2"/>
      <x:c r="B43" s="2"/>
      <x:c r="C43" s="2" t="str">
        <x:v>Revenue from operations</x:v>
      </x:c>
      <x:c r="D43" s="12" t="n">
        <x:v>122037.61</x:v>
      </x:c>
      <x:c r="E43" s="12" t="n">
        <x:v>141077.78</x:v>
      </x:c>
      <x:c r="F43" s="12" t="n">
        <x:v>180394.44</x:v>
      </x:c>
      <x:c r="G43" s="12" t="n">
        <x:v>224083.13</x:v>
      </x:c>
      <x:c r="H43" s="12" t="n">
        <x:v>288837.92</x:v>
      </x:c>
      <x:c r="I43" s="11"/>
      <x:c r="J43" s="11"/>
      <x:c r="K43" s="11"/>
      <x:c r="L43" s="11"/>
      <x:c r="M43" s="11"/>
      <x:c r="N43" s="2"/>
      <x:c r="O43" s="13" t="str">
        <x:v>FS. </x:v>
      </x:c>
      <x:c r="P43" s="2"/>
    </x:row>
    <x:row r="44" ht="19" customHeight="1">
      <x:c r="A44" s="2"/>
      <x:c r="B44" s="2"/>
      <x:c r="C44" s="2" t="str">
        <x:v>Other income</x:v>
      </x:c>
      <x:c r="D44" s="12" t="n">
        <x:v>899.23</x:v>
      </x:c>
      <x:c r="E44" s="12" t="n">
        <x:v>1333.26</x:v>
      </x:c>
      <x:c r="F44" s="12" t="n">
        <x:v>2208.75</x:v>
      </x:c>
      <x:c r="G44" s="12" t="n">
        <x:v>2076.36</x:v>
      </x:c>
      <x:c r="H44" s="12" t="n">
        <x:v>2362.52</x:v>
      </x:c>
      <x:c r="I44" s="11"/>
      <x:c r="J44" s="11"/>
      <x:c r="K44" s="11"/>
      <x:c r="L44" s="11"/>
      <x:c r="M44" s="11"/>
      <x:c r="N44" s="2"/>
      <x:c r="O44" s="13" t="str">
        <x:v>FS. </x:v>
      </x:c>
      <x:c r="P44" s="2"/>
    </x:row>
    <x:row r="45" ht="19" customHeight="1">
      <x:c r="A45" s="2"/>
      <x:c r="B45" s="2"/>
      <x:c r="C45" s="2" t="str">
        <x:v>Cost of materials consumed</x:v>
      </x:c>
      <x:c r="D45" s="12" t="n">
        <x:v>92042.53</x:v>
      </x:c>
      <x:c r="E45" s="12" t="n">
        <x:v>97711.55</x:v>
      </x:c>
      <x:c r="F45" s="12" t="n">
        <x:v>126615.96</x:v>
      </x:c>
      <x:c r="G45" s="12" t="n">
        <x:v>154173.73</x:v>
      </x:c>
      <x:c r="H45" s="12" t="n">
        <x:v>206156.67</x:v>
      </x:c>
      <x:c r="I45" s="11"/>
      <x:c r="J45" s="11"/>
      <x:c r="K45" s="11"/>
      <x:c r="L45" s="11"/>
      <x:c r="M45" s="11"/>
      <x:c r="N45" s="2"/>
      <x:c r="O45" s="13" t="str">
        <x:v>FS. </x:v>
      </x:c>
      <x:c r="P45" s="2"/>
    </x:row>
    <x:row r="46" ht="19" customHeight="1">
      <x:c r="A46" s="2"/>
      <x:c r="B46" s="2"/>
      <x:c r="C46" s="2" t="str">
        <x:v>Purchases of stock-in-trade</x:v>
      </x:c>
      <x:c r="D46" s="12" t="n">
        <x:v>6427.02</x:v>
      </x:c>
      <x:c r="E46" s="12" t="n">
        <x:v>5699.12</x:v>
      </x:c>
      <x:c r="F46" s="12" t="n">
        <x:v>5658.67</x:v>
      </x:c>
      <x:c r="G46" s="12" t="n">
        <x:v>6076.37</x:v>
      </x:c>
      <x:c r="H46" s="12" t="n">
        <x:v>7314.54</x:v>
      </x:c>
      <x:c r="I46" s="11"/>
      <x:c r="J46" s="11"/>
      <x:c r="K46" s="11"/>
      <x:c r="L46" s="11"/>
      <x:c r="M46" s="11"/>
      <x:c r="N46" s="2"/>
      <x:c r="O46" s="13" t="str">
        <x:v>FS. </x:v>
      </x:c>
      <x:c r="P46" s="2"/>
    </x:row>
    <x:row r="47" ht="19" customHeight="1">
      <x:c r="A47" s="2"/>
      <x:c r="B47" s="2"/>
      <x:c r="C47" s="2" t="str">
        <x:v>Change in finished goods, WIP and stock</x:v>
      </x:c>
      <x:c r="D47" s="12" t="n">
        <x:v>-4927.51</x:v>
      </x:c>
      <x:c r="E47" s="12" t="n">
        <x:v>346.76</x:v>
      </x:c>
      <x:c r="F47" s="12" t="n">
        <x:v>-4215.09</x:v>
      </x:c>
      <x:c r="G47" s="12" t="n">
        <x:v>-4518.64</x:v>
      </x:c>
      <x:c r="H47" s="12" t="n">
        <x:v>-7601.62</x:v>
      </x:c>
      <x:c r="I47" s="11"/>
      <x:c r="J47" s="11"/>
      <x:c r="K47" s="11"/>
      <x:c r="L47" s="11"/>
      <x:c r="M47" s="11"/>
      <x:c r="N47" s="2"/>
      <x:c r="O47" s="13" t="str">
        <x:v>FS. Expense sign as reported.</x:v>
      </x:c>
      <x:c r="P47" s="2"/>
    </x:row>
    <x:row r="48" ht="19" customHeight="1">
      <x:c r="A48" s="2"/>
      <x:c r="B48" s="2"/>
      <x:c r="C48" s="2" t="str">
        <x:v>Project bought-outs and subcontracting</x:v>
      </x:c>
      <x:c r="D48" s="12" t="n">
        <x:v>1114.72</x:v>
      </x:c>
      <x:c r="E48" s="12" t="n">
        <x:v>1351.53</x:v>
      </x:c>
      <x:c r="F48" s="12" t="n">
        <x:v>4743.47</x:v>
      </x:c>
      <x:c r="G48" s="12" t="n">
        <x:v>12568.87</x:v>
      </x:c>
      <x:c r="H48" s="12" t="n">
        <x:v>9946.38</x:v>
      </x:c>
      <x:c r="I48" s="11"/>
      <x:c r="J48" s="11"/>
      <x:c r="K48" s="11"/>
      <x:c r="L48" s="11"/>
      <x:c r="M48" s="11"/>
      <x:c r="N48" s="2"/>
      <x:c r="O48" s="13" t="str">
        <x:v>FS. </x:v>
      </x:c>
      <x:c r="P48" s="2"/>
    </x:row>
    <x:row r="49" ht="19" customHeight="1">
      <x:c r="A49" s="2"/>
      <x:c r="B49" s="2"/>
      <x:c r="C49" s="2" t="str">
        <x:v>Employee benefits expense</x:v>
      </x:c>
      <x:c r="D49" s="12" t="n">
        <x:v>4066.28</x:v>
      </x:c>
      <x:c r="E49" s="12" t="n">
        <x:v>4567.72</x:v>
      </x:c>
      <x:c r="F49" s="12" t="n">
        <x:v>6095.42</x:v>
      </x:c>
      <x:c r="G49" s="12" t="n">
        <x:v>7367.26</x:v>
      </x:c>
      <x:c r="H49" s="12" t="n">
        <x:v>8794.24</x:v>
      </x:c>
      <x:c r="I49" s="11"/>
      <x:c r="J49" s="11"/>
      <x:c r="K49" s="11"/>
      <x:c r="L49" s="11"/>
      <x:c r="M49" s="11"/>
      <x:c r="N49" s="2"/>
      <x:c r="O49" s="13" t="str">
        <x:v>FS. </x:v>
      </x:c>
      <x:c r="P49" s="2"/>
    </x:row>
    <x:row r="50" ht="19" customHeight="1">
      <x:c r="A50" s="2"/>
      <x:c r="B50" s="2"/>
      <x:c r="C50" s="2" t="str">
        <x:v>Other expenses</x:v>
      </x:c>
      <x:c r="D50" s="12" t="n">
        <x:v>10662.58</x:v>
      </x:c>
      <x:c r="E50" s="12" t="n">
        <x:v>12879.96</x:v>
      </x:c>
      <x:c r="F50" s="12" t="n">
        <x:v>16577.96</x:v>
      </x:c>
      <x:c r="G50" s="12" t="n">
        <x:v>18813.14</x:v>
      </x:c>
      <x:c r="H50" s="12" t="n">
        <x:v>24170.43</x:v>
      </x:c>
      <x:c r="I50" s="11"/>
      <x:c r="J50" s="11"/>
      <x:c r="K50" s="11"/>
      <x:c r="L50" s="11"/>
      <x:c r="M50" s="11"/>
      <x:c r="N50" s="2"/>
      <x:c r="O50" s="13" t="str">
        <x:v>FS. </x:v>
      </x:c>
      <x:c r="P50" s="2"/>
    </x:row>
    <x:row r="51" ht="19" customHeight="1">
      <x:c r="A51" s="2"/>
      <x:c r="B51" s="2"/>
      <x:c r="C51" s="2" t="str">
        <x:v>Depreciation and amortisation</x:v>
      </x:c>
      <x:c r="D51" s="12" t="n">
        <x:v>2015.19</x:v>
      </x:c>
      <x:c r="E51" s="12" t="n">
        <x:v>2091.64</x:v>
      </x:c>
      <x:c r="F51" s="12" t="n">
        <x:v>2450.4</x:v>
      </x:c>
      <x:c r="G51" s="12" t="n">
        <x:v>2981.03</x:v>
      </x:c>
      <x:c r="H51" s="12" t="n">
        <x:v>3858.69</x:v>
      </x:c>
      <x:c r="I51" s="11"/>
      <x:c r="J51" s="11"/>
      <x:c r="K51" s="11"/>
      <x:c r="L51" s="11"/>
      <x:c r="M51" s="11"/>
      <x:c r="N51" s="2"/>
      <x:c r="O51" s="13" t="str">
        <x:v>FS. </x:v>
      </x:c>
      <x:c r="P51" s="2"/>
    </x:row>
    <x:row r="52" ht="19" customHeight="1">
      <x:c r="A52" s="2"/>
      <x:c r="B52" s="2"/>
      <x:c r="C52" s="2" t="str">
        <x:v>Finance costs</x:v>
      </x:c>
      <x:c r="D52" s="12" t="n">
        <x:v>351.9</x:v>
      </x:c>
      <x:c r="E52" s="12" t="n">
        <x:v>597.57</x:v>
      </x:c>
      <x:c r="F52" s="12" t="n">
        <x:v>1083.4</x:v>
      </x:c>
      <x:c r="G52" s="12" t="n">
        <x:v>1689.28</x:v>
      </x:c>
      <x:c r="H52" s="12" t="n">
        <x:v>2430.36</x:v>
      </x:c>
      <x:c r="I52" s="11"/>
      <x:c r="J52" s="11"/>
      <x:c r="K52" s="11"/>
      <x:c r="L52" s="11"/>
      <x:c r="M52" s="11"/>
      <x:c r="N52" s="2"/>
      <x:c r="O52" s="13" t="str">
        <x:v>FS. </x:v>
      </x:c>
      <x:c r="P52" s="2"/>
    </x:row>
    <x:row r="53" ht="19" customHeight="1">
      <x:c r="A53" s="2"/>
      <x:c r="B53" s="2"/>
      <x:c r="C53" s="2" t="str">
        <x:v>Share of joint-venture profit / (loss)</x:v>
      </x:c>
      <x:c r="D53" s="12" t="n">
        <x:v>-25.55</x:v>
      </x:c>
      <x:c r="E53" s="12" t="n">
        <x:v>-92.63</x:v>
      </x:c>
      <x:c r="F53" s="12" t="n">
        <x:v>0</x:v>
      </x:c>
      <x:c r="G53" s="12" t="n">
        <x:v>0</x:v>
      </x:c>
      <x:c r="H53" s="12" t="n">
        <x:v>0</x:v>
      </x:c>
      <x:c r="I53" s="11"/>
      <x:c r="J53" s="11"/>
      <x:c r="K53" s="11"/>
      <x:c r="L53" s="11"/>
      <x:c r="M53" s="11"/>
      <x:c r="N53" s="2"/>
      <x:c r="O53" s="13" t="str">
        <x:v>FS. </x:v>
      </x:c>
      <x:c r="P53" s="2"/>
    </x:row>
    <x:row r="54" ht="19" customHeight="1">
      <x:c r="A54" s="2"/>
      <x:c r="B54" s="2"/>
      <x:c r="C54" s="2" t="str">
        <x:v>Reported profit before tax</x:v>
      </x:c>
      <x:c r="D54" s="12" t="n">
        <x:v>11158.58</x:v>
      </x:c>
      <x:c r="E54" s="12" t="n">
        <x:v>17072.56</x:v>
      </x:c>
      <x:c r="F54" s="12" t="n">
        <x:v>23593</x:v>
      </x:c>
      <x:c r="G54" s="12" t="n">
        <x:v>27008.45</x:v>
      </x:c>
      <x:c r="H54" s="12" t="n">
        <x:v>36130.75</x:v>
      </x:c>
      <x:c r="I54" s="11"/>
      <x:c r="J54" s="11"/>
      <x:c r="K54" s="11"/>
      <x:c r="L54" s="11"/>
      <x:c r="M54" s="11"/>
      <x:c r="N54" s="2"/>
      <x:c r="O54" s="13" t="str">
        <x:v>FS. </x:v>
      </x:c>
      <x:c r="P54" s="2"/>
    </x:row>
    <x:row r="55" ht="19" customHeight="1">
      <x:c r="A55" s="2"/>
      <x:c r="B55" s="2"/>
      <x:c r="C55" s="2" t="str">
        <x:v>Current tax, including prior-year adjustments</x:v>
      </x:c>
      <x:c r="D55" s="12" t="n">
        <x:v>2809.27</x:v>
      </x:c>
      <x:c r="E55" s="12" t="n">
        <x:v>4060.5</x:v>
      </x:c>
      <x:c r="F55" s="12" t="n">
        <x:v>5535.25</x:v>
      </x:c>
      <x:c r="G55" s="12" t="n">
        <x:v>6154.98</x:v>
      </x:c>
      <x:c r="H55" s="12" t="n">
        <x:v>9390.58</x:v>
      </x:c>
      <x:c r="I55" s="11"/>
      <x:c r="J55" s="11"/>
      <x:c r="K55" s="11"/>
      <x:c r="L55" s="11"/>
      <x:c r="M55" s="11"/>
      <x:c r="N55" s="2"/>
      <x:c r="O55" s="13" t="str">
        <x:v>FS. </x:v>
      </x:c>
      <x:c r="P55" s="2"/>
    </x:row>
    <x:row r="56" ht="19" customHeight="1">
      <x:c r="A56" s="2"/>
      <x:c r="B56" s="2"/>
      <x:c r="C56" s="2" t="str">
        <x:v>Deferred tax expense / (credit)</x:v>
      </x:c>
      <x:c r="D56" s="12" t="n">
        <x:v>-103</x:v>
      </x:c>
      <x:c r="E56" s="12" t="n">
        <x:v>181.2</x:v>
      </x:c>
      <x:c r="F56" s="12" t="n">
        <x:v>28.58</x:v>
      </x:c>
      <x:c r="G56" s="12" t="n">
        <x:v>398.1</x:v>
      </x:c>
      <x:c r="H56" s="12" t="n">
        <x:v>-344.1</x:v>
      </x:c>
      <x:c r="I56" s="11"/>
      <x:c r="J56" s="11"/>
      <x:c r="K56" s="11"/>
      <x:c r="L56" s="11"/>
      <x:c r="M56" s="11"/>
      <x:c r="N56" s="2"/>
      <x:c r="O56" s="13" t="str">
        <x:v>FS. </x:v>
      </x:c>
      <x:c r="P56" s="2"/>
    </x:row>
    <x:row r="57" ht="19" customHeight="1">
      <x:c r="A57" s="2"/>
      <x:c r="B57" s="2"/>
      <x:c r="C57" s="2" t="str">
        <x:v>Reported PAT, continuing operations</x:v>
      </x:c>
      <x:c r="D57" s="12" t="n">
        <x:v>8452.31</x:v>
      </x:c>
      <x:c r="E57" s="12" t="n">
        <x:v>12830.86</x:v>
      </x:c>
      <x:c r="F57" s="12" t="n">
        <x:v>18029.17</x:v>
      </x:c>
      <x:c r="G57" s="12" t="n">
        <x:v>20455.37</x:v>
      </x:c>
      <x:c r="H57" s="12" t="n">
        <x:v>27084.27</x:v>
      </x:c>
      <x:c r="I57" s="11"/>
      <x:c r="J57" s="11"/>
      <x:c r="K57" s="11"/>
      <x:c r="L57" s="11"/>
      <x:c r="M57" s="11"/>
      <x:c r="N57" s="2"/>
      <x:c r="O57" s="13" t="str">
        <x:v>FS. </x:v>
      </x:c>
      <x:c r="P57" s="2"/>
    </x:row>
    <x:row r="58" ht="19" customHeight="1">
      <x:c r="A58" s="2"/>
      <x:c r="B58" s="2"/>
      <x:c r="C58" s="2" t="str">
        <x:v>PAT, discontinued operations</x:v>
      </x:c>
      <x:c r="D58" s="12" t="n">
        <x:v>720.53</x:v>
      </x:c>
      <x:c r="E58" s="12" t="n">
        <x:v>0</x:v>
      </x:c>
      <x:c r="F58" s="12" t="n">
        <x:v>0</x:v>
      </x:c>
      <x:c r="G58" s="12" t="n">
        <x:v>0</x:v>
      </x:c>
      <x:c r="H58" s="12" t="n">
        <x:v>0</x:v>
      </x:c>
      <x:c r="I58" s="11"/>
      <x:c r="J58" s="11"/>
      <x:c r="K58" s="11"/>
      <x:c r="L58" s="11"/>
      <x:c r="M58" s="11"/>
      <x:c r="N58" s="2"/>
      <x:c r="O58" s="13" t="str">
        <x:v>FS. FY22 copper operation, including disposal gain. Kept outside recurring earnings.</x:v>
      </x:c>
      <x:c r="P58" s="2"/>
    </x:row>
    <x:row r="59" ht="19" customHeight="1">
      <x:c r="A59" s="2"/>
      <x:c r="B59" s="2"/>
      <x:c r="C59" s="2" t="str">
        <x:v>Reported total PAT</x:v>
      </x:c>
      <x:c r="D59" s="12" t="n">
        <x:v>9172.84</x:v>
      </x:c>
      <x:c r="E59" s="12" t="n">
        <x:v>12830.86</x:v>
      </x:c>
      <x:c r="F59" s="12" t="n">
        <x:v>18029.17</x:v>
      </x:c>
      <x:c r="G59" s="12" t="n">
        <x:v>20455.37</x:v>
      </x:c>
      <x:c r="H59" s="12" t="n">
        <x:v>27084.27</x:v>
      </x:c>
      <x:c r="I59" s="11"/>
      <x:c r="J59" s="11"/>
      <x:c r="K59" s="11"/>
      <x:c r="L59" s="11"/>
      <x:c r="M59" s="11"/>
      <x:c r="N59" s="2"/>
      <x:c r="O59" s="13" t="str">
        <x:v>FS. </x:v>
      </x:c>
      <x:c r="P59" s="2"/>
    </x:row>
    <x:row r="60" ht="19" customHeight="1">
      <x:c r="A60" s="2"/>
      <x:c r="B60" s="2"/>
      <x:c r="C60" s="2" t="str">
        <x:v>PAT attributable to shareholders</x:v>
      </x:c>
      <x:c r="D60" s="12" t="n">
        <x:v>9085.77</x:v>
      </x:c>
      <x:c r="E60" s="12" t="n">
        <x:v>12707.83</x:v>
      </x:c>
      <x:c r="F60" s="12" t="n">
        <x:v>17840.45</x:v>
      </x:c>
      <x:c r="G60" s="12" t="n">
        <x:v>20199.9</x:v>
      </x:c>
      <x:c r="H60" s="12" t="n">
        <x:v>26720.33</x:v>
      </x:c>
      <x:c r="I60" s="11"/>
      <x:c r="J60" s="11"/>
      <x:c r="K60" s="11"/>
      <x:c r="L60" s="11"/>
      <x:c r="M60" s="11"/>
      <x:c r="N60" s="2"/>
      <x:c r="O60" s="13" t="str">
        <x:v>FS. </x:v>
      </x:c>
      <x:c r="P60" s="2"/>
    </x:row>
    <x:row r="61" ht="19" customHeight="1">
      <x:c r="A61" s="2"/>
      <x:c r="B61" s="2"/>
      <x:c r="C61" s="2" t="str">
        <x:v>PAT attributable to non-controlling interests</x:v>
      </x:c>
      <x:c r="D61" s="12" t="n">
        <x:v>87.07</x:v>
      </x:c>
      <x:c r="E61" s="12" t="n">
        <x:v>123.03</x:v>
      </x:c>
      <x:c r="F61" s="12" t="n">
        <x:v>188.72</x:v>
      </x:c>
      <x:c r="G61" s="12" t="n">
        <x:v>255.47</x:v>
      </x:c>
      <x:c r="H61" s="12" t="n">
        <x:v>363.94</x:v>
      </x:c>
      <x:c r="I61" s="11"/>
      <x:c r="J61" s="11"/>
      <x:c r="K61" s="11"/>
      <x:c r="L61" s="11"/>
      <x:c r="M61" s="11"/>
      <x:c r="N61" s="2"/>
      <x:c r="O61" s="13" t="str">
        <x:v>FS. </x:v>
      </x:c>
      <x:c r="P61" s="2"/>
    </x:row>
    <x:row r="62" ht="19" customHeight="1">
      <x:c r="A62" s="2"/>
      <x:c r="B62" s="2"/>
      <x:c r="C62" s="2" t="str">
        <x:v>Other comprehensive income / (loss)</x:v>
      </x:c>
      <x:c r="D62" s="12" t="n">
        <x:v>0.01</x:v>
      </x:c>
      <x:c r="E62" s="12" t="n">
        <x:v>33.69</x:v>
      </x:c>
      <x:c r="F62" s="12" t="n">
        <x:v>-102.49</x:v>
      </x:c>
      <x:c r="G62" s="12" t="n">
        <x:v>-69.7</x:v>
      </x:c>
      <x:c r="H62" s="12" t="n">
        <x:v>-4.53</x:v>
      </x:c>
      <x:c r="I62" s="11"/>
      <x:c r="J62" s="11"/>
      <x:c r="K62" s="11"/>
      <x:c r="L62" s="11"/>
      <x:c r="M62" s="11"/>
      <x:c r="N62" s="2"/>
      <x:c r="O62" s="13" t="str">
        <x:v>FS. </x:v>
      </x:c>
      <x:c r="P62" s="2"/>
    </x:row>
    <x:row r="63" ht="19" customHeight="1">
      <x:c r="A63" s="2"/>
      <x:c r="B63" s="2"/>
      <x:c r="C63" s="2" t="str">
        <x:v>Basic EPS, total operations (INR/share)</x:v>
      </x:c>
      <x:c r="D63" s="12" t="n">
        <x:v>60.87</x:v>
      </x:c>
      <x:c r="E63" s="12" t="n">
        <x:v>84.93</x:v>
      </x:c>
      <x:c r="F63" s="12" t="n">
        <x:v>118.93</x:v>
      </x:c>
      <x:c r="G63" s="12" t="n">
        <x:v>134.34</x:v>
      </x:c>
      <x:c r="H63" s="12" t="n">
        <x:v>177.53</x:v>
      </x:c>
      <x:c r="I63" s="11"/>
      <x:c r="J63" s="11"/>
      <x:c r="K63" s="11"/>
      <x:c r="L63" s="11"/>
      <x:c r="M63" s="11"/>
      <x:c r="N63" s="2"/>
      <x:c r="O63" s="13" t="str">
        <x:v>FS. </x:v>
      </x:c>
      <x:c r="P63" s="2"/>
    </x:row>
    <x:row r="64" ht="19" customHeight="1">
      <x:c r="A64" s="2"/>
      <x:c r="B64" s="2"/>
      <x:c r="C64" s="2" t="str">
        <x:v>Diluted EPS, total operations (INR/share)</x:v>
      </x:c>
      <x:c r="D64" s="12" t="n">
        <x:v>60.6</x:v>
      </x:c>
      <x:c r="E64" s="12" t="n">
        <x:v>84.66</x:v>
      </x:c>
      <x:c r="F64" s="12" t="n">
        <x:v>118.49</x:v>
      </x:c>
      <x:c r="G64" s="12" t="n">
        <x:v>133.8</x:v>
      </x:c>
      <x:c r="H64" s="12" t="n">
        <x:v>176.95</x:v>
      </x:c>
      <x:c r="I64" s="11"/>
      <x:c r="J64" s="11"/>
      <x:c r="K64" s="11"/>
      <x:c r="L64" s="11"/>
      <x:c r="M64" s="11"/>
      <x:c r="N64" s="2"/>
      <x:c r="O64" s="13" t="str">
        <x:v>FS. </x:v>
      </x:c>
      <x:c r="P64" s="2"/>
    </x:row>
    <x:row r="65" ht="19" customHeight="1">
      <x:c r="A65" s="2"/>
      <x:c r="B65" s="2"/>
      <x:c r="C65" s="2" t="str">
        <x:v>Weighted average basic shares (million)</x:v>
      </x:c>
      <x:c r="D65" s="12" t="n">
        <x:v>149.268712</x:v>
      </x:c>
      <x:c r="E65" s="12" t="n">
        <x:v>149.631506</x:v>
      </x:c>
      <x:c r="F65" s="12" t="n">
        <x:v>150.014272</x:v>
      </x:c>
      <x:c r="G65" s="12" t="n">
        <x:v>150.364869</x:v>
      </x:c>
      <x:c r="H65" s="12" t="n">
        <x:v>150.509597</x:v>
      </x:c>
      <x:c r="I65" s="11"/>
      <x:c r="J65" s="11"/>
      <x:c r="K65" s="11"/>
      <x:c r="L65" s="11"/>
      <x:c r="M65" s="11"/>
      <x:c r="N65" s="2"/>
      <x:c r="O65" s="13" t="str">
        <x:v>FS. </x:v>
      </x:c>
      <x:c r="P65" s="2"/>
    </x:row>
    <x:row r="66" ht="19" customHeight="1">
      <x:c r="A66" s="2"/>
      <x:c r="B66" s="2"/>
      <x:c r="C66" s="2" t="str">
        <x:v>Weighted average diluted shares (million)</x:v>
      </x:c>
      <x:c r="D66" s="12" t="n">
        <x:v>149.923144</x:v>
      </x:c>
      <x:c r="E66" s="12" t="n">
        <x:v>150.099705</x:v>
      </x:c>
      <x:c r="F66" s="12" t="n">
        <x:v>150.566475</x:v>
      </x:c>
      <x:c r="G66" s="12" t="n">
        <x:v>150.974137</x:v>
      </x:c>
      <x:c r="H66" s="12" t="n">
        <x:v>151.001427</x:v>
      </x:c>
      <x:c r="I66" s="11"/>
      <x:c r="J66" s="11"/>
      <x:c r="K66" s="11"/>
      <x:c r="L66" s="11"/>
      <x:c r="M66" s="11"/>
      <x:c r="N66" s="2"/>
      <x:c r="O66" s="13" t="str">
        <x:v>FS. </x:v>
      </x:c>
      <x:c r="P66" s="2"/>
    </x:row>
    <x:row r="67" ht="23" customHeight="1">
      <x:c r="A67" s="2"/>
      <x:c r="B67" s="2"/>
      <x:c r="C67" s="10" t="str">
        <x:v>BALANCE SHEET</x:v>
      </x:c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2"/>
      <x:c r="O67" s="2"/>
      <x:c r="P67" s="2"/>
    </x:row>
    <x:row r="68" ht="19" customHeight="1">
      <x:c r="A68" s="2"/>
      <x:c r="B68" s="2"/>
      <x:c r="C68" s="2" t="str">
        <x:v>Property, plant and equipment, net</x:v>
      </x:c>
      <x:c r="D68" s="12" t="n">
        <x:v>16170.25</x:v>
      </x:c>
      <x:c r="E68" s="12" t="n">
        <x:v>20104.28</x:v>
      </x:c>
      <x:c r="F68" s="12" t="n">
        <x:v>21677.57</x:v>
      </x:c>
      <x:c r="G68" s="12" t="n">
        <x:v>27913.26</x:v>
      </x:c>
      <x:c r="H68" s="12" t="n">
        <x:v>35050.71</x:v>
      </x:c>
      <x:c r="I68" s="11"/>
      <x:c r="J68" s="11"/>
      <x:c r="K68" s="11"/>
      <x:c r="L68" s="11"/>
      <x:c r="M68" s="11"/>
      <x:c r="N68" s="2"/>
      <x:c r="O68" s="13" t="str">
        <x:v>FS. </x:v>
      </x:c>
      <x:c r="P68" s="2"/>
    </x:row>
    <x:row r="69" ht="19" customHeight="1">
      <x:c r="A69" s="2"/>
      <x:c r="B69" s="2"/>
      <x:c r="C69" s="2" t="str">
        <x:v>Capital work-in-progress</x:v>
      </x:c>
      <x:c r="D69" s="12" t="n">
        <x:v>3754.5</x:v>
      </x:c>
      <x:c r="E69" s="12" t="n">
        <x:v>2507.67</x:v>
      </x:c>
      <x:c r="F69" s="12" t="n">
        <x:v>5784.46</x:v>
      </x:c>
      <x:c r="G69" s="12" t="n">
        <x:v>7081.44</x:v>
      </x:c>
      <x:c r="H69" s="12" t="n">
        <x:v>11392.59</x:v>
      </x:c>
      <x:c r="I69" s="11"/>
      <x:c r="J69" s="11"/>
      <x:c r="K69" s="11"/>
      <x:c r="L69" s="11"/>
      <x:c r="M69" s="11"/>
      <x:c r="N69" s="2"/>
      <x:c r="O69" s="13" t="str">
        <x:v>FS. </x:v>
      </x:c>
      <x:c r="P69" s="2"/>
    </x:row>
    <x:row r="70" ht="19" customHeight="1">
      <x:c r="A70" s="2"/>
      <x:c r="B70" s="2"/>
      <x:c r="C70" s="2" t="str">
        <x:v>Investment property under construction</x:v>
      </x:c>
      <x:c r="D70" s="12" t="n">
        <x:v>0</x:v>
      </x:c>
      <x:c r="E70" s="12" t="n">
        <x:v>0</x:v>
      </x:c>
      <x:c r="F70" s="12" t="n">
        <x:v>762.98</x:v>
      </x:c>
      <x:c r="G70" s="12" t="n">
        <x:v>790.08</x:v>
      </x:c>
      <x:c r="H70" s="12" t="n">
        <x:v>883.02</x:v>
      </x:c>
      <x:c r="I70" s="11"/>
      <x:c r="J70" s="11"/>
      <x:c r="K70" s="11"/>
      <x:c r="L70" s="11"/>
      <x:c r="M70" s="11"/>
      <x:c r="N70" s="2"/>
      <x:c r="O70" s="13" t="str">
        <x:v>FS. </x:v>
      </x:c>
      <x:c r="P70" s="2"/>
    </x:row>
    <x:row r="71" ht="19" customHeight="1">
      <x:c r="A71" s="2"/>
      <x:c r="B71" s="2"/>
      <x:c r="C71" s="2" t="str">
        <x:v>Right-of-use assets</x:v>
      </x:c>
      <x:c r="D71" s="12" t="n">
        <x:v>351.36</x:v>
      </x:c>
      <x:c r="E71" s="12" t="n">
        <x:v>361.82</x:v>
      </x:c>
      <x:c r="F71" s="12" t="n">
        <x:v>728.26</x:v>
      </x:c>
      <x:c r="G71" s="12" t="n">
        <x:v>1309.71</x:v>
      </x:c>
      <x:c r="H71" s="12" t="n">
        <x:v>1426.27</x:v>
      </x:c>
      <x:c r="I71" s="11"/>
      <x:c r="J71" s="11"/>
      <x:c r="K71" s="11"/>
      <x:c r="L71" s="11"/>
      <x:c r="M71" s="11"/>
      <x:c r="N71" s="2"/>
      <x:c r="O71" s="13" t="str">
        <x:v>FS. </x:v>
      </x:c>
      <x:c r="P71" s="2"/>
    </x:row>
    <x:row r="72" ht="19" customHeight="1">
      <x:c r="A72" s="2"/>
      <x:c r="B72" s="2"/>
      <x:c r="C72" s="2" t="str">
        <x:v>Other intangible assets</x:v>
      </x:c>
      <x:c r="D72" s="12" t="n">
        <x:v>183.4</x:v>
      </x:c>
      <x:c r="E72" s="12" t="n">
        <x:v>157.08</x:v>
      </x:c>
      <x:c r="F72" s="12" t="n">
        <x:v>160.17</x:v>
      </x:c>
      <x:c r="G72" s="12" t="n">
        <x:v>98.45</x:v>
      </x:c>
      <x:c r="H72" s="12" t="n">
        <x:v>40.97</x:v>
      </x:c>
      <x:c r="I72" s="11"/>
      <x:c r="J72" s="11"/>
      <x:c r="K72" s="11"/>
      <x:c r="L72" s="11"/>
      <x:c r="M72" s="11"/>
      <x:c r="N72" s="2"/>
      <x:c r="O72" s="13" t="str">
        <x:v>FS. </x:v>
      </x:c>
      <x:c r="P72" s="2"/>
    </x:row>
    <x:row r="73" ht="19" customHeight="1">
      <x:c r="A73" s="2"/>
      <x:c r="B73" s="2"/>
      <x:c r="C73" s="2" t="str">
        <x:v>Goodwill</x:v>
      </x:c>
      <x:c r="D73" s="12" t="n">
        <x:v>46.22</x:v>
      </x:c>
      <x:c r="E73" s="12" t="n">
        <x:v>46.22</x:v>
      </x:c>
      <x:c r="F73" s="12" t="n">
        <x:v>46.22</x:v>
      </x:c>
      <x:c r="G73" s="12" t="n">
        <x:v>0</x:v>
      </x:c>
      <x:c r="H73" s="12" t="n">
        <x:v>0</x:v>
      </x:c>
      <x:c r="I73" s="11"/>
      <x:c r="J73" s="11"/>
      <x:c r="K73" s="11"/>
      <x:c r="L73" s="11"/>
      <x:c r="M73" s="11"/>
      <x:c r="N73" s="2"/>
      <x:c r="O73" s="13" t="str">
        <x:v>FS. </x:v>
      </x:c>
      <x:c r="P73" s="2"/>
    </x:row>
    <x:row r="74" ht="19" customHeight="1">
      <x:c r="A74" s="2"/>
      <x:c r="B74" s="2"/>
      <x:c r="C74" s="2" t="str">
        <x:v>Investments accounted under equity method</x:v>
      </x:c>
      <x:c r="D74" s="12" t="n">
        <x:v>92.63</x:v>
      </x:c>
      <x:c r="E74" s="12" t="n">
        <x:v>0</x:v>
      </x:c>
      <x:c r="F74" s="12" t="n">
        <x:v>0</x:v>
      </x:c>
      <x:c r="G74" s="12" t="n">
        <x:v>0</x:v>
      </x:c>
      <x:c r="H74" s="12" t="n">
        <x:v>0</x:v>
      </x:c>
      <x:c r="I74" s="11"/>
      <x:c r="J74" s="11"/>
      <x:c r="K74" s="11"/>
      <x:c r="L74" s="11"/>
      <x:c r="M74" s="11"/>
      <x:c r="N74" s="2"/>
      <x:c r="O74" s="13" t="str">
        <x:v>FS. </x:v>
      </x:c>
      <x:c r="P74" s="2"/>
    </x:row>
    <x:row r="75" ht="19" customHeight="1">
      <x:c r="A75" s="2"/>
      <x:c r="B75" s="2"/>
      <x:c r="C75" s="2" t="str">
        <x:v>Non-current trade receivables</x:v>
      </x:c>
      <x:c r="D75" s="12" t="n">
        <x:v>799.31</x:v>
      </x:c>
      <x:c r="E75" s="12" t="n">
        <x:v>526.37</x:v>
      </x:c>
      <x:c r="F75" s="12" t="n">
        <x:v>1190.7</x:v>
      </x:c>
      <x:c r="G75" s="12" t="n">
        <x:v>2994.38</x:v>
      </x:c>
      <x:c r="H75" s="12" t="n">
        <x:v>4477.84</x:v>
      </x:c>
      <x:c r="I75" s="11"/>
      <x:c r="J75" s="11"/>
      <x:c r="K75" s="11"/>
      <x:c r="L75" s="11"/>
      <x:c r="M75" s="11"/>
      <x:c r="N75" s="2"/>
      <x:c r="O75" s="13" t="str">
        <x:v>FS. </x:v>
      </x:c>
      <x:c r="P75" s="2"/>
    </x:row>
    <x:row r="76" ht="19" customHeight="1">
      <x:c r="A76" s="2"/>
      <x:c r="B76" s="2"/>
      <x:c r="C76" s="2" t="str">
        <x:v>Other non-current financial assets</x:v>
      </x:c>
      <x:c r="D76" s="12" t="n">
        <x:v>166.52</x:v>
      </x:c>
      <x:c r="E76" s="12" t="n">
        <x:v>70.4</x:v>
      </x:c>
      <x:c r="F76" s="12" t="n">
        <x:v>311.34</x:v>
      </x:c>
      <x:c r="G76" s="12" t="n">
        <x:v>712.41</x:v>
      </x:c>
      <x:c r="H76" s="12" t="n">
        <x:v>571.94</x:v>
      </x:c>
      <x:c r="I76" s="11"/>
      <x:c r="J76" s="11"/>
      <x:c r="K76" s="11"/>
      <x:c r="L76" s="11"/>
      <x:c r="M76" s="11"/>
      <x:c r="N76" s="2"/>
      <x:c r="O76" s="13" t="str">
        <x:v>FS. </x:v>
      </x:c>
      <x:c r="P76" s="2"/>
    </x:row>
    <x:row r="77" ht="19" customHeight="1">
      <x:c r="A77" s="2"/>
      <x:c r="B77" s="2"/>
      <x:c r="C77" s="2" t="str">
        <x:v>Non-current tax assets, net</x:v>
      </x:c>
      <x:c r="D77" s="12" t="n">
        <x:v>479.46</x:v>
      </x:c>
      <x:c r="E77" s="12" t="n">
        <x:v>251.89</x:v>
      </x:c>
      <x:c r="F77" s="12" t="n">
        <x:v>297.08</x:v>
      </x:c>
      <x:c r="G77" s="12" t="n">
        <x:v>503.73</x:v>
      </x:c>
      <x:c r="H77" s="12" t="n">
        <x:v>558.74</x:v>
      </x:c>
      <x:c r="I77" s="11"/>
      <x:c r="J77" s="11"/>
      <x:c r="K77" s="11"/>
      <x:c r="L77" s="11"/>
      <x:c r="M77" s="11"/>
      <x:c r="N77" s="2"/>
      <x:c r="O77" s="13" t="str">
        <x:v>FS. </x:v>
      </x:c>
      <x:c r="P77" s="2"/>
    </x:row>
    <x:row r="78" ht="19" customHeight="1">
      <x:c r="A78" s="2"/>
      <x:c r="B78" s="2"/>
      <x:c r="C78" s="2" t="str">
        <x:v>Deferred tax assets, net</x:v>
      </x:c>
      <x:c r="D78" s="12" t="n">
        <x:v>0.09</x:v>
      </x:c>
      <x:c r="E78" s="12" t="n">
        <x:v>13.44</x:v>
      </x:c>
      <x:c r="F78" s="12" t="n">
        <x:v>128.69</x:v>
      </x:c>
      <x:c r="G78" s="12" t="n">
        <x:v>270.7</x:v>
      </x:c>
      <x:c r="H78" s="12" t="n">
        <x:v>116.02</x:v>
      </x:c>
      <x:c r="I78" s="11"/>
      <x:c r="J78" s="11"/>
      <x:c r="K78" s="11"/>
      <x:c r="L78" s="11"/>
      <x:c r="M78" s="11"/>
      <x:c r="N78" s="2"/>
      <x:c r="O78" s="13" t="str">
        <x:v>FS. FY25 uses restated FY26 comparative; FY24 follows FY25 published comparative.</x:v>
      </x:c>
      <x:c r="P78" s="2"/>
    </x:row>
    <x:row r="79" ht="19" customHeight="1">
      <x:c r="A79" s="2"/>
      <x:c r="B79" s="2"/>
      <x:c r="C79" s="2" t="str">
        <x:v>Other non-current assets</x:v>
      </x:c>
      <x:c r="D79" s="12" t="n">
        <x:v>663.96</x:v>
      </x:c>
      <x:c r="E79" s="12" t="n">
        <x:v>1128.1</x:v>
      </x:c>
      <x:c r="F79" s="12" t="n">
        <x:v>2561.76</x:v>
      </x:c>
      <x:c r="G79" s="12" t="n">
        <x:v>2893.54</x:v>
      </x:c>
      <x:c r="H79" s="12" t="n">
        <x:v>3638.74</x:v>
      </x:c>
      <x:c r="I79" s="11"/>
      <x:c r="J79" s="11"/>
      <x:c r="K79" s="11"/>
      <x:c r="L79" s="11"/>
      <x:c r="M79" s="11"/>
      <x:c r="N79" s="2"/>
      <x:c r="O79" s="13" t="str">
        <x:v>FS. </x:v>
      </x:c>
      <x:c r="P79" s="2"/>
    </x:row>
    <x:row r="80" ht="19" customHeight="1">
      <x:c r="A80" s="2"/>
      <x:c r="B80" s="2"/>
      <x:c r="C80" s="2" t="str">
        <x:v>Reported non-current assets</x:v>
      </x:c>
      <x:c r="D80" s="12" t="n">
        <x:v>22707.7</x:v>
      </x:c>
      <x:c r="E80" s="12" t="n">
        <x:v>25167.27</x:v>
      </x:c>
      <x:c r="F80" s="12" t="n">
        <x:v>33649.23</x:v>
      </x:c>
      <x:c r="G80" s="12" t="n">
        <x:v>44567.7</x:v>
      </x:c>
      <x:c r="H80" s="12" t="n">
        <x:v>58156.84</x:v>
      </x:c>
      <x:c r="I80" s="11"/>
      <x:c r="J80" s="11"/>
      <x:c r="K80" s="11"/>
      <x:c r="L80" s="11"/>
      <x:c r="M80" s="11"/>
      <x:c r="N80" s="2"/>
      <x:c r="O80" s="13" t="str">
        <x:v>FS. </x:v>
      </x:c>
      <x:c r="P80" s="2"/>
    </x:row>
    <x:row r="81" ht="19" customHeight="1">
      <x:c r="A81" s="2"/>
      <x:c r="B81" s="2"/>
      <x:c r="C81" s="2" t="str">
        <x:v>Inventories</x:v>
      </x:c>
      <x:c r="D81" s="12" t="n">
        <x:v>21996.47</x:v>
      </x:c>
      <x:c r="E81" s="12" t="n">
        <x:v>29513.84</x:v>
      </x:c>
      <x:c r="F81" s="12" t="n">
        <x:v>36751.14</x:v>
      </x:c>
      <x:c r="G81" s="12" t="n">
        <x:v>36613</x:v>
      </x:c>
      <x:c r="H81" s="12" t="n">
        <x:v>55595.98</x:v>
      </x:c>
      <x:c r="I81" s="11"/>
      <x:c r="J81" s="11"/>
      <x:c r="K81" s="11"/>
      <x:c r="L81" s="11"/>
      <x:c r="M81" s="11"/>
      <x:c r="N81" s="2"/>
      <x:c r="O81" s="13" t="str">
        <x:v>FS. </x:v>
      </x:c>
      <x:c r="P81" s="2"/>
    </x:row>
    <x:row r="82" ht="19" customHeight="1">
      <x:c r="A82" s="2"/>
      <x:c r="B82" s="2"/>
      <x:c r="C82" s="2" t="str">
        <x:v>Current investments</x:v>
      </x:c>
      <x:c r="D82" s="12" t="n">
        <x:v>7640.51</x:v>
      </x:c>
      <x:c r="E82" s="12" t="n">
        <x:v>13504.95</x:v>
      </x:c>
      <x:c r="F82" s="12" t="n">
        <x:v>18224.17</x:v>
      </x:c>
      <x:c r="G82" s="12" t="n">
        <x:v>17490.42</x:v>
      </x:c>
      <x:c r="H82" s="12" t="n">
        <x:v>34048.23</x:v>
      </x:c>
      <x:c r="I82" s="11"/>
      <x:c r="J82" s="11"/>
      <x:c r="K82" s="11"/>
      <x:c r="L82" s="11"/>
      <x:c r="M82" s="11"/>
      <x:c r="N82" s="2"/>
      <x:c r="O82" s="13" t="str">
        <x:v>FS. </x:v>
      </x:c>
      <x:c r="P82" s="2"/>
    </x:row>
    <x:row r="83" ht="19" customHeight="1">
      <x:c r="A83" s="2"/>
      <x:c r="B83" s="2"/>
      <x:c r="C83" s="2" t="str">
        <x:v>Current trade receivables</x:v>
      </x:c>
      <x:c r="D83" s="12" t="n">
        <x:v>12963.94</x:v>
      </x:c>
      <x:c r="E83" s="12" t="n">
        <x:v>12465.96</x:v>
      </x:c>
      <x:c r="F83" s="12" t="n">
        <x:v>20471.17</x:v>
      </x:c>
      <x:c r="G83" s="12" t="n">
        <x:v>25962.68</x:v>
      </x:c>
      <x:c r="H83" s="12" t="n">
        <x:v>37585.04</x:v>
      </x:c>
      <x:c r="I83" s="11"/>
      <x:c r="J83" s="11"/>
      <x:c r="K83" s="11"/>
      <x:c r="L83" s="11"/>
      <x:c r="M83" s="11"/>
      <x:c r="N83" s="2"/>
      <x:c r="O83" s="13" t="str">
        <x:v>FS. </x:v>
      </x:c>
      <x:c r="P83" s="2"/>
    </x:row>
    <x:row r="84" ht="19" customHeight="1">
      <x:c r="A84" s="2"/>
      <x:c r="B84" s="2"/>
      <x:c r="C84" s="2" t="str">
        <x:v>Cash and cash equivalents</x:v>
      </x:c>
      <x:c r="D84" s="12" t="n">
        <x:v>1216.91</x:v>
      </x:c>
      <x:c r="E84" s="12" t="n">
        <x:v>1527.52</x:v>
      </x:c>
      <x:c r="F84" s="12" t="n">
        <x:v>3070.31</x:v>
      </x:c>
      <x:c r="G84" s="12" t="n">
        <x:v>2173.87</x:v>
      </x:c>
      <x:c r="H84" s="12" t="n">
        <x:v>3903.43</x:v>
      </x:c>
      <x:c r="I84" s="11"/>
      <x:c r="J84" s="11"/>
      <x:c r="K84" s="11"/>
      <x:c r="L84" s="11"/>
      <x:c r="M84" s="11"/>
      <x:c r="N84" s="2"/>
      <x:c r="O84" s="13" t="str">
        <x:v>FS. </x:v>
      </x:c>
      <x:c r="P84" s="2"/>
    </x:row>
    <x:row r="85" ht="19" customHeight="1">
      <x:c r="A85" s="2"/>
      <x:c r="B85" s="2"/>
      <x:c r="C85" s="2" t="str">
        <x:v>Other bank balances</x:v>
      </x:c>
      <x:c r="D85" s="12" t="n">
        <x:v>2854.27</x:v>
      </x:c>
      <x:c r="E85" s="12" t="n">
        <x:v>5424.91</x:v>
      </x:c>
      <x:c r="F85" s="12" t="n">
        <x:v>953.27</x:v>
      </x:c>
      <x:c r="G85" s="12" t="n">
        <x:v>5532.49</x:v>
      </x:c>
      <x:c r="H85" s="12" t="n">
        <x:v>4921.27</x:v>
      </x:c>
      <x:c r="I85" s="11"/>
      <x:c r="J85" s="11"/>
      <x:c r="K85" s="11"/>
      <x:c r="L85" s="11"/>
      <x:c r="M85" s="11"/>
      <x:c r="N85" s="2"/>
      <x:c r="O85" s="13" t="str">
        <x:v>FS. </x:v>
      </x:c>
      <x:c r="P85" s="2"/>
    </x:row>
    <x:row r="86" ht="19" customHeight="1">
      <x:c r="A86" s="2"/>
      <x:c r="B86" s="2"/>
      <x:c r="C86" s="2" t="str">
        <x:v>Current loans</x:v>
      </x:c>
      <x:c r="D86" s="12" t="n">
        <x:v>126.8</x:v>
      </x:c>
      <x:c r="E86" s="12" t="n">
        <x:v>103.47</x:v>
      </x:c>
      <x:c r="F86" s="12" t="n">
        <x:v>106.26</x:v>
      </x:c>
      <x:c r="G86" s="12" t="n">
        <x:v>111</x:v>
      </x:c>
      <x:c r="H86" s="12" t="n">
        <x:v>112.31</x:v>
      </x:c>
      <x:c r="I86" s="11"/>
      <x:c r="J86" s="11"/>
      <x:c r="K86" s="11"/>
      <x:c r="L86" s="11"/>
      <x:c r="M86" s="11"/>
      <x:c r="N86" s="2"/>
      <x:c r="O86" s="13" t="str">
        <x:v>FS. </x:v>
      </x:c>
      <x:c r="P86" s="2"/>
    </x:row>
    <x:row r="87" ht="19" customHeight="1">
      <x:c r="A87" s="2"/>
      <x:c r="B87" s="2"/>
      <x:c r="C87" s="2" t="str">
        <x:v>Other current financial assets</x:v>
      </x:c>
      <x:c r="D87" s="12" t="n">
        <x:v>409.45</x:v>
      </x:c>
      <x:c r="E87" s="12" t="n">
        <x:v>295.91</x:v>
      </x:c>
      <x:c r="F87" s="12" t="n">
        <x:v>335.52</x:v>
      </x:c>
      <x:c r="G87" s="12" t="n">
        <x:v>1147.49</x:v>
      </x:c>
      <x:c r="H87" s="12" t="n">
        <x:v>2632.57</x:v>
      </x:c>
      <x:c r="I87" s="11"/>
      <x:c r="J87" s="11"/>
      <x:c r="K87" s="11"/>
      <x:c r="L87" s="11"/>
      <x:c r="M87" s="11"/>
      <x:c r="N87" s="2"/>
      <x:c r="O87" s="13" t="str">
        <x:v>FS. FY22 reclassified comparative in FY23 annual report.</x:v>
      </x:c>
      <x:c r="P87" s="2"/>
    </x:row>
    <x:row r="88" ht="19" customHeight="1">
      <x:c r="A88" s="2"/>
      <x:c r="B88" s="2"/>
      <x:c r="C88" s="2" t="str">
        <x:v>Other current assets</x:v>
      </x:c>
      <x:c r="D88" s="12" t="n">
        <x:v>4203.01</x:v>
      </x:c>
      <x:c r="E88" s="12" t="n">
        <x:v>6250.93</x:v>
      </x:c>
      <x:c r="F88" s="12" t="n">
        <x:v>7227.77</x:v>
      </x:c>
      <x:c r="G88" s="12" t="n">
        <x:v>4159.01</x:v>
      </x:c>
      <x:c r="H88" s="12" t="n">
        <x:v>7780.05</x:v>
      </x:c>
      <x:c r="I88" s="11"/>
      <x:c r="J88" s="11"/>
      <x:c r="K88" s="11"/>
      <x:c r="L88" s="11"/>
      <x:c r="M88" s="11"/>
      <x:c r="N88" s="2"/>
      <x:c r="O88" s="13" t="str">
        <x:v>FS. </x:v>
      </x:c>
      <x:c r="P88" s="2"/>
    </x:row>
    <x:row r="89" ht="19" customHeight="1">
      <x:c r="A89" s="2"/>
      <x:c r="B89" s="2"/>
      <x:c r="C89" s="2" t="str">
        <x:v>Reported current assets, excluding held for sale</x:v>
      </x:c>
      <x:c r="D89" s="12" t="n">
        <x:v>51411.36</x:v>
      </x:c>
      <x:c r="E89" s="12" t="n">
        <x:v>69087.49</x:v>
      </x:c>
      <x:c r="F89" s="12" t="n">
        <x:v>87139.61</x:v>
      </x:c>
      <x:c r="G89" s="12" t="n">
        <x:v>93189.96</x:v>
      </x:c>
      <x:c r="H89" s="12" t="n">
        <x:v>146578.88</x:v>
      </x:c>
      <x:c r="I89" s="11"/>
      <x:c r="J89" s="11"/>
      <x:c r="K89" s="11"/>
      <x:c r="L89" s="11"/>
      <x:c r="M89" s="11"/>
      <x:c r="N89" s="2"/>
      <x:c r="O89" s="13" t="str">
        <x:v>FS. </x:v>
      </x:c>
      <x:c r="P89" s="2"/>
    </x:row>
    <x:row r="90" ht="19" customHeight="1">
      <x:c r="A90" s="2"/>
      <x:c r="B90" s="2"/>
      <x:c r="C90" s="2" t="str">
        <x:v>Assets held for sale</x:v>
      </x:c>
      <x:c r="D90" s="12" t="n">
        <x:v>0</x:v>
      </x:c>
      <x:c r="E90" s="12" t="n">
        <x:v>0</x:v>
      </x:c>
      <x:c r="F90" s="12" t="n">
        <x:v>0</x:v>
      </x:c>
      <x:c r="G90" s="12" t="n">
        <x:v>0</x:v>
      </x:c>
      <x:c r="H90" s="12" t="n">
        <x:v>26.18</x:v>
      </x:c>
      <x:c r="I90" s="11"/>
      <x:c r="J90" s="11"/>
      <x:c r="K90" s="11"/>
      <x:c r="L90" s="11"/>
      <x:c r="M90" s="11"/>
      <x:c r="N90" s="2"/>
      <x:c r="O90" s="13" t="str">
        <x:v>FS. </x:v>
      </x:c>
      <x:c r="P90" s="2"/>
    </x:row>
    <x:row r="91" ht="19" customHeight="1">
      <x:c r="A91" s="2"/>
      <x:c r="B91" s="2"/>
      <x:c r="C91" s="2" t="str">
        <x:v>Reported total assets</x:v>
      </x:c>
      <x:c r="D91" s="12" t="n">
        <x:v>74119.06</x:v>
      </x:c>
      <x:c r="E91" s="12" t="n">
        <x:v>94254.76</x:v>
      </x:c>
      <x:c r="F91" s="12" t="n">
        <x:v>120788.84</x:v>
      </x:c>
      <x:c r="G91" s="12" t="n">
        <x:v>137757.66</x:v>
      </x:c>
      <x:c r="H91" s="12" t="n">
        <x:v>204761.9</x:v>
      </x:c>
      <x:c r="I91" s="11"/>
      <x:c r="J91" s="11"/>
      <x:c r="K91" s="11"/>
      <x:c r="L91" s="11"/>
      <x:c r="M91" s="11"/>
      <x:c r="N91" s="2"/>
      <x:c r="O91" s="13" t="str">
        <x:v>FS. </x:v>
      </x:c>
      <x:c r="P91" s="2"/>
    </x:row>
    <x:row r="92" ht="19" customHeight="1">
      <x:c r="A92" s="2"/>
      <x:c r="B92" s="2"/>
      <x:c r="C92" s="2" t="str">
        <x:v>Equity share capital</x:v>
      </x:c>
      <x:c r="D92" s="12" t="n">
        <x:v>1494.43</x:v>
      </x:c>
      <x:c r="E92" s="12" t="n">
        <x:v>1497.65</x:v>
      </x:c>
      <x:c r="F92" s="12" t="n">
        <x:v>1502.36</x:v>
      </x:c>
      <x:c r="G92" s="12" t="n">
        <x:v>1504.26</x:v>
      </x:c>
      <x:c r="H92" s="12" t="n">
        <x:v>1505.51</x:v>
      </x:c>
      <x:c r="I92" s="11"/>
      <x:c r="J92" s="11"/>
      <x:c r="K92" s="11"/>
      <x:c r="L92" s="11"/>
      <x:c r="M92" s="11"/>
      <x:c r="N92" s="2"/>
      <x:c r="O92" s="13" t="str">
        <x:v>FS. </x:v>
      </x:c>
      <x:c r="P92" s="2"/>
    </x:row>
    <x:row r="93" ht="19" customHeight="1">
      <x:c r="A93" s="2"/>
      <x:c r="B93" s="2"/>
      <x:c r="C93" s="2" t="str">
        <x:v>Other equity</x:v>
      </x:c>
      <x:c r="D93" s="12" t="n">
        <x:v>53942.98</x:v>
      </x:c>
      <x:c r="E93" s="12" t="n">
        <x:v>64874.42</x:v>
      </x:c>
      <x:c r="F93" s="12" t="n">
        <x:v>80368.98</x:v>
      </x:c>
      <x:c r="G93" s="12" t="n">
        <x:v>96776.29</x:v>
      </x:c>
      <x:c r="H93" s="12" t="n">
        <x:v>118580.25</x:v>
      </x:c>
      <x:c r="I93" s="11"/>
      <x:c r="J93" s="11"/>
      <x:c r="K93" s="11"/>
      <x:c r="L93" s="11"/>
      <x:c r="M93" s="11"/>
      <x:c r="N93" s="2"/>
      <x:c r="O93" s="13" t="str">
        <x:v>FS. FY23 restated in FY24; FY25 restated in FY26.</x:v>
      </x:c>
      <x:c r="P93" s="2"/>
    </x:row>
    <x:row r="94" ht="19" customHeight="1">
      <x:c r="A94" s="2"/>
      <x:c r="B94" s="2"/>
      <x:c r="C94" s="2" t="str">
        <x:v>Non-controlling interests</x:v>
      </x:c>
      <x:c r="D94" s="12" t="n">
        <x:v>250.7</x:v>
      </x:c>
      <x:c r="E94" s="12" t="n">
        <x:v>373.77</x:v>
      </x:c>
      <x:c r="F94" s="12" t="n">
        <x:v>562.07</x:v>
      </x:c>
      <x:c r="G94" s="12" t="n">
        <x:v>817.69</x:v>
      </x:c>
      <x:c r="H94" s="12" t="n">
        <x:v>1181.93</x:v>
      </x:c>
      <x:c r="I94" s="11"/>
      <x:c r="J94" s="11"/>
      <x:c r="K94" s="11"/>
      <x:c r="L94" s="11"/>
      <x:c r="M94" s="11"/>
      <x:c r="N94" s="2"/>
      <x:c r="O94" s="13" t="str">
        <x:v>FS. </x:v>
      </x:c>
      <x:c r="P94" s="2"/>
    </x:row>
    <x:row r="95" ht="19" customHeight="1">
      <x:c r="A95" s="2"/>
      <x:c r="B95" s="2"/>
      <x:c r="C95" s="2" t="str">
        <x:v>Non-current borrowings</x:v>
      </x:c>
      <x:c r="D95" s="12" t="n">
        <x:v>29.74</x:v>
      </x:c>
      <x:c r="E95" s="12" t="n">
        <x:v>42.08</x:v>
      </x:c>
      <x:c r="F95" s="12" t="n">
        <x:v>226.04</x:v>
      </x:c>
      <x:c r="G95" s="12" t="n">
        <x:v>419.4</x:v>
      </x:c>
      <x:c r="H95" s="12" t="n">
        <x:v>392.67</x:v>
      </x:c>
      <x:c r="I95" s="11"/>
      <x:c r="J95" s="11"/>
      <x:c r="K95" s="11"/>
      <x:c r="L95" s="11"/>
      <x:c r="M95" s="11"/>
      <x:c r="N95" s="2"/>
      <x:c r="O95" s="13" t="str">
        <x:v>FS. </x:v>
      </x:c>
      <x:c r="P95" s="2"/>
    </x:row>
    <x:row r="96" ht="19" customHeight="1">
      <x:c r="A96" s="2"/>
      <x:c r="B96" s="2"/>
      <x:c r="C96" s="2" t="str">
        <x:v>Non-current lease liabilities</x:v>
      </x:c>
      <x:c r="D96" s="12" t="n">
        <x:v>244.76</x:v>
      </x:c>
      <x:c r="E96" s="12" t="n">
        <x:v>224.33</x:v>
      </x:c>
      <x:c r="F96" s="12" t="n">
        <x:v>244.96</x:v>
      </x:c>
      <x:c r="G96" s="12" t="n">
        <x:v>709.34</x:v>
      </x:c>
      <x:c r="H96" s="12" t="n">
        <x:v>803.72</x:v>
      </x:c>
      <x:c r="I96" s="11"/>
      <x:c r="J96" s="11"/>
      <x:c r="K96" s="11"/>
      <x:c r="L96" s="11"/>
      <x:c r="M96" s="11"/>
      <x:c r="N96" s="2"/>
      <x:c r="O96" s="13" t="str">
        <x:v>FS. </x:v>
      </x:c>
      <x:c r="P96" s="2"/>
    </x:row>
    <x:row r="97" ht="19" customHeight="1">
      <x:c r="A97" s="2"/>
      <x:c r="B97" s="2"/>
      <x:c r="C97" s="2" t="str">
        <x:v>Other non-current financial liabilities</x:v>
      </x:c>
      <x:c r="D97" s="12" t="n">
        <x:v>0</x:v>
      </x:c>
      <x:c r="E97" s="12" t="n">
        <x:v>0</x:v>
      </x:c>
      <x:c r="F97" s="12" t="n">
        <x:v>537.66</x:v>
      </x:c>
      <x:c r="G97" s="12" t="n">
        <x:v>105.03</x:v>
      </x:c>
      <x:c r="H97" s="12" t="n">
        <x:v>51.7</x:v>
      </x:c>
      <x:c r="I97" s="11"/>
      <x:c r="J97" s="11"/>
      <x:c r="K97" s="11"/>
      <x:c r="L97" s="11"/>
      <x:c r="M97" s="11"/>
      <x:c r="N97" s="2"/>
      <x:c r="O97" s="13" t="str">
        <x:v>FS. </x:v>
      </x:c>
      <x:c r="P97" s="2"/>
    </x:row>
    <x:row r="98" ht="19" customHeight="1">
      <x:c r="A98" s="2"/>
      <x:c r="B98" s="2"/>
      <x:c r="C98" s="2" t="str">
        <x:v>Non-current provisions</x:v>
      </x:c>
      <x:c r="D98" s="12" t="n">
        <x:v>264.27</x:v>
      </x:c>
      <x:c r="E98" s="12" t="n">
        <x:v>449.74</x:v>
      </x:c>
      <x:c r="F98" s="12" t="n">
        <x:v>438.77</x:v>
      </x:c>
      <x:c r="G98" s="12" t="n">
        <x:v>413.15</x:v>
      </x:c>
      <x:c r="H98" s="12" t="n">
        <x:v>563.98</x:v>
      </x:c>
      <x:c r="I98" s="11"/>
      <x:c r="J98" s="11"/>
      <x:c r="K98" s="11"/>
      <x:c r="L98" s="11"/>
      <x:c r="M98" s="11"/>
      <x:c r="N98" s="2"/>
      <x:c r="O98" s="13" t="str">
        <x:v>FS. FY24 classification follows FY25 comparative.</x:v>
      </x:c>
      <x:c r="P98" s="2"/>
    </x:row>
    <x:row r="99" ht="19" customHeight="1">
      <x:c r="A99" s="2"/>
      <x:c r="B99" s="2"/>
      <x:c r="C99" s="2" t="str">
        <x:v>Deferred tax liabilities, net</x:v>
      </x:c>
      <x:c r="D99" s="12" t="n">
        <x:v>271.84</x:v>
      </x:c>
      <x:c r="E99" s="12" t="n">
        <x:v>422.68</x:v>
      </x:c>
      <x:c r="F99" s="12" t="n">
        <x:v>543.71</x:v>
      </x:c>
      <x:c r="G99" s="12" t="n">
        <x:v>1025.03</x:v>
      </x:c>
      <x:c r="H99" s="12" t="n">
        <x:v>524.06</x:v>
      </x:c>
      <x:c r="I99" s="11"/>
      <x:c r="J99" s="11"/>
      <x:c r="K99" s="11"/>
      <x:c r="L99" s="11"/>
      <x:c r="M99" s="11"/>
      <x:c r="N99" s="2"/>
      <x:c r="O99" s="13" t="str">
        <x:v>FS. </x:v>
      </x:c>
      <x:c r="P99" s="2"/>
    </x:row>
    <x:row r="100" ht="19" customHeight="1">
      <x:c r="A100" s="2"/>
      <x:c r="B100" s="2"/>
      <x:c r="C100" s="2" t="str">
        <x:v>Other non-current liabilities</x:v>
      </x:c>
      <x:c r="D100" s="12" t="n">
        <x:v>207.05</x:v>
      </x:c>
      <x:c r="E100" s="12" t="n">
        <x:v>165.18</x:v>
      </x:c>
      <x:c r="F100" s="12" t="n">
        <x:v>422.86</x:v>
      </x:c>
      <x:c r="G100" s="12" t="n">
        <x:v>886.01</x:v>
      </x:c>
      <x:c r="H100" s="12" t="n">
        <x:v>1505.64</x:v>
      </x:c>
      <x:c r="I100" s="11"/>
      <x:c r="J100" s="11"/>
      <x:c r="K100" s="11"/>
      <x:c r="L100" s="11"/>
      <x:c r="M100" s="11"/>
      <x:c r="N100" s="2"/>
      <x:c r="O100" s="13" t="str">
        <x:v>FS. </x:v>
      </x:c>
      <x:c r="P100" s="2"/>
    </x:row>
    <x:row r="101" ht="19" customHeight="1">
      <x:c r="A101" s="2"/>
      <x:c r="B101" s="2"/>
      <x:c r="C101" s="2" t="str">
        <x:v>Reported non-current liabilities</x:v>
      </x:c>
      <x:c r="D101" s="12" t="n">
        <x:v>1017.66</x:v>
      </x:c>
      <x:c r="E101" s="12" t="n">
        <x:v>1304.01</x:v>
      </x:c>
      <x:c r="F101" s="12" t="n">
        <x:v>2414</x:v>
      </x:c>
      <x:c r="G101" s="12" t="n">
        <x:v>3557.96</x:v>
      </x:c>
      <x:c r="H101" s="12" t="n">
        <x:v>3841.77</x:v>
      </x:c>
      <x:c r="I101" s="11"/>
      <x:c r="J101" s="11"/>
      <x:c r="K101" s="11"/>
      <x:c r="L101" s="11"/>
      <x:c r="M101" s="11"/>
      <x:c r="N101" s="2"/>
      <x:c r="O101" s="13" t="str">
        <x:v>FS. </x:v>
      </x:c>
      <x:c r="P101" s="2"/>
    </x:row>
    <x:row r="102" ht="19" customHeight="1">
      <x:c r="A102" s="2"/>
      <x:c r="B102" s="2"/>
      <x:c r="C102" s="2" t="str">
        <x:v>Current borrowings</x:v>
      </x:c>
      <x:c r="D102" s="12" t="n">
        <x:v>801.61</x:v>
      </x:c>
      <x:c r="E102" s="12" t="n">
        <x:v>688.1</x:v>
      </x:c>
      <x:c r="F102" s="12" t="n">
        <x:v>671.7</x:v>
      </x:c>
      <x:c r="G102" s="12" t="n">
        <x:v>670.64</x:v>
      </x:c>
      <x:c r="H102" s="12" t="n">
        <x:v>932.23</x:v>
      </x:c>
      <x:c r="I102" s="11"/>
      <x:c r="J102" s="11"/>
      <x:c r="K102" s="11"/>
      <x:c r="L102" s="11"/>
      <x:c r="M102" s="11"/>
      <x:c r="N102" s="2"/>
      <x:c r="O102" s="13" t="str">
        <x:v>FS. FY23 uses restated/reclassified comparative in FY24.</x:v>
      </x:c>
      <x:c r="P102" s="2"/>
    </x:row>
    <x:row r="103" ht="19" customHeight="1">
      <x:c r="A103" s="2"/>
      <x:c r="B103" s="2"/>
      <x:c r="C103" s="2" t="str">
        <x:v>Current lease liabilities</x:v>
      </x:c>
      <x:c r="D103" s="12" t="n">
        <x:v>105.37</x:v>
      </x:c>
      <x:c r="E103" s="12" t="n">
        <x:v>138.96</x:v>
      </x:c>
      <x:c r="F103" s="12" t="n">
        <x:v>468.23</x:v>
      </x:c>
      <x:c r="G103" s="12" t="n">
        <x:v>224.99</x:v>
      </x:c>
      <x:c r="H103" s="12" t="n">
        <x:v>226.55</x:v>
      </x:c>
      <x:c r="I103" s="11"/>
      <x:c r="J103" s="11"/>
      <x:c r="K103" s="11"/>
      <x:c r="L103" s="11"/>
      <x:c r="M103" s="11"/>
      <x:c r="N103" s="2"/>
      <x:c r="O103" s="13" t="str">
        <x:v>FS. </x:v>
      </x:c>
      <x:c r="P103" s="2"/>
    </x:row>
    <x:row r="104" ht="19" customHeight="1">
      <x:c r="A104" s="2"/>
      <x:c r="B104" s="2"/>
      <x:c r="C104" s="2" t="str">
        <x:v>Acceptances</x:v>
      </x:c>
      <x:c r="D104" s="12" t="n">
        <x:v>6364.55</x:v>
      </x:c>
      <x:c r="E104" s="12" t="n">
        <x:v>12257.56</x:v>
      </x:c>
      <x:c r="F104" s="12" t="n">
        <x:v>18619.66</x:v>
      </x:c>
      <x:c r="G104" s="12" t="n">
        <x:v>13062.37</x:v>
      </x:c>
      <x:c r="H104" s="12" t="n">
        <x:v>42656.19</x:v>
      </x:c>
      <x:c r="I104" s="11"/>
      <x:c r="J104" s="11"/>
      <x:c r="K104" s="11"/>
      <x:c r="L104" s="11"/>
      <x:c r="M104" s="11"/>
      <x:c r="N104" s="2"/>
      <x:c r="O104" s="13" t="str">
        <x:v>FS. FY22 separated from trade payables using AR23 note 20, p268.</x:v>
      </x:c>
      <x:c r="P104" s="2"/>
    </x:row>
    <x:row r="105" ht="19" customHeight="1">
      <x:c r="A105" s="2"/>
      <x:c r="B105" s="2"/>
      <x:c r="C105" s="2" t="str">
        <x:v>Trade payables, micro and small enterprises</x:v>
      </x:c>
      <x:c r="D105" s="12" t="n">
        <x:v>588.24</x:v>
      </x:c>
      <x:c r="E105" s="12" t="n">
        <x:v>732.45</x:v>
      </x:c>
      <x:c r="F105" s="12" t="n">
        <x:v>748.27</x:v>
      </x:c>
      <x:c r="G105" s="12" t="n">
        <x:v>1503.85</x:v>
      </x:c>
      <x:c r="H105" s="12" t="n">
        <x:v>1635.35</x:v>
      </x:c>
      <x:c r="I105" s="11"/>
      <x:c r="J105" s="11"/>
      <x:c r="K105" s="11"/>
      <x:c r="L105" s="11"/>
      <x:c r="M105" s="11"/>
      <x:c r="N105" s="2"/>
      <x:c r="O105" s="13" t="str">
        <x:v>FS. </x:v>
      </x:c>
      <x:c r="P105" s="2"/>
    </x:row>
    <x:row r="106" ht="19" customHeight="1">
      <x:c r="A106" s="2"/>
      <x:c r="B106" s="2"/>
      <x:c r="C106" s="2" t="str">
        <x:v>Other trade payables, excluding acceptances</x:v>
      </x:c>
      <x:c r="D106" s="12" t="n">
        <x:v>5222.51</x:v>
      </x:c>
      <x:c r="E106" s="12" t="n">
        <x:v>7336.43</x:v>
      </x:c>
      <x:c r="F106" s="12" t="n">
        <x:v>9265.32</x:v>
      </x:c>
      <x:c r="G106" s="12" t="n">
        <x:v>12791.34</x:v>
      </x:c>
      <x:c r="H106" s="12" t="n">
        <x:v>16352.79</x:v>
      </x:c>
      <x:c r="I106" s="11"/>
      <x:c r="J106" s="11"/>
      <x:c r="K106" s="11"/>
      <x:c r="L106" s="11"/>
      <x:c r="M106" s="11"/>
      <x:c r="N106" s="2"/>
      <x:c r="O106" s="13" t="str">
        <x:v>FS. FY22 other creditors 11,587.06 less acceptances 6,364.55.</x:v>
      </x:c>
      <x:c r="P106" s="2"/>
    </x:row>
    <x:row r="107" ht="19" customHeight="1">
      <x:c r="A107" s="2"/>
      <x:c r="B107" s="2"/>
      <x:c r="C107" s="2" t="str">
        <x:v>Other current financial liabilities</x:v>
      </x:c>
      <x:c r="D107" s="12" t="n">
        <x:v>686.1</x:v>
      </x:c>
      <x:c r="E107" s="12" t="n">
        <x:v>1677.91</x:v>
      </x:c>
      <x:c r="F107" s="12" t="n">
        <x:v>2420.84</x:v>
      </x:c>
      <x:c r="G107" s="12" t="n">
        <x:v>2988.22</x:v>
      </x:c>
      <x:c r="H107" s="12" t="n">
        <x:v>2864.77</x:v>
      </x:c>
      <x:c r="I107" s="11"/>
      <x:c r="J107" s="11"/>
      <x:c r="K107" s="11"/>
      <x:c r="L107" s="11"/>
      <x:c r="M107" s="11"/>
      <x:c r="N107" s="2"/>
      <x:c r="O107" s="13" t="str">
        <x:v>FS. </x:v>
      </x:c>
      <x:c r="P107" s="2"/>
    </x:row>
    <x:row r="108" ht="19" customHeight="1">
      <x:c r="A108" s="2"/>
      <x:c r="B108" s="2"/>
      <x:c r="C108" s="2" t="str">
        <x:v>Other current liabilities</x:v>
      </x:c>
      <x:c r="D108" s="12" t="n">
        <x:v>3231.59</x:v>
      </x:c>
      <x:c r="E108" s="12" t="n">
        <x:v>2817.76</x:v>
      </x:c>
      <x:c r="F108" s="12" t="n">
        <x:v>3145.03</x:v>
      </x:c>
      <x:c r="G108" s="12" t="n">
        <x:v>3075.51</x:v>
      </x:c>
      <x:c r="H108" s="12" t="n">
        <x:v>12871.06</x:v>
      </x:c>
      <x:c r="I108" s="11"/>
      <x:c r="J108" s="11"/>
      <x:c r="K108" s="11"/>
      <x:c r="L108" s="11"/>
      <x:c r="M108" s="11"/>
      <x:c r="N108" s="2"/>
      <x:c r="O108" s="13" t="str">
        <x:v>FS. </x:v>
      </x:c>
      <x:c r="P108" s="2"/>
    </x:row>
    <x:row r="109" ht="19" customHeight="1">
      <x:c r="A109" s="2"/>
      <x:c r="B109" s="2"/>
      <x:c r="C109" s="2" t="str">
        <x:v>Current provisions</x:v>
      </x:c>
      <x:c r="D109" s="12" t="n">
        <x:v>253.8</x:v>
      </x:c>
      <x:c r="E109" s="12" t="n">
        <x:v>267.57</x:v>
      </x:c>
      <x:c r="F109" s="12" t="n">
        <x:v>476.94</x:v>
      </x:c>
      <x:c r="G109" s="12" t="n">
        <x:v>628.95</x:v>
      </x:c>
      <x:c r="H109" s="12" t="n">
        <x:v>1341.95</x:v>
      </x:c>
      <x:c r="I109" s="11"/>
      <x:c r="J109" s="11"/>
      <x:c r="K109" s="11"/>
      <x:c r="L109" s="11"/>
      <x:c r="M109" s="11"/>
      <x:c r="N109" s="2"/>
      <x:c r="O109" s="13" t="str">
        <x:v>FS. FY24 classification follows FY25 comparative.</x:v>
      </x:c>
      <x:c r="P109" s="2"/>
    </x:row>
    <x:row r="110" ht="19" customHeight="1">
      <x:c r="A110" s="2"/>
      <x:c r="B110" s="2"/>
      <x:c r="C110" s="2" t="str">
        <x:v>Current tax liabilities, net</x:v>
      </x:c>
      <x:c r="D110" s="12" t="n">
        <x:v>159.52</x:v>
      </x:c>
      <x:c r="E110" s="12" t="n">
        <x:v>288.17</x:v>
      </x:c>
      <x:c r="F110" s="12" t="n">
        <x:v>125.44</x:v>
      </x:c>
      <x:c r="G110" s="12" t="n">
        <x:v>155.59</x:v>
      </x:c>
      <x:c r="H110" s="12" t="n">
        <x:v>771.55</x:v>
      </x:c>
      <x:c r="I110" s="11"/>
      <x:c r="J110" s="11"/>
      <x:c r="K110" s="11"/>
      <x:c r="L110" s="11"/>
      <x:c r="M110" s="11"/>
      <x:c r="N110" s="2"/>
      <x:c r="O110" s="13" t="str">
        <x:v>FS. </x:v>
      </x:c>
      <x:c r="P110" s="2"/>
    </x:row>
    <x:row r="111" ht="19" customHeight="1">
      <x:c r="A111" s="2"/>
      <x:c r="B111" s="2"/>
      <x:c r="C111" s="2" t="str">
        <x:v>Reported current liabilities</x:v>
      </x:c>
      <x:c r="D111" s="12" t="n">
        <x:v>17413.29</x:v>
      </x:c>
      <x:c r="E111" s="12" t="n">
        <x:v>26204.91</x:v>
      </x:c>
      <x:c r="F111" s="12" t="n">
        <x:v>35941.43</x:v>
      </x:c>
      <x:c r="G111" s="12" t="n">
        <x:v>35101.46</x:v>
      </x:c>
      <x:c r="H111" s="12" t="n">
        <x:v>79652.44</x:v>
      </x:c>
      <x:c r="I111" s="11"/>
      <x:c r="J111" s="11"/>
      <x:c r="K111" s="11"/>
      <x:c r="L111" s="11"/>
      <x:c r="M111" s="11"/>
      <x:c r="N111" s="2"/>
      <x:c r="O111" s="13" t="str">
        <x:v>FS. </x:v>
      </x:c>
      <x:c r="P111" s="2"/>
    </x:row>
    <x:row r="112" ht="23" customHeight="1">
      <x:c r="A112" s="2"/>
      <x:c r="B112" s="2"/>
      <x:c r="C112" s="10" t="str">
        <x:v>CASH FLOW</x:v>
      </x:c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2"/>
      <x:c r="O112" s="2"/>
      <x:c r="P112" s="2"/>
    </x:row>
    <x:row r="113" ht="19" customHeight="1">
      <x:c r="A113" s="2"/>
      <x:c r="B113" s="2"/>
      <x:c r="C113" s="2" t="str">
        <x:v>Operating profit before working-capital changes</x:v>
      </x:c>
      <x:c r="D113" s="12" t="n">
        <x:v>13429.77</x:v>
      </x:c>
      <x:c r="E113" s="12" t="n">
        <x:v>18896.82</x:v>
      </x:c>
      <x:c r="F113" s="12" t="n">
        <x:v>26795.5</x:v>
      </x:c>
      <x:c r="G113" s="12" t="n">
        <x:v>30516.28</x:v>
      </x:c>
      <x:c r="H113" s="12" t="n">
        <x:v>40886.41</x:v>
      </x:c>
      <x:c r="I113" s="11"/>
      <x:c r="J113" s="11"/>
      <x:c r="K113" s="11"/>
      <x:c r="L113" s="11"/>
      <x:c r="M113" s="11"/>
      <x:c r="N113" s="2"/>
      <x:c r="O113" s="13" t="str">
        <x:v>CF. </x:v>
      </x:c>
      <x:c r="P113" s="2"/>
    </x:row>
    <x:row r="114" ht="19" customHeight="1">
      <x:c r="A114" s="2"/>
      <x:c r="B114" s="2"/>
      <x:c r="C114" s="2" t="str">
        <x:v>Cash impact: trade receivables</x:v>
      </x:c>
      <x:c r="D114" s="12" t="n">
        <x:v>1212.72</x:v>
      </x:c>
      <x:c r="E114" s="12" t="n">
        <x:v>849.59</x:v>
      </x:c>
      <x:c r="F114" s="12" t="n">
        <x:v>-8886.24</x:v>
      </x:c>
      <x:c r="G114" s="12" t="n">
        <x:v>-7360.94</x:v>
      </x:c>
      <x:c r="H114" s="12" t="n">
        <x:v>-13758.6</x:v>
      </x:c>
      <x:c r="I114" s="11"/>
      <x:c r="J114" s="11"/>
      <x:c r="K114" s="11"/>
      <x:c r="L114" s="11"/>
      <x:c r="M114" s="11"/>
      <x:c r="N114" s="2"/>
      <x:c r="O114" s="13" t="str">
        <x:v>CF. </x:v>
      </x:c>
      <x:c r="P114" s="2"/>
    </x:row>
    <x:row r="115" ht="19" customHeight="1">
      <x:c r="A115" s="2"/>
      <x:c r="B115" s="2"/>
      <x:c r="C115" s="2" t="str">
        <x:v>Cash impact: inventories</x:v>
      </x:c>
      <x:c r="D115" s="12" t="n">
        <x:v>-2202.75</x:v>
      </x:c>
      <x:c r="E115" s="12" t="n">
        <x:v>-7517.37</x:v>
      </x:c>
      <x:c r="F115" s="12" t="n">
        <x:v>-7237.3</x:v>
      </x:c>
      <x:c r="G115" s="12" t="n">
        <x:v>138.14</x:v>
      </x:c>
      <x:c r="H115" s="12" t="n">
        <x:v>-18982.98</x:v>
      </x:c>
      <x:c r="I115" s="11"/>
      <x:c r="J115" s="11"/>
      <x:c r="K115" s="11"/>
      <x:c r="L115" s="11"/>
      <x:c r="M115" s="11"/>
      <x:c r="N115" s="2"/>
      <x:c r="O115" s="13" t="str">
        <x:v>CF. </x:v>
      </x:c>
      <x:c r="P115" s="2"/>
    </x:row>
    <x:row r="116" ht="19" customHeight="1">
      <x:c r="A116" s="2"/>
      <x:c r="B116" s="2"/>
      <x:c r="C116" s="2" t="str">
        <x:v>Cash impact: financial assets</x:v>
      </x:c>
      <x:c r="D116" s="12" t="n">
        <x:v>-179.76</x:v>
      </x:c>
      <x:c r="E116" s="12" t="n">
        <x:v>119.84</x:v>
      </x:c>
      <x:c r="F116" s="12" t="n">
        <x:v>-526.48</x:v>
      </x:c>
      <x:c r="G116" s="12" t="n">
        <x:v>-657.53</x:v>
      </x:c>
      <x:c r="H116" s="12" t="n">
        <x:v>-1336.06</x:v>
      </x:c>
      <x:c r="I116" s="11"/>
      <x:c r="J116" s="11"/>
      <x:c r="K116" s="11"/>
      <x:c r="L116" s="11"/>
      <x:c r="M116" s="11"/>
      <x:c r="N116" s="2"/>
      <x:c r="O116" s="13" t="str">
        <x:v>CF. </x:v>
      </x:c>
      <x:c r="P116" s="2"/>
    </x:row>
    <x:row r="117" ht="19" customHeight="1">
      <x:c r="A117" s="2"/>
      <x:c r="B117" s="2"/>
      <x:c r="C117" s="2" t="str">
        <x:v>Cash impact: non-financial / contract assets</x:v>
      </x:c>
      <x:c r="D117" s="12" t="n">
        <x:v>-2595.15</x:v>
      </x:c>
      <x:c r="E117" s="12" t="n">
        <x:v>-2228.97</x:v>
      </x:c>
      <x:c r="F117" s="12" t="n">
        <x:v>-984.9</x:v>
      </x:c>
      <x:c r="G117" s="12" t="n">
        <x:v>2950.7</x:v>
      </x:c>
      <x:c r="H117" s="12" t="n">
        <x:v>-3765.32</x:v>
      </x:c>
      <x:c r="I117" s="11"/>
      <x:c r="J117" s="11"/>
      <x:c r="K117" s="11"/>
      <x:c r="L117" s="11"/>
      <x:c r="M117" s="11"/>
      <x:c r="N117" s="2"/>
      <x:c r="O117" s="13" t="str">
        <x:v>CF. </x:v>
      </x:c>
      <x:c r="P117" s="2"/>
    </x:row>
    <x:row r="118" ht="19" customHeight="1">
      <x:c r="A118" s="2"/>
      <x:c r="B118" s="2"/>
      <x:c r="C118" s="2" t="str">
        <x:v>Cash impact: acceptances</x:v>
      </x:c>
      <x:c r="D118" s="12" t="str">
        <x:v>n.a.</x:v>
      </x:c>
      <x:c r="E118" s="12" t="n">
        <x:v>5893.01</x:v>
      </x:c>
      <x:c r="F118" s="12" t="n">
        <x:v>6362.1</x:v>
      </x:c>
      <x:c r="G118" s="12" t="n">
        <x:v>-5557.29</x:v>
      </x:c>
      <x:c r="H118" s="12" t="n">
        <x:v>29593.82</x:v>
      </x:c>
      <x:c r="I118" s="11"/>
      <x:c r="J118" s="11"/>
      <x:c r="K118" s="11"/>
      <x:c r="L118" s="11"/>
      <x:c r="M118" s="11"/>
      <x:c r="N118" s="2"/>
      <x:c r="O118" s="13" t="str">
        <x:v>CF. FY22 included in trade payables; no separate cash-flow split used.</x:v>
      </x:c>
      <x:c r="P118" s="2"/>
    </x:row>
    <x:row r="119" ht="19" customHeight="1">
      <x:c r="A119" s="2"/>
      <x:c r="B119" s="2"/>
      <x:c r="C119" s="2" t="str">
        <x:v>Cash impact: trade payables</x:v>
      </x:c>
      <x:c r="D119" s="12" t="n">
        <x:v>-281.65</x:v>
      </x:c>
      <x:c r="E119" s="12" t="n">
        <x:v>2086.61</x:v>
      </x:c>
      <x:c r="F119" s="12" t="n">
        <x:v>1776.5</x:v>
      </x:c>
      <x:c r="G119" s="12" t="n">
        <x:v>4531.65</x:v>
      </x:c>
      <x:c r="H119" s="12" t="n">
        <x:v>3683.73</x:v>
      </x:c>
      <x:c r="I119" s="11"/>
      <x:c r="J119" s="11"/>
      <x:c r="K119" s="11"/>
      <x:c r="L119" s="11"/>
      <x:c r="M119" s="11"/>
      <x:c r="N119" s="2"/>
      <x:c r="O119" s="13" t="str">
        <x:v>CF. FY22 includes acceptances; later years exclude them.</x:v>
      </x:c>
      <x:c r="P119" s="2"/>
    </x:row>
    <x:row r="120" ht="19" customHeight="1">
      <x:c r="A120" s="2"/>
      <x:c r="B120" s="2"/>
      <x:c r="C120" s="2" t="str">
        <x:v>Cash impact: financial liabilities</x:v>
      </x:c>
      <x:c r="D120" s="12" t="n">
        <x:v>-957.37</x:v>
      </x:c>
      <x:c r="E120" s="12" t="n">
        <x:v>-38.89</x:v>
      </x:c>
      <x:c r="F120" s="12" t="n">
        <x:v>980.24</x:v>
      </x:c>
      <x:c r="G120" s="12" t="n">
        <x:v>-92.77</x:v>
      </x:c>
      <x:c r="H120" s="12" t="n">
        <x:v>-13.96</x:v>
      </x:c>
      <x:c r="I120" s="11"/>
      <x:c r="J120" s="11"/>
      <x:c r="K120" s="11"/>
      <x:c r="L120" s="11"/>
      <x:c r="M120" s="11"/>
      <x:c r="N120" s="2"/>
      <x:c r="O120" s="13" t="str">
        <x:v>CF. </x:v>
      </x:c>
      <x:c r="P120" s="2"/>
    </x:row>
    <x:row r="121" ht="19" customHeight="1">
      <x:c r="A121" s="2"/>
      <x:c r="B121" s="2"/>
      <x:c r="C121" s="2" t="str">
        <x:v>Cash impact: provisions</x:v>
      </x:c>
      <x:c r="D121" s="12" t="n">
        <x:v>47.82</x:v>
      </x:c>
      <x:c r="E121" s="12" t="n">
        <x:v>234.33</x:v>
      </x:c>
      <x:c r="F121" s="12" t="n">
        <x:v>107.77</x:v>
      </x:c>
      <x:c r="G121" s="12" t="n">
        <x:v>34.51</x:v>
      </x:c>
      <x:c r="H121" s="12" t="n">
        <x:v>833.71</x:v>
      </x:c>
      <x:c r="I121" s="11"/>
      <x:c r="J121" s="11"/>
      <x:c r="K121" s="11"/>
      <x:c r="L121" s="11"/>
      <x:c r="M121" s="11"/>
      <x:c r="N121" s="2"/>
      <x:c r="O121" s="13" t="str">
        <x:v>CF. </x:v>
      </x:c>
      <x:c r="P121" s="2"/>
    </x:row>
    <x:row r="122" ht="19" customHeight="1">
      <x:c r="A122" s="2"/>
      <x:c r="B122" s="2"/>
      <x:c r="C122" s="2" t="str">
        <x:v>Cash impact: non-financial / contract liabilities</x:v>
      </x:c>
      <x:c r="D122" s="12" t="n">
        <x:v>-17.96</x:v>
      </x:c>
      <x:c r="E122" s="12" t="n">
        <x:v>-315.48</x:v>
      </x:c>
      <x:c r="F122" s="12" t="n">
        <x:v>318.38</x:v>
      </x:c>
      <x:c r="G122" s="12" t="n">
        <x:v>-85.93</x:v>
      </x:c>
      <x:c r="H122" s="12" t="n">
        <x:v>9795.55</x:v>
      </x:c>
      <x:c r="I122" s="11"/>
      <x:c r="J122" s="11"/>
      <x:c r="K122" s="11"/>
      <x:c r="L122" s="11"/>
      <x:c r="M122" s="11"/>
      <x:c r="N122" s="2"/>
      <x:c r="O122" s="13" t="str">
        <x:v>CF. </x:v>
      </x:c>
      <x:c r="P122" s="2"/>
    </x:row>
    <x:row r="123" ht="19" customHeight="1">
      <x:c r="A123" s="2"/>
      <x:c r="B123" s="2"/>
      <x:c r="C123" s="2" t="str">
        <x:v>Reported cash generated from operations</x:v>
      </x:c>
      <x:c r="D123" s="12" t="n">
        <x:v>8455.67</x:v>
      </x:c>
      <x:c r="E123" s="12" t="n">
        <x:v>17979.49</x:v>
      </x:c>
      <x:c r="F123" s="12" t="n">
        <x:v>18705.57</x:v>
      </x:c>
      <x:c r="G123" s="12" t="n">
        <x:v>24416.82</x:v>
      </x:c>
      <x:c r="H123" s="12" t="n">
        <x:v>46936.3</x:v>
      </x:c>
      <x:c r="I123" s="11"/>
      <x:c r="J123" s="11"/>
      <x:c r="K123" s="11"/>
      <x:c r="L123" s="11"/>
      <x:c r="M123" s="11"/>
      <x:c r="N123" s="2"/>
      <x:c r="O123" s="13" t="str">
        <x:v>CF. </x:v>
      </x:c>
      <x:c r="P123" s="2"/>
    </x:row>
    <x:row r="124" ht="19" customHeight="1">
      <x:c r="A124" s="2"/>
      <x:c r="B124" s="2"/>
      <x:c r="C124" s="2" t="str">
        <x:v>Income tax paid, net of refunds</x:v>
      </x:c>
      <x:c r="D124" s="12" t="n">
        <x:v>-3339.56</x:v>
      </x:c>
      <x:c r="E124" s="12" t="n">
        <x:v>-3704.28</x:v>
      </x:c>
      <x:c r="F124" s="12" t="n">
        <x:v>-5743.17</x:v>
      </x:c>
      <x:c r="G124" s="12" t="n">
        <x:v>-6331.48</x:v>
      </x:c>
      <x:c r="H124" s="12" t="n">
        <x:v>-8829.63</x:v>
      </x:c>
      <x:c r="I124" s="11"/>
      <x:c r="J124" s="11"/>
      <x:c r="K124" s="11"/>
      <x:c r="L124" s="11"/>
      <x:c r="M124" s="11"/>
      <x:c r="N124" s="2"/>
      <x:c r="O124" s="13" t="str">
        <x:v>CF. </x:v>
      </x:c>
      <x:c r="P124" s="2"/>
    </x:row>
    <x:row r="125" ht="19" customHeight="1">
      <x:c r="A125" s="2"/>
      <x:c r="B125" s="2"/>
      <x:c r="C125" s="2" t="str">
        <x:v>Reported operating cash flow</x:v>
      </x:c>
      <x:c r="D125" s="12" t="n">
        <x:v>5116.11</x:v>
      </x:c>
      <x:c r="E125" s="12" t="n">
        <x:v>14275.21</x:v>
      </x:c>
      <x:c r="F125" s="12" t="n">
        <x:v>12962.4</x:v>
      </x:c>
      <x:c r="G125" s="12" t="n">
        <x:v>18085.34</x:v>
      </x:c>
      <x:c r="H125" s="12" t="n">
        <x:v>38106.67</x:v>
      </x:c>
      <x:c r="I125" s="11"/>
      <x:c r="J125" s="11"/>
      <x:c r="K125" s="11"/>
      <x:c r="L125" s="11"/>
      <x:c r="M125" s="11"/>
      <x:c r="N125" s="2"/>
      <x:c r="O125" s="13" t="str">
        <x:v>CF. </x:v>
      </x:c>
      <x:c r="P125" s="2"/>
    </x:row>
    <x:row r="126" ht="19" customHeight="1">
      <x:c r="A126" s="2"/>
      <x:c r="B126" s="2"/>
      <x:c r="C126" s="2" t="str">
        <x:v>Purchase of PPE, including CWIP</x:v>
      </x:c>
      <x:c r="D126" s="12" t="n">
        <x:v>-5265.23</x:v>
      </x:c>
      <x:c r="E126" s="12" t="n">
        <x:v>-4774.48</x:v>
      </x:c>
      <x:c r="F126" s="12" t="n">
        <x:v>-8529.55</x:v>
      </x:c>
      <x:c r="G126" s="12" t="n">
        <x:v>-9696.34</x:v>
      </x:c>
      <x:c r="H126" s="12" t="n">
        <x:v>-14803.29</x:v>
      </x:c>
      <x:c r="I126" s="11"/>
      <x:c r="J126" s="11"/>
      <x:c r="K126" s="11"/>
      <x:c r="L126" s="11"/>
      <x:c r="M126" s="11"/>
      <x:c r="N126" s="2"/>
      <x:c r="O126" s="13" t="str">
        <x:v>CF. FY24 includes investment property under construction.</x:v>
      </x:c>
      <x:c r="P126" s="2"/>
    </x:row>
    <x:row r="127" ht="19" customHeight="1">
      <x:c r="A127" s="2"/>
      <x:c r="B127" s="2"/>
      <x:c r="C127" s="2" t="str">
        <x:v>Purchase of intangible assets</x:v>
      </x:c>
      <x:c r="D127" s="12" t="n">
        <x:v>-1.7</x:v>
      </x:c>
      <x:c r="E127" s="12" t="n">
        <x:v>-20.05</x:v>
      </x:c>
      <x:c r="F127" s="12" t="n">
        <x:v>-55.64</x:v>
      </x:c>
      <x:c r="G127" s="12" t="n">
        <x:v>-1</x:v>
      </x:c>
      <x:c r="H127" s="12" t="n">
        <x:v>-1.85</x:v>
      </x:c>
      <x:c r="I127" s="11"/>
      <x:c r="J127" s="11"/>
      <x:c r="K127" s="11"/>
      <x:c r="L127" s="11"/>
      <x:c r="M127" s="11"/>
      <x:c r="N127" s="2"/>
      <x:c r="O127" s="13" t="str">
        <x:v>CF. </x:v>
      </x:c>
      <x:c r="P127" s="2"/>
    </x:row>
    <x:row r="128" ht="19" customHeight="1">
      <x:c r="A128" s="2"/>
      <x:c r="B128" s="2"/>
      <x:c r="C128" s="2" t="str">
        <x:v>Separate investment-property purchases</x:v>
      </x:c>
      <x:c r="D128" s="12" t="n">
        <x:v>0</x:v>
      </x:c>
      <x:c r="E128" s="12" t="n">
        <x:v>0</x:v>
      </x:c>
      <x:c r="F128" s="12" t="n">
        <x:v>0</x:v>
      </x:c>
      <x:c r="G128" s="12" t="n">
        <x:v>-27.1</x:v>
      </x:c>
      <x:c r="H128" s="12" t="n">
        <x:v>-92.94</x:v>
      </x:c>
      <x:c r="I128" s="11"/>
      <x:c r="J128" s="11"/>
      <x:c r="K128" s="11"/>
      <x:c r="L128" s="11"/>
      <x:c r="M128" s="11"/>
      <x:c r="N128" s="2"/>
      <x:c r="O128" s="13" t="str">
        <x:v>CF. </x:v>
      </x:c>
      <x:c r="P128" s="2"/>
    </x:row>
    <x:row r="129" ht="19" customHeight="1">
      <x:c r="A129" s="2"/>
      <x:c r="B129" s="2"/>
      <x:c r="C129" s="2" t="str">
        <x:v>Proceeds from PPE disposal</x:v>
      </x:c>
      <x:c r="D129" s="12" t="n">
        <x:v>66.9</x:v>
      </x:c>
      <x:c r="E129" s="12" t="n">
        <x:v>210.35</x:v>
      </x:c>
      <x:c r="F129" s="12" t="n">
        <x:v>5.47</x:v>
      </x:c>
      <x:c r="G129" s="12" t="n">
        <x:v>141.07</x:v>
      </x:c>
      <x:c r="H129" s="12" t="n">
        <x:v>98.74</x:v>
      </x:c>
      <x:c r="I129" s="11"/>
      <x:c r="J129" s="11"/>
      <x:c r="K129" s="11"/>
      <x:c r="L129" s="11"/>
      <x:c r="M129" s="11"/>
      <x:c r="N129" s="2"/>
      <x:c r="O129" s="13" t="str">
        <x:v>CF. </x:v>
      </x:c>
      <x:c r="P129" s="2"/>
    </x:row>
    <x:row r="130" ht="19" customHeight="1">
      <x:c r="A130" s="2"/>
      <x:c r="B130" s="2"/>
      <x:c r="C130" s="2" t="str">
        <x:v>Investment in mutual funds</x:v>
      </x:c>
      <x:c r="D130" s="12" t="n">
        <x:v>-92681.54</x:v>
      </x:c>
      <x:c r="E130" s="12" t="n">
        <x:v>-96467.28</x:v>
      </x:c>
      <x:c r="F130" s="12" t="n">
        <x:v>-127603.5</x:v>
      </x:c>
      <x:c r="G130" s="12" t="n">
        <x:v>-114167.87</x:v>
      </x:c>
      <x:c r="H130" s="12" t="n">
        <x:v>-153974.1</x:v>
      </x:c>
      <x:c r="I130" s="11"/>
      <x:c r="J130" s="11"/>
      <x:c r="K130" s="11"/>
      <x:c r="L130" s="11"/>
      <x:c r="M130" s="11"/>
      <x:c r="N130" s="2"/>
      <x:c r="O130" s="13" t="str">
        <x:v>CF. </x:v>
      </x:c>
      <x:c r="P130" s="2"/>
    </x:row>
    <x:row r="131" ht="19" customHeight="1">
      <x:c r="A131" s="2"/>
      <x:c r="B131" s="2"/>
      <x:c r="C131" s="2" t="str">
        <x:v>Proceeds from sale of mutual funds</x:v>
      </x:c>
      <x:c r="D131" s="12" t="n">
        <x:v>91499.92</x:v>
      </x:c>
      <x:c r="E131" s="12" t="n">
        <x:v>91253.99</x:v>
      </x:c>
      <x:c r="F131" s="12" t="n">
        <x:v>123764.15</x:v>
      </x:c>
      <x:c r="G131" s="12" t="n">
        <x:v>116123.67</x:v>
      </x:c>
      <x:c r="H131" s="12" t="n">
        <x:v>138742.26</x:v>
      </x:c>
      <x:c r="I131" s="11"/>
      <x:c r="J131" s="11"/>
      <x:c r="K131" s="11"/>
      <x:c r="L131" s="11"/>
      <x:c r="M131" s="11"/>
      <x:c r="N131" s="2"/>
      <x:c r="O131" s="13" t="str">
        <x:v>CF. </x:v>
      </x:c>
      <x:c r="P131" s="2"/>
    </x:row>
    <x:row r="132" ht="19" customHeight="1">
      <x:c r="A132" s="2"/>
      <x:c r="B132" s="2"/>
      <x:c r="C132" s="2" t="str">
        <x:v>Bank deposits placed</x:v>
      </x:c>
      <x:c r="D132" s="12" t="n">
        <x:v>-4070.46</x:v>
      </x:c>
      <x:c r="E132" s="12" t="n">
        <x:v>-4942.03</x:v>
      </x:c>
      <x:c r="F132" s="12" t="n">
        <x:v>-2635.12</x:v>
      </x:c>
      <x:c r="G132" s="12" t="n">
        <x:v>-5615.72</x:v>
      </x:c>
      <x:c r="H132" s="12" t="n">
        <x:v>-6371.01</x:v>
      </x:c>
      <x:c r="I132" s="11"/>
      <x:c r="J132" s="11"/>
      <x:c r="K132" s="11"/>
      <x:c r="L132" s="11"/>
      <x:c r="M132" s="11"/>
      <x:c r="N132" s="2"/>
      <x:c r="O132" s="13" t="str">
        <x:v>CF. </x:v>
      </x:c>
      <x:c r="P132" s="2"/>
    </x:row>
    <x:row r="133" ht="19" customHeight="1">
      <x:c r="A133" s="2"/>
      <x:c r="B133" s="2"/>
      <x:c r="C133" s="2" t="str">
        <x:v>Bank deposits matured</x:v>
      </x:c>
      <x:c r="D133" s="12" t="n">
        <x:v>4606.81</x:v>
      </x:c>
      <x:c r="E133" s="12" t="n">
        <x:v>2489.88</x:v>
      </x:c>
      <x:c r="F133" s="12" t="n">
        <x:v>7090.81</x:v>
      </x:c>
      <x:c r="G133" s="12" t="n">
        <x:v>630.9</x:v>
      </x:c>
      <x:c r="H133" s="12" t="n">
        <x:v>7260.74</x:v>
      </x:c>
      <x:c r="I133" s="11"/>
      <x:c r="J133" s="11"/>
      <x:c r="K133" s="11"/>
      <x:c r="L133" s="11"/>
      <x:c r="M133" s="11"/>
      <x:c r="N133" s="2"/>
      <x:c r="O133" s="13" t="str">
        <x:v>CF. </x:v>
      </x:c>
      <x:c r="P133" s="2"/>
    </x:row>
    <x:row r="134" ht="19" customHeight="1">
      <x:c r="A134" s="2"/>
      <x:c r="B134" s="2"/>
      <x:c r="C134" s="2" t="str">
        <x:v>Investment in subsidiary shares</x:v>
      </x:c>
      <x:c r="D134" s="12" t="n">
        <x:v>-117.11</x:v>
      </x:c>
      <x:c r="E134" s="12" t="n">
        <x:v>0</x:v>
      </x:c>
      <x:c r="F134" s="12" t="n">
        <x:v>0</x:v>
      </x:c>
      <x:c r="G134" s="12" t="n">
        <x:v>0</x:v>
      </x:c>
      <x:c r="H134" s="12" t="n">
        <x:v>0</x:v>
      </x:c>
      <x:c r="I134" s="11"/>
      <x:c r="J134" s="11"/>
      <x:c r="K134" s="11"/>
      <x:c r="L134" s="11"/>
      <x:c r="M134" s="11"/>
      <x:c r="N134" s="2"/>
      <x:c r="O134" s="13" t="str">
        <x:v>CF. </x:v>
      </x:c>
      <x:c r="P134" s="2"/>
    </x:row>
    <x:row r="135" ht="19" customHeight="1">
      <x:c r="A135" s="2"/>
      <x:c r="B135" s="2"/>
      <x:c r="C135" s="2" t="str">
        <x:v>Discontinued-operation sale proceeds, net</x:v>
      </x:c>
      <x:c r="D135" s="12" t="n">
        <x:v>1464.85</x:v>
      </x:c>
      <x:c r="E135" s="12" t="n">
        <x:v>0</x:v>
      </x:c>
      <x:c r="F135" s="12" t="n">
        <x:v>0</x:v>
      </x:c>
      <x:c r="G135" s="12" t="n">
        <x:v>0</x:v>
      </x:c>
      <x:c r="H135" s="12" t="n">
        <x:v>0</x:v>
      </x:c>
      <x:c r="I135" s="11"/>
      <x:c r="J135" s="11"/>
      <x:c r="K135" s="11"/>
      <x:c r="L135" s="11"/>
      <x:c r="M135" s="11"/>
      <x:c r="N135" s="2"/>
      <x:c r="O135" s="13" t="str">
        <x:v>CF. </x:v>
      </x:c>
      <x:c r="P135" s="2"/>
    </x:row>
    <x:row r="136" ht="19" customHeight="1">
      <x:c r="A136" s="2"/>
      <x:c r="B136" s="2"/>
      <x:c r="C136" s="2" t="str">
        <x:v>Loans repaid by related parties</x:v>
      </x:c>
      <x:c r="D136" s="12" t="n">
        <x:v>15.21</x:v>
      </x:c>
      <x:c r="E136" s="12" t="n">
        <x:v>0</x:v>
      </x:c>
      <x:c r="F136" s="12" t="n">
        <x:v>0</x:v>
      </x:c>
      <x:c r="G136" s="12" t="n">
        <x:v>0</x:v>
      </x:c>
      <x:c r="H136" s="12" t="n">
        <x:v>0</x:v>
      </x:c>
      <x:c r="I136" s="11"/>
      <x:c r="J136" s="11"/>
      <x:c r="K136" s="11"/>
      <x:c r="L136" s="11"/>
      <x:c r="M136" s="11"/>
      <x:c r="N136" s="2"/>
      <x:c r="O136" s="13" t="str">
        <x:v>CF. </x:v>
      </x:c>
      <x:c r="P136" s="2"/>
    </x:row>
    <x:row r="137" ht="19" customHeight="1">
      <x:c r="A137" s="2"/>
      <x:c r="B137" s="2"/>
      <x:c r="C137" s="2" t="str">
        <x:v>Loans repaid by / (given to) employees</x:v>
      </x:c>
      <x:c r="D137" s="12" t="n">
        <x:v>-0.31</x:v>
      </x:c>
      <x:c r="E137" s="12" t="n">
        <x:v>4.29</x:v>
      </x:c>
      <x:c r="F137" s="12" t="n">
        <x:v>-2.79</x:v>
      </x:c>
      <x:c r="G137" s="12" t="n">
        <x:v>-4.74</x:v>
      </x:c>
      <x:c r="H137" s="12" t="n">
        <x:v>-1.31</x:v>
      </x:c>
      <x:c r="I137" s="11"/>
      <x:c r="J137" s="11"/>
      <x:c r="K137" s="11"/>
      <x:c r="L137" s="11"/>
      <x:c r="M137" s="11"/>
      <x:c r="N137" s="2"/>
      <x:c r="O137" s="13" t="str">
        <x:v>CF. </x:v>
      </x:c>
      <x:c r="P137" s="2"/>
    </x:row>
    <x:row r="138" ht="19" customHeight="1">
      <x:c r="A138" s="2"/>
      <x:c r="B138" s="2"/>
      <x:c r="C138" s="2" t="str">
        <x:v>Loans repaid by / (given to) supplier</x:v>
      </x:c>
      <x:c r="D138" s="12" t="n">
        <x:v>-19.04</x:v>
      </x:c>
      <x:c r="E138" s="12" t="n">
        <x:v>19.04</x:v>
      </x:c>
      <x:c r="F138" s="12" t="n">
        <x:v>0</x:v>
      </x:c>
      <x:c r="G138" s="12" t="n">
        <x:v>0</x:v>
      </x:c>
      <x:c r="H138" s="12" t="n">
        <x:v>0</x:v>
      </x:c>
      <x:c r="I138" s="11"/>
      <x:c r="J138" s="11"/>
      <x:c r="K138" s="11"/>
      <x:c r="L138" s="11"/>
      <x:c r="M138" s="11"/>
      <x:c r="N138" s="2"/>
      <x:c r="O138" s="13" t="str">
        <x:v>CF. </x:v>
      </x:c>
      <x:c r="P138" s="2"/>
    </x:row>
    <x:row r="139" ht="19" customHeight="1">
      <x:c r="A139" s="2"/>
      <x:c r="B139" s="2"/>
      <x:c r="C139" s="2" t="str">
        <x:v>Interest received</x:v>
      </x:c>
      <x:c r="D139" s="12" t="n">
        <x:v>232.19</x:v>
      </x:c>
      <x:c r="E139" s="12" t="n">
        <x:v>199.83</x:v>
      </x:c>
      <x:c r="F139" s="12" t="n">
        <x:v>447.4</x:v>
      </x:c>
      <x:c r="G139" s="12" t="n">
        <x:v>223.99</x:v>
      </x:c>
      <x:c r="H139" s="12" t="n">
        <x:v>645.68</x:v>
      </x:c>
      <x:c r="I139" s="11"/>
      <x:c r="J139" s="11"/>
      <x:c r="K139" s="11"/>
      <x:c r="L139" s="11"/>
      <x:c r="M139" s="11"/>
      <x:c r="N139" s="2"/>
      <x:c r="O139" s="13" t="str">
        <x:v>CF. </x:v>
      </x:c>
      <x:c r="P139" s="2"/>
    </x:row>
    <x:row r="140" ht="19" customHeight="1">
      <x:c r="A140" s="2"/>
      <x:c r="B140" s="2"/>
      <x:c r="C140" s="2" t="str">
        <x:v>Reported investing cash flow</x:v>
      </x:c>
      <x:c r="D140" s="12" t="n">
        <x:v>-4269.51</x:v>
      </x:c>
      <x:c r="E140" s="12" t="n">
        <x:v>-12026.46</x:v>
      </x:c>
      <x:c r="F140" s="12" t="n">
        <x:v>-7518.77</x:v>
      </x:c>
      <x:c r="G140" s="12" t="n">
        <x:v>-12393.14</x:v>
      </x:c>
      <x:c r="H140" s="12" t="n">
        <x:v>-28497.08</x:v>
      </x:c>
      <x:c r="I140" s="11"/>
      <x:c r="J140" s="11"/>
      <x:c r="K140" s="11"/>
      <x:c r="L140" s="11"/>
      <x:c r="M140" s="11"/>
      <x:c r="N140" s="2"/>
      <x:c r="O140" s="13" t="str">
        <x:v>CF. </x:v>
      </x:c>
      <x:c r="P140" s="2"/>
    </x:row>
    <x:row r="141" ht="19" customHeight="1">
      <x:c r="A141" s="2"/>
      <x:c r="B141" s="2"/>
      <x:c r="C141" s="2" t="str">
        <x:v>Proceeds from employee share options</x:v>
      </x:c>
      <x:c r="D141" s="12" t="n">
        <x:v>132.88</x:v>
      </x:c>
      <x:c r="E141" s="12" t="n">
        <x:v>127.65</x:v>
      </x:c>
      <x:c r="F141" s="12" t="n">
        <x:v>193.95</x:v>
      </x:c>
      <x:c r="G141" s="12" t="n">
        <x:v>72.7</x:v>
      </x:c>
      <x:c r="H141" s="12" t="n">
        <x:v>52.56</x:v>
      </x:c>
      <x:c r="I141" s="11"/>
      <x:c r="J141" s="11"/>
      <x:c r="K141" s="11"/>
      <x:c r="L141" s="11"/>
      <x:c r="M141" s="11"/>
      <x:c r="N141" s="2"/>
      <x:c r="O141" s="13" t="str">
        <x:v>CF. </x:v>
      </x:c>
      <x:c r="P141" s="2"/>
    </x:row>
    <x:row r="142" ht="19" customHeight="1">
      <x:c r="A142" s="2"/>
      <x:c r="B142" s="2"/>
      <x:c r="C142" s="2" t="str">
        <x:v>Lease principal paid</x:v>
      </x:c>
      <x:c r="D142" s="12" t="n">
        <x:v>-137.66</x:v>
      </x:c>
      <x:c r="E142" s="12" t="n">
        <x:v>-126.84</x:v>
      </x:c>
      <x:c r="F142" s="12" t="n">
        <x:v>-206.04</x:v>
      </x:c>
      <x:c r="G142" s="12" t="n">
        <x:v>-588.78</x:v>
      </x:c>
      <x:c r="H142" s="12" t="n">
        <x:v>-248.42</x:v>
      </x:c>
      <x:c r="I142" s="11"/>
      <x:c r="J142" s="11"/>
      <x:c r="K142" s="11"/>
      <x:c r="L142" s="11"/>
      <x:c r="M142" s="11"/>
      <x:c r="N142" s="2"/>
      <x:c r="O142" s="13" t="str">
        <x:v>CF. FY25 includes upfront lease payment.</x:v>
      </x:c>
      <x:c r="P142" s="2"/>
    </x:row>
    <x:row r="143" ht="19" customHeight="1">
      <x:c r="A143" s="2"/>
      <x:c r="B143" s="2"/>
      <x:c r="C143" s="2" t="str">
        <x:v>Lease interest paid</x:v>
      </x:c>
      <x:c r="D143" s="12" t="n">
        <x:v>-33.02</x:v>
      </x:c>
      <x:c r="E143" s="12" t="n">
        <x:v>-32.85</x:v>
      </x:c>
      <x:c r="F143" s="12" t="n">
        <x:v>-42.4</x:v>
      </x:c>
      <x:c r="G143" s="12" t="n">
        <x:v>-69.17</x:v>
      </x:c>
      <x:c r="H143" s="12" t="n">
        <x:v>-78.63</x:v>
      </x:c>
      <x:c r="I143" s="11"/>
      <x:c r="J143" s="11"/>
      <x:c r="K143" s="11"/>
      <x:c r="L143" s="11"/>
      <x:c r="M143" s="11"/>
      <x:c r="N143" s="2"/>
      <x:c r="O143" s="13" t="str">
        <x:v>CF. </x:v>
      </x:c>
      <x:c r="P143" s="2"/>
    </x:row>
    <x:row r="144" ht="19" customHeight="1">
      <x:c r="A144" s="2"/>
      <x:c r="B144" s="2"/>
      <x:c r="C144" s="2" t="str">
        <x:v>Repayment of long-term borrowings</x:v>
      </x:c>
      <x:c r="D144" s="12" t="n">
        <x:v>-141.09</x:v>
      </x:c>
      <x:c r="E144" s="12" t="n">
        <x:v>-37.5</x:v>
      </x:c>
      <x:c r="F144" s="12" t="n">
        <x:v>-26.4</x:v>
      </x:c>
      <x:c r="G144" s="12" t="n">
        <x:v>-66.87</x:v>
      </x:c>
      <x:c r="H144" s="12" t="n">
        <x:v>-100.6</x:v>
      </x:c>
      <x:c r="I144" s="11"/>
      <x:c r="J144" s="11"/>
      <x:c r="K144" s="11"/>
      <x:c r="L144" s="11"/>
      <x:c r="M144" s="11"/>
      <x:c r="N144" s="2"/>
      <x:c r="O144" s="13" t="str">
        <x:v>CF. </x:v>
      </x:c>
      <x:c r="P144" s="2"/>
    </x:row>
    <x:row r="145" ht="19" customHeight="1">
      <x:c r="A145" s="2"/>
      <x:c r="B145" s="2"/>
      <x:c r="C145" s="2" t="str">
        <x:v>Proceeds from long-term borrowings</x:v>
      </x:c>
      <x:c r="D145" s="12" t="n">
        <x:v>0</x:v>
      </x:c>
      <x:c r="E145" s="12" t="n">
        <x:v>40.1</x:v>
      </x:c>
      <x:c r="F145" s="12" t="n">
        <x:v>231.75</x:v>
      </x:c>
      <x:c r="G145" s="12" t="n">
        <x:v>310.66</x:v>
      </x:c>
      <x:c r="H145" s="12" t="n">
        <x:v>102.84</x:v>
      </x:c>
      <x:c r="I145" s="11"/>
      <x:c r="J145" s="11"/>
      <x:c r="K145" s="11"/>
      <x:c r="L145" s="11"/>
      <x:c r="M145" s="11"/>
      <x:c r="N145" s="2"/>
      <x:c r="O145" s="13" t="str">
        <x:v>CF. </x:v>
      </x:c>
      <x:c r="P145" s="2"/>
    </x:row>
    <x:row r="146" ht="19" customHeight="1">
      <x:c r="A146" s="2"/>
      <x:c r="B146" s="2"/>
      <x:c r="C146" s="2" t="str">
        <x:v>Net proceeds / (repayment) of short-term debt</x:v>
      </x:c>
      <x:c r="D146" s="12" t="n">
        <x:v>-27.08</x:v>
      </x:c>
      <x:c r="E146" s="12" t="n">
        <x:v>329.07</x:v>
      </x:c>
      <x:c r="F146" s="12" t="n">
        <x:v>-11.09</x:v>
      </x:c>
      <x:c r="G146" s="12" t="n">
        <x:v>254.4</x:v>
      </x:c>
      <x:c r="H146" s="12" t="n">
        <x:v>122.25</x:v>
      </x:c>
      <x:c r="I146" s="11"/>
      <x:c r="J146" s="11"/>
      <x:c r="K146" s="11"/>
      <x:c r="L146" s="11"/>
      <x:c r="M146" s="11"/>
      <x:c r="N146" s="2"/>
      <x:c r="O146" s="13" t="str">
        <x:v>CF. </x:v>
      </x:c>
      <x:c r="P146" s="2"/>
    </x:row>
    <x:row r="147" ht="19" customHeight="1">
      <x:c r="A147" s="2"/>
      <x:c r="B147" s="2"/>
      <x:c r="C147" s="2" t="str">
        <x:v>Interest and other finance costs paid</x:v>
      </x:c>
      <x:c r="D147" s="12" t="n">
        <x:v>-309.33</x:v>
      </x:c>
      <x:c r="E147" s="12" t="n">
        <x:v>-475.86</x:v>
      </x:c>
      <x:c r="F147" s="12" t="n">
        <x:v>-1016.6</x:v>
      </x:c>
      <x:c r="G147" s="12" t="n">
        <x:v>-1684.85</x:v>
      </x:c>
      <x:c r="H147" s="12" t="n">
        <x:v>-2367.69</x:v>
      </x:c>
      <x:c r="I147" s="11"/>
      <x:c r="J147" s="11"/>
      <x:c r="K147" s="11"/>
      <x:c r="L147" s="11"/>
      <x:c r="M147" s="11"/>
      <x:c r="N147" s="2"/>
      <x:c r="O147" s="13" t="str">
        <x:v>CF. </x:v>
      </x:c>
      <x:c r="P147" s="2"/>
    </x:row>
    <x:row r="148" ht="19" customHeight="1">
      <x:c r="A148" s="2"/>
      <x:c r="B148" s="2"/>
      <x:c r="C148" s="2" t="str">
        <x:v>Dividends paid</x:v>
      </x:c>
      <x:c r="D148" s="12" t="n">
        <x:v>-1491.6</x:v>
      </x:c>
      <x:c r="E148" s="12" t="n">
        <x:v>-2094.49</x:v>
      </x:c>
      <x:c r="F148" s="12" t="n">
        <x:v>-2997.3</x:v>
      </x:c>
      <x:c r="G148" s="12" t="n">
        <x:v>-4510.84</x:v>
      </x:c>
      <x:c r="H148" s="12" t="n">
        <x:v>-5472.71</x:v>
      </x:c>
      <x:c r="I148" s="11"/>
      <x:c r="J148" s="11"/>
      <x:c r="K148" s="11"/>
      <x:c r="L148" s="11"/>
      <x:c r="M148" s="11"/>
      <x:c r="N148" s="2"/>
      <x:c r="O148" s="13" t="str">
        <x:v>CF. </x:v>
      </x:c>
      <x:c r="P148" s="2"/>
    </x:row>
    <x:row r="149" ht="19" customHeight="1">
      <x:c r="A149" s="2"/>
      <x:c r="B149" s="2"/>
      <x:c r="C149" s="2" t="str">
        <x:v>Reported financing cash flow</x:v>
      </x:c>
      <x:c r="D149" s="12" t="n">
        <x:v>-2006.9</x:v>
      </x:c>
      <x:c r="E149" s="12" t="n">
        <x:v>-2270.72</x:v>
      </x:c>
      <x:c r="F149" s="12" t="n">
        <x:v>-3874.13</x:v>
      </x:c>
      <x:c r="G149" s="12" t="n">
        <x:v>-6282.75</x:v>
      </x:c>
      <x:c r="H149" s="12" t="n">
        <x:v>-7990.4</x:v>
      </x:c>
      <x:c r="I149" s="11"/>
      <x:c r="J149" s="11"/>
      <x:c r="K149" s="11"/>
      <x:c r="L149" s="11"/>
      <x:c r="M149" s="11"/>
      <x:c r="N149" s="2"/>
      <x:c r="O149" s="13" t="str">
        <x:v>CF. </x:v>
      </x:c>
      <x:c r="P149" s="2"/>
    </x:row>
    <x:row r="150" ht="19" customHeight="1">
      <x:c r="A150" s="2"/>
      <x:c r="B150" s="2"/>
      <x:c r="C150" s="2" t="str">
        <x:v>Reported change in cash, net of cash credit</x:v>
      </x:c>
      <x:c r="D150" s="12" t="n">
        <x:v>-1160.3</x:v>
      </x:c>
      <x:c r="E150" s="12" t="n">
        <x:v>-21.97</x:v>
      </x:c>
      <x:c r="F150" s="12" t="n">
        <x:v>1569.5</x:v>
      </x:c>
      <x:c r="G150" s="12" t="n">
        <x:v>-590.55</x:v>
      </x:c>
      <x:c r="H150" s="12" t="n">
        <x:v>1619.19</x:v>
      </x:c>
      <x:c r="I150" s="11"/>
      <x:c r="J150" s="11"/>
      <x:c r="K150" s="11"/>
      <x:c r="L150" s="11"/>
      <x:c r="M150" s="11"/>
      <x:c r="N150" s="2"/>
      <x:c r="O150" s="13" t="str">
        <x:v>CF. </x:v>
      </x:c>
      <x:c r="P150" s="2"/>
    </x:row>
    <x:row r="151" ht="19" customHeight="1">
      <x:c r="A151" s="2"/>
      <x:c r="B151" s="2"/>
      <x:c r="C151" s="2" t="str">
        <x:v>Opening cash, net of cash credit</x:v>
      </x:c>
      <x:c r="D151" s="12" t="n">
        <x:v>2377.19</x:v>
      </x:c>
      <x:c r="E151" s="12" t="n">
        <x:v>1216.89</x:v>
      </x:c>
      <x:c r="F151" s="12" t="n">
        <x:v>1194.92</x:v>
      </x:c>
      <x:c r="G151" s="12" t="n">
        <x:v>2764.42</x:v>
      </x:c>
      <x:c r="H151" s="12" t="n">
        <x:v>2173.87</x:v>
      </x:c>
      <x:c r="I151" s="11"/>
      <x:c r="J151" s="11"/>
      <x:c r="K151" s="11"/>
      <x:c r="L151" s="11"/>
      <x:c r="M151" s="11"/>
      <x:c r="N151" s="2"/>
      <x:c r="O151" s="13" t="str">
        <x:v>CF. </x:v>
      </x:c>
      <x:c r="P151" s="2"/>
    </x:row>
    <x:row r="152" ht="19" customHeight="1">
      <x:c r="A152" s="2"/>
      <x:c r="B152" s="2"/>
      <x:c r="C152" s="2" t="str">
        <x:v>Closing cash, net of cash credit</x:v>
      </x:c>
      <x:c r="D152" s="12" t="n">
        <x:v>1216.89</x:v>
      </x:c>
      <x:c r="E152" s="12" t="n">
        <x:v>1194.92</x:v>
      </x:c>
      <x:c r="F152" s="12" t="n">
        <x:v>2764.42</x:v>
      </x:c>
      <x:c r="G152" s="12" t="n">
        <x:v>2173.87</x:v>
      </x:c>
      <x:c r="H152" s="12" t="n">
        <x:v>3793.06</x:v>
      </x:c>
      <x:c r="I152" s="11"/>
      <x:c r="J152" s="11"/>
      <x:c r="K152" s="11"/>
      <x:c r="L152" s="11"/>
      <x:c r="M152" s="11"/>
      <x:c r="N152" s="2"/>
      <x:c r="O152" s="13" t="str">
        <x:v>CF. </x:v>
      </x:c>
      <x:c r="P152" s="2"/>
    </x:row>
    <x:row r="153" ht="19" customHeight="1">
      <x:c r="A153" s="2"/>
      <x:c r="B153" s="2"/>
      <x:c r="C153" s="2" t="str">
        <x:v>Cash credit deducted in cash-flow cash</x:v>
      </x:c>
      <x:c r="D153" s="12" t="n">
        <x:v>0.02</x:v>
      </x:c>
      <x:c r="E153" s="12" t="n">
        <x:v>332.6</x:v>
      </x:c>
      <x:c r="F153" s="12" t="n">
        <x:v>305.89</x:v>
      </x:c>
      <x:c r="G153" s="12" t="n">
        <x:v>0</x:v>
      </x:c>
      <x:c r="H153" s="12" t="n">
        <x:v>110.37</x:v>
      </x:c>
      <x:c r="I153" s="11"/>
      <x:c r="J153" s="11"/>
      <x:c r="K153" s="11"/>
      <x:c r="L153" s="11"/>
      <x:c r="M153" s="11"/>
      <x:c r="N153" s="2"/>
      <x:c r="O153" s="13" t="str">
        <x:v>CF. </x:v>
      </x:c>
      <x:c r="P153" s="2"/>
    </x:row>
    <x:row r="154" ht="19" customHeight="1">
      <x:c r="A154" s="2"/>
      <x:c r="B154" s="2"/>
      <x:c r="C154" s="2" t="str">
        <x:v>Share-based compensation, cash-flow add-back</x:v>
      </x:c>
      <x:c r="D154" s="12" t="n">
        <x:v>161.16</x:v>
      </x:c>
      <x:c r="E154" s="12" t="n">
        <x:v>107.61</x:v>
      </x:c>
      <x:c r="F154" s="12" t="n">
        <x:v>564.24</x:v>
      </x:c>
      <x:c r="G154" s="12" t="n">
        <x:v>687</x:v>
      </x:c>
      <x:c r="H154" s="12" t="n">
        <x:v>304.87</x:v>
      </x:c>
      <x:c r="I154" s="11"/>
      <x:c r="J154" s="11"/>
      <x:c r="K154" s="11"/>
      <x:c r="L154" s="11"/>
      <x:c r="M154" s="11"/>
      <x:c r="N154" s="2"/>
      <x:c r="O154" s="13" t="str">
        <x:v>CF. </x:v>
      </x:c>
      <x:c r="P154" s="2"/>
    </x:row>
    <x:row r="155" ht="19" customHeight="1">
      <x:c r="A155" s="2"/>
      <x:c r="B155" s="2"/>
      <x:c r="C155" s="2" t="str">
        <x:v>PPE acquired through government grants</x:v>
      </x:c>
      <x:c r="D155" s="12" t="n">
        <x:v>57.07</x:v>
      </x:c>
      <x:c r="E155" s="12" t="n">
        <x:v>129.18</x:v>
      </x:c>
      <x:c r="F155" s="12" t="n">
        <x:v>453.5</x:v>
      </x:c>
      <x:c r="G155" s="12" t="n">
        <x:v>673.05</x:v>
      </x:c>
      <x:c r="H155" s="12" t="n">
        <x:v>1163.61</x:v>
      </x:c>
      <x:c r="I155" s="11"/>
      <x:c r="J155" s="11"/>
      <x:c r="K155" s="11"/>
      <x:c r="L155" s="11"/>
      <x:c r="M155" s="11"/>
      <x:c r="N155" s="2"/>
      <x:c r="O155" s="13" t="str">
        <x:v>CF. </x:v>
      </x:c>
      <x:c r="P155" s="2"/>
    </x:row>
    <x:row r="156" ht="19" customHeight="1">
      <x:c r="A156" s="2"/>
      <x:c r="B156" s="2"/>
      <x:c r="C156" s="2" t="str">
        <x:v>Non-cash right-of-use asset additions</x:v>
      </x:c>
      <x:c r="D156" s="12" t="n">
        <x:v>194.23</x:v>
      </x:c>
      <x:c r="E156" s="12" t="n">
        <x:v>173.44</x:v>
      </x:c>
      <x:c r="F156" s="12" t="n">
        <x:v>572.56</x:v>
      </x:c>
      <x:c r="G156" s="12" t="n">
        <x:v>899.01</x:v>
      </x:c>
      <x:c r="H156" s="12" t="n">
        <x:v>429.11</x:v>
      </x:c>
      <x:c r="I156" s="11"/>
      <x:c r="J156" s="11"/>
      <x:c r="K156" s="11"/>
      <x:c r="L156" s="11"/>
      <x:c r="M156" s="11"/>
      <x:c r="N156" s="2"/>
      <x:c r="O156" s="13" t="str">
        <x:v>CF. </x:v>
      </x:c>
      <x:c r="P156" s="2"/>
    </x:row>
    <x:row r="157" ht="23" customHeight="1">
      <x:c r="A157" s="2"/>
      <x:c r="B157" s="2"/>
      <x:c r="C157" s="10" t="str">
        <x:v>SUPPLEMENTAL DISCLOSURES</x:v>
      </x:c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2"/>
      <x:c r="O157" s="2"/>
      <x:c r="P157" s="2"/>
    </x:row>
    <x:row r="158" ht="19" customHeight="1">
      <x:c r="A158" s="2"/>
      <x:c r="B158" s="2"/>
      <x:c r="C158" s="2" t="str">
        <x:v>Reported capex, net of disposals</x:v>
      </x:c>
      <x:c r="D158" s="12" t="n">
        <x:v>5200.03</x:v>
      </x:c>
      <x:c r="E158" s="12" t="n">
        <x:v>4584.18</x:v>
      </x:c>
      <x:c r="F158" s="12" t="n">
        <x:v>8579.73</x:v>
      </x:c>
      <x:c r="G158" s="12" t="n">
        <x:v>9583.35</x:v>
      </x:c>
      <x:c r="H158" s="12" t="n">
        <x:v>14799.34</x:v>
      </x:c>
      <x:c r="I158" s="11"/>
      <x:c r="J158" s="11"/>
      <x:c r="K158" s="11"/>
      <x:c r="L158" s="11"/>
      <x:c r="M158" s="11"/>
      <x:c r="N158" s="2"/>
      <x:c r="O158" s="13" t="str">
        <x:v>KPI. Segment assets acquired, net of disposals. Cash gross capex less sale proceeds reconciles.</x:v>
      </x:c>
      <x:c r="P158" s="2"/>
    </x:row>
    <x:row r="159" ht="19" customHeight="1">
      <x:c r="A159" s="2"/>
      <x:c r="B159" s="2"/>
      <x:c r="C159" s="2" t="str">
        <x:v>Unallocated finance income</x:v>
      </x:c>
      <x:c r="D159" s="12" t="n">
        <x:v>496.92</x:v>
      </x:c>
      <x:c r="E159" s="12" t="n">
        <x:v>946.21</x:v>
      </x:c>
      <x:c r="F159" s="12" t="n">
        <x:v>1211.06</x:v>
      </x:c>
      <x:c r="G159" s="12" t="n">
        <x:v>1550.65</x:v>
      </x:c>
      <x:c r="H159" s="12" t="n">
        <x:v>2053.39</x:v>
      </x:c>
      <x:c r="I159" s="11"/>
      <x:c r="J159" s="11"/>
      <x:c r="K159" s="11"/>
      <x:c r="L159" s="11"/>
      <x:c r="M159" s="11"/>
      <x:c r="N159" s="2"/>
      <x:c r="O159" s="13" t="str">
        <x:v>KPI. </x:v>
      </x:c>
      <x:c r="P159" s="2"/>
    </x:row>
    <x:row r="160" ht="19" customHeight="1">
      <x:c r="A160" s="2"/>
      <x:c r="B160" s="2"/>
      <x:c r="C160" s="2" t="str">
        <x:v>Published EBITDA (rounded)</x:v>
      </x:c>
      <x:c r="D160" s="12" t="n">
        <x:v>12626</x:v>
      </x:c>
      <x:c r="E160" s="12" t="n">
        <x:v>18429</x:v>
      </x:c>
      <x:c r="F160" s="12" t="n">
        <x:v>24918</x:v>
      </x:c>
      <x:c r="G160" s="12" t="n">
        <x:v>29602</x:v>
      </x:c>
      <x:c r="H160" s="12" t="n">
        <x:v>40057</x:v>
      </x:c>
      <x:c r="I160" s="11"/>
      <x:c r="J160" s="11"/>
      <x:c r="K160" s="11"/>
      <x:c r="L160" s="11"/>
      <x:c r="M160" s="11"/>
      <x:c r="N160" s="2"/>
      <x:c r="O160" s="13" t="str">
        <x:v>KPI. Definition includes JV loss in FY22/FY23; excludes other income.</x:v>
      </x:c>
      <x:c r="P160" s="2"/>
    </x:row>
    <x:row r="161" ht="19" customHeight="1">
      <x:c r="A161" s="2"/>
      <x:c r="B161" s="2"/>
      <x:c r="C161" s="2" t="str">
        <x:v>Dividend per share for financial year (INR)</x:v>
      </x:c>
      <x:c r="D161" s="12" t="n">
        <x:v>14</x:v>
      </x:c>
      <x:c r="E161" s="12" t="n">
        <x:v>20</x:v>
      </x:c>
      <x:c r="F161" s="12" t="n">
        <x:v>30</x:v>
      </x:c>
      <x:c r="G161" s="12" t="n">
        <x:v>35</x:v>
      </x:c>
      <x:c r="H161" s="12" t="n">
        <x:v>47</x:v>
      </x:c>
      <x:c r="I161" s="11"/>
      <x:c r="J161" s="11"/>
      <x:c r="K161" s="11"/>
      <x:c r="L161" s="11"/>
      <x:c r="M161" s="11"/>
      <x:c r="N161" s="2"/>
      <x:c r="O161" s="13" t="str">
        <x:v>KPI. FY26 recommended dividend; cash payment occurs in following year.</x:v>
      </x:c>
      <x:c r="P161" s="2"/>
    </x:row>
    <x:row r="162" ht="19" customHeight="1">
      <x:c r="A162" s="2"/>
      <x:c r="B162" s="2"/>
      <x:c r="C162" s="2" t="str">
        <x:v>Company receivable days, closing</x:v>
      </x:c>
      <x:c r="D162" s="12" t="n">
        <x:v>39</x:v>
      </x:c>
      <x:c r="E162" s="12" t="n">
        <x:v>32</x:v>
      </x:c>
      <x:c r="F162" s="12" t="n">
        <x:v>41</x:v>
      </x:c>
      <x:c r="G162" s="12" t="n">
        <x:v>42</x:v>
      </x:c>
      <x:c r="H162" s="12" t="n">
        <x:v>47</x:v>
      </x:c>
      <x:c r="I162" s="11"/>
      <x:c r="J162" s="11"/>
      <x:c r="K162" s="11"/>
      <x:c r="L162" s="11"/>
      <x:c r="M162" s="11"/>
      <x:c r="N162" s="2"/>
      <x:c r="O162" s="13" t="str">
        <x:v>KPI. </x:v>
      </x:c>
      <x:c r="P162" s="2"/>
    </x:row>
    <x:row r="163" ht="19" customHeight="1">
      <x:c r="A163" s="2"/>
      <x:c r="B163" s="2"/>
      <x:c r="C163" s="2" t="str">
        <x:v>Company inventory days, closing</x:v>
      </x:c>
      <x:c r="D163" s="12" t="n">
        <x:v>85</x:v>
      </x:c>
      <x:c r="E163" s="12" t="n">
        <x:v>102</x:v>
      </x:c>
      <x:c r="F163" s="12" t="n">
        <x:v>101</x:v>
      </x:c>
      <x:c r="G163" s="12" t="n">
        <x:v>79</x:v>
      </x:c>
      <x:c r="H163" s="12" t="n">
        <x:v>94</x:v>
      </x:c>
      <x:c r="I163" s="11"/>
      <x:c r="J163" s="11"/>
      <x:c r="K163" s="11"/>
      <x:c r="L163" s="11"/>
      <x:c r="M163" s="11"/>
      <x:c r="N163" s="2"/>
      <x:c r="O163" s="13" t="str">
        <x:v>KPI. </x:v>
      </x:c>
      <x:c r="P163" s="2"/>
    </x:row>
    <x:row r="164" ht="19" customHeight="1">
      <x:c r="A164" s="2"/>
      <x:c r="B164" s="2"/>
      <x:c r="C164" s="2" t="str">
        <x:v>Company payable days, closing</x:v>
      </x:c>
      <x:c r="D164" s="12" t="n">
        <x:v>63</x:v>
      </x:c>
      <x:c r="E164" s="12" t="n">
        <x:v>85</x:v>
      </x:c>
      <x:c r="F164" s="12" t="n">
        <x:v>94</x:v>
      </x:c>
      <x:c r="G164" s="12" t="n">
        <x:v>72</x:v>
      </x:c>
      <x:c r="H164" s="12" t="n">
        <x:v>130</x:v>
      </x:c>
      <x:c r="I164" s="11"/>
      <x:c r="J164" s="11"/>
      <x:c r="K164" s="11"/>
      <x:c r="L164" s="11"/>
      <x:c r="M164" s="11"/>
      <x:c r="N164" s="2"/>
      <x:c r="O164" s="13" t="str">
        <x:v>KPI. </x:v>
      </x:c>
      <x:c r="P164" s="2"/>
    </x:row>
    <x:row r="165" ht="19" customHeight="1">
      <x:c r="A165" s="2"/>
      <x:c r="B165" s="2"/>
      <x:c r="C165" s="2" t="str">
        <x:v>Company net cash-cycle days, closing</x:v>
      </x:c>
      <x:c r="D165" s="12" t="n">
        <x:v>61</x:v>
      </x:c>
      <x:c r="E165" s="12" t="n">
        <x:v>50</x:v>
      </x:c>
      <x:c r="F165" s="12" t="n">
        <x:v>48</x:v>
      </x:c>
      <x:c r="G165" s="12" t="n">
        <x:v>49</x:v>
      </x:c>
      <x:c r="H165" s="12" t="n">
        <x:v>11</x:v>
      </x:c>
      <x:c r="I165" s="11"/>
      <x:c r="J165" s="11"/>
      <x:c r="K165" s="11"/>
      <x:c r="L165" s="11"/>
      <x:c r="M165" s="11"/>
      <x:c r="N165" s="2"/>
      <x:c r="O165" s="13" t="str">
        <x:v>KPI. FY26 AR Key Ratios used consistently. FY25 comparatives in Q4FY26 presentation differ.</x:v>
      </x:c>
      <x:c r="P165" s="2"/>
    </x:row>
    <x:row r="166" ht="19" customHeight="1">
      <x:c r="A166" s="2"/>
      <x:c r="B166" s="2"/>
      <x:c r="C166" s="2" t="str">
        <x:v>Company ROCE</x:v>
      </x:c>
      <x:c r="D166" s="12" t="n">
        <x:v>0.204</x:v>
      </x:c>
      <x:c r="E166" s="12" t="n">
        <x:v>0.257</x:v>
      </x:c>
      <x:c r="F166" s="12" t="n">
        <x:v>0.296</x:v>
      </x:c>
      <x:c r="G166" s="12" t="n">
        <x:v>0.287</x:v>
      </x:c>
      <x:c r="H166" s="12" t="n">
        <x:v>0.313</x:v>
      </x:c>
      <x:c r="I166" s="11"/>
      <x:c r="J166" s="11"/>
      <x:c r="K166" s="11"/>
      <x:c r="L166" s="11"/>
      <x:c r="M166" s="11"/>
      <x:c r="N166" s="2"/>
      <x:c r="O166" s="13" t="str">
        <x:v>KPI. </x:v>
      </x:c>
      <x:c r="P166" s="2"/>
    </x:row>
    <x:row r="167" ht="19" customHeight="1">
      <x:c r="A167" s="2"/>
      <x:c r="B167" s="2"/>
      <x:c r="C167" s="2" t="str">
        <x:v>Company ROE</x:v>
      </x:c>
      <x:c r="D167" s="12" t="n">
        <x:v>0.177</x:v>
      </x:c>
      <x:c r="E167" s="12" t="n">
        <x:v>0.21</x:v>
      </x:c>
      <x:c r="F167" s="12" t="n">
        <x:v>0.242</x:v>
      </x:c>
      <x:c r="G167" s="12" t="n">
        <x:v>0.225</x:v>
      </x:c>
      <x:c r="H167" s="12" t="n">
        <x:v>0.246</x:v>
      </x:c>
      <x:c r="I167" s="11"/>
      <x:c r="J167" s="11"/>
      <x:c r="K167" s="11"/>
      <x:c r="L167" s="11"/>
      <x:c r="M167" s="11"/>
      <x:c r="N167" s="2"/>
      <x:c r="O167" s="13" t="str">
        <x:v>KPI. </x:v>
      </x:c>
      <x:c r="P167" s="2"/>
    </x:row>
    <x:row r="168" ht="19" customHeight="1">
      <x:c r="A168" s="2"/>
      <x:c r="B168" s="2"/>
      <x:c r="C168" s="2" t="str">
        <x:v>Company net cash (rounded)</x:v>
      </x:c>
      <x:c r="D168" s="12" t="str">
        <x:v>&gt;11,000</x:v>
      </x:c>
      <x:c r="E168" s="12" t="n">
        <x:v>18912</x:v>
      </x:c>
      <x:c r="F168" s="12" t="n">
        <x:v>21408</x:v>
      </x:c>
      <x:c r="G168" s="12" t="n">
        <x:v>24572</x:v>
      </x:c>
      <x:c r="H168" s="12" t="n">
        <x:v>41940</x:v>
      </x:c>
      <x:c r="I168" s="11"/>
      <x:c r="J168" s="11"/>
      <x:c r="K168" s="11"/>
      <x:c r="L168" s="11"/>
      <x:c r="M168" s="11"/>
      <x:c r="N168" s="2"/>
      <x:c r="O168" s="13" t="str">
        <x:v>KPI. Net cash = cash + bank + current investments + non-current deposits - borrowings.</x:v>
      </x:c>
      <x:c r="P168" s="2"/>
    </x:row>
    <x:row r="169" ht="19" customHeight="1">
      <x:c r="A169" s="2"/>
      <x:c r="B169" s="2"/>
      <x:c r="C169" s="2" t="str">
        <x:v>Non-current deposits used in net cash</x:v>
      </x:c>
      <x:c r="D169" s="12" t="n">
        <x:v>126.23</x:v>
      </x:c>
      <x:c r="E169" s="12" t="n">
        <x:v>6.43</x:v>
      </x:c>
      <x:c r="F169" s="12" t="n">
        <x:v>58.34</x:v>
      </x:c>
      <x:c r="G169" s="12" t="n">
        <x:v>465.04</x:v>
      </x:c>
      <x:c r="H169" s="12" t="n">
        <x:v>392.09</x:v>
      </x:c>
      <x:c r="I169" s="11"/>
      <x:c r="J169" s="11"/>
      <x:c r="K169" s="11"/>
      <x:c r="L169" s="11"/>
      <x:c r="M169" s="11"/>
      <x:c r="N169" s="2"/>
      <x:c r="O169" s="13" t="str">
        <x:v>KPI. Derived from segment unallocated cash/bank less current cash/bank.</x:v>
      </x:c>
      <x:c r="P169" s="2"/>
    </x:row>
    <x:row r="170" ht="19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</x:row>
    <x:row r="171" ht="19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</x:row>
    <x:row r="172" ht="23" customHeight="1">
      <x:c r="A172" s="2"/>
      <x:c r="B172" s="2"/>
      <x:c r="C172" s="10" t="str">
        <x:v>RECONCILIATIONS</x:v>
      </x:c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2"/>
      <x:c r="O172" s="2"/>
      <x:c r="P172" s="2"/>
    </x:row>
    <x:row r="173" ht="19" customHeight="1">
      <x:c r="A173" s="2"/>
      <x:c r="B173" s="2"/>
      <x:c r="C173" s="2" t="str">
        <x:v>P&amp;L: calculated PBT less reported</x:v>
      </x:c>
      <x:c r="D173" s="92" t="n">
        <x:f>D20-D54</x:f>
        <x:v>-9.094947017729282e-12</x:v>
      </x:c>
      <x:c r="E173" s="92" t="n">
        <x:f>E20-E54</x:f>
        <x:v>3.637978807091713e-12</x:v>
      </x:c>
      <x:c r="F173" s="92" t="n">
        <x:f>F20-F54</x:f>
        <x:v>-7.275957614183426e-12</x:v>
      </x:c>
      <x:c r="G173" s="92" t="n">
        <x:f>G20-G54</x:f>
        <x:v>1.8189894035458565e-11</x:v>
      </x:c>
      <x:c r="H173" s="92" t="n">
        <x:f>H20-H54</x:f>
        <x:v>-5.093170329928398e-11</x:v>
      </x:c>
      <x:c r="I173" s="92"/>
      <x:c r="J173" s="92"/>
      <x:c r="K173" s="92"/>
      <x:c r="L173" s="92"/>
      <x:c r="M173" s="92"/>
      <x:c r="N173" s="2"/>
      <x:c r="O173" s="13" t="str">
        <x:v>Differences shown to 0.01. Tolerance INR0.10m for source rounding. EBITDA rounded control tolerance is INR1m.</x:v>
      </x:c>
      <x:c r="P173" s="2"/>
    </x:row>
    <x:row r="174" ht="19" customHeight="1">
      <x:c r="A174" s="2"/>
      <x:c r="B174" s="2"/>
      <x:c r="C174" s="2" t="str">
        <x:v>PAT: calculated less reported</x:v>
      </x:c>
      <x:c r="D174" s="92" t="n">
        <x:f>D24-D59</x:f>
        <x:v>0</x:v>
      </x:c>
      <x:c r="E174" s="92" t="n">
        <x:f>E24-E59</x:f>
        <x:v>0</x:v>
      </x:c>
      <x:c r="F174" s="92" t="n">
        <x:f>F24-F59</x:f>
        <x:v>0</x:v>
      </x:c>
      <x:c r="G174" s="92" t="n">
        <x:f>G24-G59</x:f>
        <x:v>3.637978807091713e-12</x:v>
      </x:c>
      <x:c r="H174" s="92" t="n">
        <x:f>H24-H59</x:f>
        <x:v>0</x:v>
      </x:c>
      <x:c r="I174" s="92"/>
      <x:c r="J174" s="92"/>
      <x:c r="K174" s="92"/>
      <x:c r="L174" s="92"/>
      <x:c r="M174" s="92"/>
      <x:c r="N174" s="2"/>
      <x:c r="O174" s="2"/>
      <x:c r="P174" s="2"/>
    </x:row>
    <x:row r="175" ht="19" customHeight="1">
      <x:c r="A175" s="2"/>
      <x:c r="B175" s="2"/>
      <x:c r="C175" s="2" t="str">
        <x:v>Non-current assets: detail less reported</x:v>
      </x:c>
      <x:c r="D175" s="92" t="n">
        <x:f>SUM(D68:D79)-D80</x:f>
        <x:v>3.637978807091713e-12</x:v>
      </x:c>
      <x:c r="E175" s="92" t="n">
        <x:f>SUM(E68:E79)-E80</x:f>
        <x:v>-3.637978807091713e-12</x:v>
      </x:c>
      <x:c r="F175" s="92" t="n">
        <x:f>SUM(F68:F79)-F80</x:f>
        <x:v>-7.275957614183426e-12</x:v>
      </x:c>
      <x:c r="G175" s="92" t="n">
        <x:f>SUM(G68:G79)-G80</x:f>
        <x:v>0</x:v>
      </x:c>
      <x:c r="H175" s="92" t="n">
        <x:f>SUM(H68:H79)-H80</x:f>
        <x:v>-7.275957614183426e-12</x:v>
      </x:c>
      <x:c r="I175" s="92"/>
      <x:c r="J175" s="92"/>
      <x:c r="K175" s="92"/>
      <x:c r="L175" s="92"/>
      <x:c r="M175" s="92"/>
      <x:c r="N175" s="2"/>
      <x:c r="O175" s="2"/>
      <x:c r="P175" s="2"/>
    </x:row>
    <x:row r="176" ht="19" customHeight="1">
      <x:c r="A176" s="2"/>
      <x:c r="B176" s="2"/>
      <x:c r="C176" s="2" t="str">
        <x:v>Current assets: detail less reported</x:v>
      </x:c>
      <x:c r="D176" s="92" t="n">
        <x:f>SUM(D81:D88)-D89</x:f>
        <x:v>7.275957614183426e-12</x:v>
      </x:c>
      <x:c r="E176" s="92" t="n">
        <x:f>SUM(E81:E88)-E89</x:f>
        <x:v>-1.4551915228366852e-11</x:v>
      </x:c>
      <x:c r="F176" s="92" t="n">
        <x:f>SUM(F81:F88)-F89</x:f>
        <x:v>0</x:v>
      </x:c>
      <x:c r="G176" s="92" t="n">
        <x:f>SUM(G81:G88)-G89</x:f>
        <x:v>0</x:v>
      </x:c>
      <x:c r="H176" s="92" t="n">
        <x:f>SUM(H81:H88)-H89</x:f>
        <x:v>-2.9103830456733704e-11</x:v>
      </x:c>
      <x:c r="I176" s="92"/>
      <x:c r="J176" s="92"/>
      <x:c r="K176" s="92"/>
      <x:c r="L176" s="92"/>
      <x:c r="M176" s="92"/>
      <x:c r="N176" s="2"/>
      <x:c r="O176" s="2"/>
      <x:c r="P176" s="2"/>
    </x:row>
    <x:row r="177" ht="19" customHeight="1">
      <x:c r="A177" s="2"/>
      <x:c r="B177" s="2"/>
      <x:c r="C177" s="2" t="str">
        <x:v>Balance sheet: assets less equity/liabilities</x:v>
      </x:c>
      <x:c r="D177" s="92" t="n">
        <x:f>D91-SUM(D92:D94)-D101-D111</x:f>
        <x:v>-3.637978807091713e-12</x:v>
      </x:c>
      <x:c r="E177" s="92" t="n">
        <x:f>E91-SUM(E92:E94)-E101-E111</x:f>
        <x:v>0</x:v>
      </x:c>
      <x:c r="F177" s="92" t="n">
        <x:f>F91-SUM(F92:F94)-F101-F111</x:f>
        <x:v>-7.275957614183426e-12</x:v>
      </x:c>
      <x:c r="G177" s="92" t="n">
        <x:f>G91-SUM(G92:G94)-G101-G111</x:f>
        <x:v>1.4551915228366852e-11</x:v>
      </x:c>
      <x:c r="H177" s="92" t="n">
        <x:f>H91-SUM(H92:H94)-H101-H111</x:f>
        <x:v>0</x:v>
      </x:c>
      <x:c r="I177" s="92"/>
      <x:c r="J177" s="92"/>
      <x:c r="K177" s="92"/>
      <x:c r="L177" s="92"/>
      <x:c r="M177" s="92"/>
      <x:c r="N177" s="2"/>
      <x:c r="O177" s="2"/>
      <x:c r="P177" s="2"/>
    </x:row>
    <x:row r="178" ht="19" customHeight="1">
      <x:c r="A178" s="2"/>
      <x:c r="B178" s="2"/>
      <x:c r="C178" s="2" t="str">
        <x:v>Non-current liabilities: detail less reported</x:v>
      </x:c>
      <x:c r="D178" s="92" t="n">
        <x:f>SUM(D95:D100)-D101</x:f>
        <x:v>-1.1368683772161603e-13</x:v>
      </x:c>
      <x:c r="E178" s="92" t="n">
        <x:f>SUM(E95:E100)-E101</x:f>
        <x:v>2.2737367544323206e-13</x:v>
      </x:c>
      <x:c r="F178" s="92" t="n">
        <x:f>SUM(F95:F100)-F101</x:f>
        <x:v>0</x:v>
      </x:c>
      <x:c r="G178" s="92" t="n">
        <x:f>SUM(G95:G100)-G101</x:f>
        <x:v>0</x:v>
      </x:c>
      <x:c r="H178" s="92" t="n">
        <x:f>SUM(H95:H100)-H101</x:f>
        <x:v>4.547473508864641e-13</x:v>
      </x:c>
      <x:c r="I178" s="92"/>
      <x:c r="J178" s="92"/>
      <x:c r="K178" s="92"/>
      <x:c r="L178" s="92"/>
      <x:c r="M178" s="92"/>
      <x:c r="N178" s="2"/>
      <x:c r="O178" s="2"/>
      <x:c r="P178" s="2"/>
    </x:row>
    <x:row r="179" ht="19" customHeight="1">
      <x:c r="A179" s="2"/>
      <x:c r="B179" s="2"/>
      <x:c r="C179" s="2" t="str">
        <x:v>Current liabilities: detail less reported</x:v>
      </x:c>
      <x:c r="D179" s="92" t="n">
        <x:f>SUM(D102:D110)-D111</x:f>
        <x:v>0</x:v>
      </x:c>
      <x:c r="E179" s="92" t="n">
        <x:f>SUM(E102:E110)-E111</x:f>
        <x:v>-3.637978807091713e-12</x:v>
      </x:c>
      <x:c r="F179" s="92" t="n">
        <x:f>SUM(F102:F110)-F111</x:f>
        <x:v>7.275957614183426e-12</x:v>
      </x:c>
      <x:c r="G179" s="92" t="n">
        <x:f>SUM(G102:G110)-G111</x:f>
        <x:v>0</x:v>
      </x:c>
      <x:c r="H179" s="92" t="n">
        <x:f>SUM(H102:H110)-H111</x:f>
        <x:v>0</x:v>
      </x:c>
      <x:c r="I179" s="92"/>
      <x:c r="J179" s="92"/>
      <x:c r="K179" s="92"/>
      <x:c r="L179" s="92"/>
      <x:c r="M179" s="92"/>
      <x:c r="N179" s="2"/>
      <x:c r="O179" s="2"/>
      <x:c r="P179" s="2"/>
    </x:row>
    <x:row r="180" ht="19" customHeight="1">
      <x:c r="A180" s="2"/>
      <x:c r="B180" s="2"/>
      <x:c r="C180" s="2" t="str">
        <x:v>Operating cash flow bridge</x:v>
      </x:c>
      <x:c r="D180" s="92" t="n">
        <x:f>D113+SUM(D114:D122)+D124-D125</x:f>
        <x:v>9.094947017729282e-13</x:v>
      </x:c>
      <x:c r="E180" s="92" t="n">
        <x:f>E113+SUM(E114:E122)+E124-E125</x:f>
        <x:v>1.8189894035458565e-12</x:v>
      </x:c>
      <x:c r="F180" s="92" t="n">
        <x:f>F113+SUM(F114:F122)+F124-F125</x:f>
        <x:v>0</x:v>
      </x:c>
      <x:c r="G180" s="92" t="n">
        <x:f>G113+SUM(G114:G122)+G124-G125</x:f>
        <x:v>0</x:v>
      </x:c>
      <x:c r="H180" s="92" t="n">
        <x:f>H113+SUM(H114:H122)+H124-H125</x:f>
        <x:v>7.275957614183426e-12</x:v>
      </x:c>
      <x:c r="I180" s="92"/>
      <x:c r="J180" s="92"/>
      <x:c r="K180" s="92"/>
      <x:c r="L180" s="92"/>
      <x:c r="M180" s="92"/>
      <x:c r="N180" s="2"/>
      <x:c r="O180" s="2"/>
      <x:c r="P180" s="2"/>
    </x:row>
    <x:row r="181" ht="19" customHeight="1">
      <x:c r="A181" s="2"/>
      <x:c r="B181" s="2"/>
      <x:c r="C181" s="2" t="str">
        <x:v>Investing cash flow: detail less reported</x:v>
      </x:c>
      <x:c r="D181" s="92" t="n">
        <x:f>SUM(D126:D139)-D140</x:f>
        <x:v>7.275957614183426e-12</x:v>
      </x:c>
      <x:c r="E181" s="92" t="n">
        <x:f>SUM(E126:E139)-E140</x:f>
        <x:v>1.6370904631912708e-11</x:v>
      </x:c>
      <x:c r="F181" s="92" t="n">
        <x:f>SUM(F126:F139)-F140</x:f>
        <x:v>-5.4569682106375694e-12</x:v>
      </x:c>
      <x:c r="G181" s="92" t="n">
        <x:f>SUM(G126:G139)-G140</x:f>
        <x:v>5.4569682106375694e-12</x:v>
      </x:c>
      <x:c r="H181" s="92" t="n">
        <x:f>SUM(H126:H139)-H140</x:f>
        <x:v>3.637978807091713e-12</x:v>
      </x:c>
      <x:c r="I181" s="92"/>
      <x:c r="J181" s="92"/>
      <x:c r="K181" s="92"/>
      <x:c r="L181" s="92"/>
      <x:c r="M181" s="92"/>
      <x:c r="N181" s="2"/>
      <x:c r="O181" s="2"/>
      <x:c r="P181" s="2"/>
    </x:row>
    <x:row r="182" ht="19" customHeight="1">
      <x:c r="A182" s="2"/>
      <x:c r="B182" s="2"/>
      <x:c r="C182" s="2" t="str">
        <x:v>Financing cash flow: detail less reported</x:v>
      </x:c>
      <x:c r="D182" s="92" t="n">
        <x:f>SUM(D141:D148)-D149</x:f>
        <x:v>2.2737367544323206e-13</x:v>
      </x:c>
      <x:c r="E182" s="92" t="n">
        <x:f>SUM(E141:E148)-E149</x:f>
        <x:v>0</x:v>
      </x:c>
      <x:c r="F182" s="92" t="n">
        <x:f>SUM(F141:F148)-F149</x:f>
        <x:v>0</x:v>
      </x:c>
      <x:c r="G182" s="92" t="n">
        <x:f>SUM(G141:G148)-G149</x:f>
        <x:v>0</x:v>
      </x:c>
      <x:c r="H182" s="92" t="n">
        <x:f>SUM(H141:H148)-H149</x:f>
        <x:v>0</x:v>
      </x:c>
      <x:c r="I182" s="92"/>
      <x:c r="J182" s="92"/>
      <x:c r="K182" s="92"/>
      <x:c r="L182" s="92"/>
      <x:c r="M182" s="92"/>
      <x:c r="N182" s="2"/>
      <x:c r="O182" s="2"/>
      <x:c r="P182" s="2"/>
    </x:row>
    <x:row r="183" ht="19" customHeight="1">
      <x:c r="A183" s="2"/>
      <x:c r="B183" s="2"/>
      <x:c r="C183" s="2" t="str">
        <x:v>Change in cash: flows less reported</x:v>
      </x:c>
      <x:c r="D183" s="92" t="n">
        <x:f>D125+D140+D149-D150</x:f>
        <x:v>-6.821210263296962e-13</x:v>
      </x:c>
      <x:c r="E183" s="92" t="n">
        <x:f>E125+E140+E149-E150</x:f>
        <x:v>1.9895196601282805e-13</x:v>
      </x:c>
      <x:c r="F183" s="92" t="n">
        <x:f>F125+F140+F149-F150</x:f>
        <x:v>-9.094947017729282e-13</x:v>
      </x:c>
      <x:c r="G183" s="92" t="n">
        <x:f>G125+G140+G149-G150</x:f>
        <x:v>6.821210263296962e-13</x:v>
      </x:c>
      <x:c r="H183" s="92" t="n">
        <x:f>H125+H140+H149-H150</x:f>
        <x:v>-3.183231456205249e-12</x:v>
      </x:c>
      <x:c r="I183" s="92"/>
      <x:c r="J183" s="92"/>
      <x:c r="K183" s="92"/>
      <x:c r="L183" s="92"/>
      <x:c r="M183" s="92"/>
      <x:c r="N183" s="2"/>
      <x:c r="O183" s="2"/>
      <x:c r="P183" s="2"/>
    </x:row>
    <x:row r="184" ht="19" customHeight="1">
      <x:c r="A184" s="2"/>
      <x:c r="B184" s="2"/>
      <x:c r="C184" s="2" t="str">
        <x:v>Cash flow cash less balance-sheet cash net of credit</x:v>
      </x:c>
      <x:c r="D184" s="92" t="n">
        <x:f>D152-D84+D153</x:f>
        <x:v>1.81903103690928e-14</x:v>
      </x:c>
      <x:c r="E184" s="92" t="n">
        <x:f>E152-E84+E153</x:f>
        <x:v>1.1368683772161603e-13</x:v>
      </x:c>
      <x:c r="F184" s="92" t="n">
        <x:f>F152-F84+F153</x:f>
        <x:v>1.1368683772161603e-13</x:v>
      </x:c>
      <x:c r="G184" s="92" t="n">
        <x:f>G152-G84+G153</x:f>
        <x:v>0</x:v>
      </x:c>
      <x:c r="H184" s="92" t="n">
        <x:f>H152-H84+H153</x:f>
        <x:v>1.1368683772161603e-13</x:v>
      </x:c>
      <x:c r="I184" s="92"/>
      <x:c r="J184" s="92"/>
      <x:c r="K184" s="92"/>
      <x:c r="L184" s="92"/>
      <x:c r="M184" s="92"/>
      <x:c r="N184" s="2"/>
      <x:c r="O184" s="2"/>
      <x:c r="P184" s="2"/>
    </x:row>
    <x:row r="185" ht="19" customHeight="1">
      <x:c r="A185" s="2"/>
      <x:c r="B185" s="2"/>
      <x:c r="C185" s="2" t="str">
        <x:v>Reported capex less net cash capex</x:v>
      </x:c>
      <x:c r="D185" s="92" t="n">
        <x:f>D158-D29</x:f>
        <x:v>0</x:v>
      </x:c>
      <x:c r="E185" s="92" t="n">
        <x:f>E158-E29</x:f>
        <x:v>9.094947017729282e-13</x:v>
      </x:c>
      <x:c r="F185" s="92" t="n">
        <x:f>F158-F29</x:f>
        <x:v>0.010000000000218279</x:v>
      </x:c>
      <x:c r="G185" s="92" t="n">
        <x:f>G158-G29</x:f>
        <x:v>-0.020000000000436557</x:v>
      </x:c>
      <x:c r="H185" s="92" t="n">
        <x:f>H158-H29</x:f>
        <x:v>-1.8189894035458565e-12</x:v>
      </x:c>
      <x:c r="I185" s="92"/>
      <x:c r="J185" s="92"/>
      <x:c r="K185" s="92"/>
      <x:c r="L185" s="92"/>
      <x:c r="M185" s="92"/>
      <x:c r="N185" s="2"/>
      <x:c r="O185" s="2"/>
      <x:c r="P185" s="2"/>
    </x:row>
    <x:row r="186" ht="19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</x:row>
    <x:row r="187" ht="19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</x:row>
    <x:row r="188" ht="19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</x:row>
    <x:row r="189" ht="19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</x:row>
    <x:row r="190" ht="19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</x:row>
    <x:row r="191" ht="19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</x:row>
    <x:row r="192" ht="19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</x:row>
    <x:row r="193" ht="19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</x:row>
    <x:row r="194" ht="19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</x:row>
    <x:row r="195" ht="19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</x:row>
    <x:row r="196" ht="19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</x:row>
    <x:row r="197" ht="19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</x:row>
    <x:row r="198" ht="19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</x:row>
    <x:row r="199" ht="19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</x:row>
    <x:row r="200" ht="19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</x:row>
    <x:row r="201" ht="19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</x:row>
    <x:row r="202" ht="19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</x:row>
    <x:row r="203" ht="19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</x:row>
    <x:row r="204" ht="19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</x:row>
    <x:row r="205" ht="19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</x:row>
    <x:row r="206" ht="19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</x:row>
    <x:row r="207" ht="19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</x:row>
    <x:row r="208" ht="19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</x:row>
    <x:row r="209" ht="19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</x:row>
    <x:row r="210" ht="19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</x:row>
    <x:row r="211" ht="19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</x:row>
    <x:row r="212" ht="19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</x:row>
    <x:row r="213" ht="19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</x:row>
    <x:row r="214" ht="19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</x:row>
    <x:row r="215" ht="19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</x:row>
    <x:row r="216" ht="19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</x:row>
    <x:row r="217" ht="19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</x:row>
    <x:row r="218" ht="19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</x:row>
    <x:row r="219" ht="19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</x:row>
    <x:row r="220" ht="19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</x:row>
  </x:sheetData>
  <x:mergeCells>
    <x:mergeCell ref="C4:M4"/>
  </x:mergeCells>
  <x:conditionalFormatting sqref="D173:H185">
    <x:cfRule type="cellIs" dxfId="0" priority="1" operator="notBetween">
      <x:formula>-0.1</x:formula>
      <x:formula>0.1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ACAAE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5" hidden="0" customWidth="1"/>
    <x:col min="16" max="16" width="3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9" customHeight="1">
      <x:c r="A2" s="2"/>
      <x:c r="B2" s="2"/>
      <x:c r="C2" s="3" t="str">
        <x:v>Polycab segment history and operating KPIs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</x:row>
    <x:row r="4" ht="30" customHeight="1">
      <x:c r="A4" s="2"/>
      <x:c r="B4" s="2"/>
      <x:c r="C4" s="84" t="str">
        <x:v>External segment income includes allocated non-finance other income. EPC was previously called Others.</x:v>
      </x:c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2"/>
      <x:c r="O4" s="2"/>
      <x:c r="P4" s="2"/>
    </x:row>
    <x:row r="5" ht="1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19" customHeight="1">
      <x:c r="A6" s="2"/>
      <x:c r="B6" s="2"/>
      <x:c r="C6" s="2" t="str">
        <x:v>INR million, unless specified</x:v>
      </x:c>
      <x:c r="D6" s="8" t="str">
        <x:v>FY22A</x:v>
      </x:c>
      <x:c r="E6" s="8" t="str">
        <x:v>FY23A</x:v>
      </x:c>
      <x:c r="F6" s="8" t="str">
        <x:v>FY24A</x:v>
      </x:c>
      <x:c r="G6" s="8" t="str">
        <x:v>FY25A</x:v>
      </x:c>
      <x:c r="H6" s="8" t="str">
        <x:v>FY26A</x:v>
      </x:c>
      <x:c r="I6" s="2"/>
      <x:c r="J6" s="2"/>
      <x:c r="K6" s="2"/>
      <x:c r="L6" s="2"/>
      <x:c r="M6" s="2"/>
      <x:c r="N6" s="2"/>
      <x:c r="O6" s="2"/>
      <x:c r="P6" s="2"/>
    </x:row>
    <x:row r="7" ht="19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19" customHeight="1">
      <x:c r="A8" s="2"/>
      <x:c r="B8" s="2"/>
      <x:c r="C8" s="18" t="str">
        <x:v>Total external segment income</x:v>
      </x:c>
      <x:c r="D8" s="23" t="n">
        <x:f>SUM(D41:D43)</x:f>
        <x:v>122439.92</x:v>
      </x:c>
      <x:c r="E8" s="23" t="n">
        <x:f>SUM(E41:E43)</x:f>
        <x:v>141464.83</x:v>
      </x:c>
      <x:c r="F8" s="23" t="n">
        <x:f>SUM(F41:F43)</x:f>
        <x:v>181392.13</x:v>
      </x:c>
      <x:c r="G8" s="23" t="n">
        <x:f>SUM(G41:G43)</x:f>
        <x:v>224608.84000000003</x:v>
      </x:c>
      <x:c r="H8" s="23" t="n">
        <x:f>SUM(H41:H43)</x:f>
        <x:v>289147.05</x:v>
      </x:c>
      <x:c r="I8" s="19"/>
      <x:c r="J8" s="19"/>
      <x:c r="K8" s="19"/>
      <x:c r="L8" s="19"/>
      <x:c r="M8" s="19"/>
      <x:c r="N8" s="2"/>
      <x:c r="O8" s="2"/>
      <x:c r="P8" s="2"/>
    </x:row>
    <x:row r="9" ht="19" customHeight="1">
      <x:c r="A9" s="2"/>
      <x:c r="B9" s="2"/>
      <x:c r="C9" s="2" t="str">
        <x:v>Less: allocated non-finance other income</x:v>
      </x:c>
      <x:c r="D9" s="31" t="n">
        <x:f>'02_Historical_FS'!D44-'02_Historical_FS'!D159</x:f>
        <x:v>402.31</x:v>
      </x:c>
      <x:c r="E9" s="31" t="n">
        <x:f>'02_Historical_FS'!E44-'02_Historical_FS'!E159</x:f>
        <x:v>387.04999999999995</x:v>
      </x:c>
      <x:c r="F9" s="31" t="n">
        <x:f>'02_Historical_FS'!F44-'02_Historical_FS'!F159</x:f>
        <x:v>997.69</x:v>
      </x:c>
      <x:c r="G9" s="31" t="n">
        <x:f>'02_Historical_FS'!G44-'02_Historical_FS'!G159</x:f>
        <x:v>525.71</x:v>
      </x:c>
      <x:c r="H9" s="31" t="n">
        <x:f>'02_Historical_FS'!H44-'02_Historical_FS'!H159</x:f>
        <x:v>309.1300000000001</x:v>
      </x:c>
      <x:c r="I9" s="11"/>
      <x:c r="J9" s="11"/>
      <x:c r="K9" s="11"/>
      <x:c r="L9" s="11"/>
      <x:c r="M9" s="11"/>
      <x:c r="N9" s="2"/>
      <x:c r="O9" s="2"/>
      <x:c r="P9" s="2"/>
    </x:row>
    <x:row r="10" ht="19" customHeight="1">
      <x:c r="A10" s="2"/>
      <x:c r="B10" s="2"/>
      <x:c r="C10" s="18" t="str">
        <x:v>Revenue from operations</x:v>
      </x:c>
      <x:c r="D10" s="23" t="n">
        <x:f>D8-D9</x:f>
        <x:v>122037.61</x:v>
      </x:c>
      <x:c r="E10" s="23" t="n">
        <x:f>E8-E9</x:f>
        <x:v>141077.78</x:v>
      </x:c>
      <x:c r="F10" s="23" t="n">
        <x:f>F8-F9</x:f>
        <x:v>180394.44</x:v>
      </x:c>
      <x:c r="G10" s="23" t="n">
        <x:f>G8-G9</x:f>
        <x:v>224083.13000000003</x:v>
      </x:c>
      <x:c r="H10" s="23" t="n">
        <x:f>H8-H9</x:f>
        <x:v>288837.92</x:v>
      </x:c>
      <x:c r="I10" s="19"/>
      <x:c r="J10" s="19"/>
      <x:c r="K10" s="19"/>
      <x:c r="L10" s="19"/>
      <x:c r="M10" s="19"/>
      <x:c r="N10" s="2"/>
      <x:c r="O10" s="2"/>
      <x:c r="P10" s="2"/>
    </x:row>
    <x:row r="11" ht="19" customHeight="1">
      <x:c r="A11" s="2"/>
      <x:c r="B11" s="2"/>
      <x:c r="C11" s="2" t="str">
        <x:v>Revenue reconciliation difference</x:v>
      </x:c>
      <x:c r="D11" s="93" t="n">
        <x:f>D10-'02_Historical_FS'!D43</x:f>
        <x:v>0</x:v>
      </x:c>
      <x:c r="E11" s="93" t="n">
        <x:f>E10-'02_Historical_FS'!E43</x:f>
        <x:v>0</x:v>
      </x:c>
      <x:c r="F11" s="93" t="n">
        <x:f>F10-'02_Historical_FS'!F43</x:f>
        <x:v>0</x:v>
      </x:c>
      <x:c r="G11" s="93" t="n">
        <x:f>G10-'02_Historical_FS'!G43</x:f>
        <x:v>2.9103830456733704e-11</x:v>
      </x:c>
      <x:c r="H11" s="93" t="n">
        <x:f>H10-'02_Historical_FS'!H43</x:f>
        <x:v>0</x:v>
      </x:c>
      <x:c r="I11" s="93"/>
      <x:c r="J11" s="93"/>
      <x:c r="K11" s="93"/>
      <x:c r="L11" s="93"/>
      <x:c r="M11" s="93"/>
      <x:c r="N11" s="2"/>
      <x:c r="O11" s="2"/>
      <x:c r="P11" s="2"/>
    </x:row>
    <x:row r="12" ht="19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19" customHeight="1">
      <x:c r="A13" s="2"/>
      <x:c r="B13" s="2"/>
      <x:c r="C13" s="2" t="str">
        <x:v>Domestic W&amp;C income proxy</x:v>
      </x:c>
      <x:c r="D13" s="24" t="n">
        <x:f>D41-D62</x:f>
        <x:v>97724.04000000001</x:v>
      </x:c>
      <x:c r="E13" s="24" t="n">
        <x:f>E41-E62</x:f>
        <x:v>111533.69</x:v>
      </x:c>
      <x:c r="F13" s="24" t="n">
        <x:f>F41-F62</x:f>
        <x:v>144562.49</x:v>
      </x:c>
      <x:c r="G13" s="24" t="n">
        <x:f>G41-G62</x:f>
        <x:v>175429.16999999998</x:v>
      </x:c>
      <x:c r="H13" s="24" t="n">
        <x:f>H41-H62</x:f>
        <x:v>236094.15</x:v>
      </x:c>
      <x:c r="I13" s="11"/>
      <x:c r="J13" s="11"/>
      <x:c r="K13" s="11"/>
      <x:c r="L13" s="11"/>
      <x:c r="M13" s="11"/>
      <x:c r="N13" s="2"/>
      <x:c r="O13" s="13" t="str">
        <x:v>Derived W&amp;C income less group exports. Exports are assumed to relate to W&amp;C for forecast architecture. This is not a separately disclosed audited segment.</x:v>
      </x:c>
      <x:c r="P13" s="2"/>
    </x:row>
    <x:row r="14" ht="19" customHeight="1">
      <x:c r="A14" s="2"/>
      <x:c r="B14" s="2"/>
      <x:c r="C14" s="21" t="str">
        <x:v>Exports / consolidated revenue</x:v>
      </x:c>
      <x:c r="D14" s="32" t="n">
        <x:f>D62/'02_Historical_FS'!D43</x:f>
        <x:v>0.07562635813664328</x:v>
      </x:c>
      <x:c r="E14" s="32" t="n">
        <x:f>E62/'02_Historical_FS'!E43</x:f>
        <x:v>0.09806810115668109</x:v>
      </x:c>
      <x:c r="F14" s="32" t="n">
        <x:f>F62/'02_Historical_FS'!F43</x:f>
        <x:v>0.0796011783955204</x:v>
      </x:c>
      <x:c r="G14" s="32" t="n">
        <x:f>G62/'02_Historical_FS'!G43</x:f>
        <x:v>0.060030668082867285</x:v>
      </x:c>
      <x:c r="H14" s="32" t="n">
        <x:f>H62/'02_Historical_FS'!H43</x:f>
        <x:v>0.05433725599464226</x:v>
      </x:c>
      <x:c r="I14" s="22"/>
      <x:c r="J14" s="22"/>
      <x:c r="K14" s="22"/>
      <x:c r="L14" s="22"/>
      <x:c r="M14" s="22"/>
      <x:c r="N14" s="2"/>
      <x:c r="O14" s="2"/>
      <x:c r="P14" s="2"/>
    </x:row>
    <x:row r="15" ht="19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19" customHeight="1">
      <x:c r="A16" s="2"/>
      <x:c r="B16" s="2"/>
      <x:c r="C16" s="21" t="str">
        <x:v>W&amp;C share of external segment income</x:v>
      </x:c>
      <x:c r="D16" s="25" t="n">
        <x:f>D41/D8</x:f>
        <x:v>0.8735165785799273</x:v>
      </x:c>
      <x:c r="E16" s="25" t="n">
        <x:f>E41/E8</x:f>
        <x:v>0.8862197056328418</x:v>
      </x:c>
      <x:c r="F16" s="25" t="n">
        <x:f>F41/F8</x:f>
        <x:v>0.8761245595384982</x:v>
      </x:c>
      <x:c r="G16" s="25" t="n">
        <x:f>G41/G8</x:f>
        <x:v>0.8409331974645342</x:v>
      </x:c>
      <x:c r="H16" s="25" t="n">
        <x:f>H41/H8</x:f>
        <x:v>0.8707984743403054</x:v>
      </x:c>
      <x:c r="I16" s="22"/>
      <x:c r="J16" s="22"/>
      <x:c r="K16" s="22"/>
      <x:c r="L16" s="22"/>
      <x:c r="M16" s="22"/>
      <x:c r="N16" s="2"/>
      <x:c r="O16" s="2"/>
      <x:c r="P16" s="2"/>
    </x:row>
    <x:row r="17" ht="19" customHeight="1">
      <x:c r="A17" s="2"/>
      <x:c r="B17" s="2"/>
      <x:c r="C17" s="21" t="str">
        <x:v>FMEG share of external segment income</x:v>
      </x:c>
      <x:c r="D17" s="25" t="n">
        <x:f>D42/D8</x:f>
        <x:v>0.10244885818285408</x:v>
      </x:c>
      <x:c r="E17" s="25" t="n">
        <x:f>E42/E8</x:f>
        <x:v>0.08844297200936799</x:v>
      </x:c>
      <x:c r="F17" s="25" t="n">
        <x:f>F42/F8</x:f>
        <x:v>0.07071740102506101</x:v>
      </x:c>
      <x:c r="G17" s="25" t="n">
        <x:f>G42/G8</x:f>
        <x:v>0.07361874091865661</x:v>
      </x:c>
      <x:c r="H17" s="25" t="n">
        <x:f>H42/H8</x:f>
        <x:v>0.07156663019733385</x:v>
      </x:c>
      <x:c r="I17" s="22"/>
      <x:c r="J17" s="22"/>
      <x:c r="K17" s="22"/>
      <x:c r="L17" s="22"/>
      <x:c r="M17" s="22"/>
      <x:c r="N17" s="2"/>
      <x:c r="O17" s="2"/>
      <x:c r="P17" s="2"/>
    </x:row>
    <x:row r="18" ht="19" customHeight="1">
      <x:c r="A18" s="2"/>
      <x:c r="B18" s="2"/>
      <x:c r="C18" s="21" t="str">
        <x:v>EPC share of external segment income</x:v>
      </x:c>
      <x:c r="D18" s="25" t="n">
        <x:f>D43/D8</x:f>
        <x:v>0.024034563237218712</x:v>
      </x:c>
      <x:c r="E18" s="25" t="n">
        <x:f>E43/E8</x:f>
        <x:v>0.025337322357790276</x:v>
      </x:c>
      <x:c r="F18" s="25" t="n">
        <x:f>F43/F8</x:f>
        <x:v>0.053158039436440825</x:v>
      </x:c>
      <x:c r="G18" s="25" t="n">
        <x:f>G43/G8</x:f>
        <x:v>0.08544806161680901</x:v>
      </x:c>
      <x:c r="H18" s="25" t="n">
        <x:f>H43/H8</x:f>
        <x:v>0.05763489546236076</x:v>
      </x:c>
      <x:c r="I18" s="22"/>
      <x:c r="J18" s="22"/>
      <x:c r="K18" s="22"/>
      <x:c r="L18" s="22"/>
      <x:c r="M18" s="22"/>
      <x:c r="N18" s="2"/>
      <x:c r="O18" s="2"/>
      <x:c r="P18" s="2"/>
    </x:row>
    <x:row r="19" ht="19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19" customHeight="1">
      <x:c r="A20" s="2"/>
      <x:c r="B20" s="2"/>
      <x:c r="C20" s="21" t="str">
        <x:v>W&amp;C external EBIT margin</x:v>
      </x:c>
      <x:c r="D20" s="25" t="n">
        <x:f>D47/D41</x:f>
        <x:v>0.09728750772533432</x:v>
      </x:c>
      <x:c r="E20" s="25" t="n">
        <x:f>E47/E41</x:f>
        <x:v>0.13118610258427688</x:v>
      </x:c>
      <x:c r="F20" s="25" t="n">
        <x:f>F47/F41</x:f>
        <x:v>0.14660811806539178</x:v>
      </x:c>
      <x:c r="G20" s="25" t="n">
        <x:f>G47/G41</x:f>
        <x:v>0.13618350132885235</x:v>
      </x:c>
      <x:c r="H20" s="25" t="n">
        <x:f>H47/H41</x:f>
        <x:v>0.13624052633633718</x:v>
      </x:c>
      <x:c r="I20" s="22"/>
      <x:c r="J20" s="22"/>
      <x:c r="K20" s="22"/>
      <x:c r="L20" s="22"/>
      <x:c r="M20" s="22"/>
      <x:c r="N20" s="2"/>
      <x:c r="O20" s="2"/>
      <x:c r="P20" s="2"/>
    </x:row>
    <x:row r="21" ht="19" customHeight="1">
      <x:c r="A21" s="2"/>
      <x:c r="B21" s="2"/>
      <x:c r="C21" s="21" t="str">
        <x:v>FMEG external EBIT margin</x:v>
      </x:c>
      <x:c r="D21" s="25" t="n">
        <x:f>D48/D42</x:f>
        <x:v>0.01564275026048663</x:v>
      </x:c>
      <x:c r="E21" s="25" t="n">
        <x:f>E48/E42</x:f>
        <x:v>-0.004984985897053687</x:v>
      </x:c>
      <x:c r="F21" s="25" t="n">
        <x:f>F48/F42</x:f>
        <x:v>-0.07319073433960264</x:v>
      </x:c>
      <x:c r="G21" s="25" t="n">
        <x:f>G48/G42</x:f>
        <x:v>-0.023089827775768627</x:v>
      </x:c>
      <x:c r="H21" s="25" t="n">
        <x:f>H48/H42</x:f>
        <x:v>0.02650039046492388</x:v>
      </x:c>
      <x:c r="I21" s="22"/>
      <x:c r="J21" s="22"/>
      <x:c r="K21" s="22"/>
      <x:c r="L21" s="22"/>
      <x:c r="M21" s="22"/>
      <x:c r="N21" s="2"/>
      <x:c r="O21" s="2"/>
      <x:c r="P21" s="2"/>
    </x:row>
    <x:row r="22" ht="19" customHeight="1">
      <x:c r="A22" s="2"/>
      <x:c r="B22" s="2"/>
      <x:c r="C22" s="21" t="str">
        <x:v>EPC external EBIT margin</x:v>
      </x:c>
      <x:c r="D22" s="25" t="n">
        <x:f>D49/D43</x:f>
        <x:v>0.1487228106660686</x:v>
      </x:c>
      <x:c r="E22" s="25" t="n">
        <x:f>E49/E43</x:f>
        <x:v>0.12059960829608797</x:v>
      </x:c>
      <x:c r="F22" s="25" t="n">
        <x:f>F49/F43</x:f>
        <x:v>0.11459017158502248</x:v>
      </x:c>
      <x:c r="G22" s="25" t="n">
        <x:f>G49/G43</x:f>
        <x:v>0.09412063844054858</x:v>
      </x:c>
      <x:c r="H22" s="25" t="n">
        <x:f>H49/H43</x:f>
        <x:v>0.09934017243365721</x:v>
      </x:c>
      <x:c r="I22" s="22"/>
      <x:c r="J22" s="22"/>
      <x:c r="K22" s="22"/>
      <x:c r="L22" s="22"/>
      <x:c r="M22" s="22"/>
      <x:c r="N22" s="2"/>
      <x:c r="O22" s="2"/>
      <x:c r="P22" s="2"/>
    </x:row>
    <x:row r="23" ht="19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9" customHeight="1">
      <x:c r="A24" s="2"/>
      <x:c r="B24" s="2"/>
      <x:c r="C24" s="21" t="str">
        <x:v>W&amp;C income growth</x:v>
      </x:c>
      <x:c r="D24" s="22" t="str">
        <x:v>n.a.</x:v>
      </x:c>
      <x:c r="E24" s="25" t="n">
        <x:f>E41/D41-1</x:f>
        <x:v>0.17218374748605236</x:v>
      </x:c>
      <x:c r="F24" s="25" t="n">
        <x:f>F41/E41-1</x:f>
        <x:v>0.2676355511397881</x:v>
      </x:c>
      <x:c r="G24" s="25" t="n">
        <x:f>G41/F41-1</x:f>
        <x:v>0.18851330305854241</x:v>
      </x:c>
      <x:c r="H24" s="25" t="n">
        <x:f>H41/G41-1</x:f>
        <x:v>0.3330550452843253</x:v>
      </x:c>
      <x:c r="I24" s="22"/>
      <x:c r="J24" s="22"/>
      <x:c r="K24" s="22"/>
      <x:c r="L24" s="22"/>
      <x:c r="M24" s="22"/>
      <x:c r="N24" s="2"/>
      <x:c r="O24" s="2"/>
      <x:c r="P24" s="2"/>
    </x:row>
    <x:row r="25" ht="19" customHeight="1">
      <x:c r="A25" s="2"/>
      <x:c r="B25" s="2"/>
      <x:c r="C25" s="21" t="str">
        <x:v>FMEG income growth</x:v>
      </x:c>
      <x:c r="D25" s="22" t="str">
        <x:v>n.a.</x:v>
      </x:c>
      <x:c r="E25" s="25" t="n">
        <x:f>E42/D42-1</x:f>
        <x:v>-0.002571782302534409</x:v>
      </x:c>
      <x:c r="F25" s="25" t="n">
        <x:f>F42/E42-1</x:f>
        <x:v>0.025257421730446428</x:v>
      </x:c>
      <x:c r="G25" s="25" t="n">
        <x:f>G42/F42-1</x:f>
        <x:v>0.2890521828747119</x:v>
      </x:c>
      <x:c r="H25" s="25" t="n">
        <x:f>H42/G42-1</x:f>
        <x:v>0.25145173209994076</x:v>
      </x:c>
      <x:c r="I25" s="22"/>
      <x:c r="J25" s="22"/>
      <x:c r="K25" s="22"/>
      <x:c r="L25" s="22"/>
      <x:c r="M25" s="22"/>
      <x:c r="N25" s="2"/>
      <x:c r="O25" s="2"/>
      <x:c r="P25" s="2"/>
    </x:row>
    <x:row r="26" ht="19" customHeight="1">
      <x:c r="A26" s="2"/>
      <x:c r="B26" s="2"/>
      <x:c r="C26" s="21" t="str">
        <x:v>EPC income growth</x:v>
      </x:c>
      <x:c r="D26" s="22" t="str">
        <x:v>n.a.</x:v>
      </x:c>
      <x:c r="E26" s="25" t="n">
        <x:f>E43/D43-1</x:f>
        <x:v>0.21800740113973482</x:v>
      </x:c>
      <x:c r="F26" s="25" t="n">
        <x:f>F43/E43-1</x:f>
        <x:v>1.6901605316459936</x:v>
      </x:c>
      <x:c r="G26" s="25" t="n">
        <x:f>G43/F43-1</x:f>
        <x:v>0.9904059652889046</x:v>
      </x:c>
      <x:c r="H26" s="25" t="n">
        <x:f>H43/G43-1</x:f>
        <x:v>-0.1316891747197717</x:v>
      </x:c>
      <x:c r="I26" s="22"/>
      <x:c r="J26" s="22"/>
      <x:c r="K26" s="22"/>
      <x:c r="L26" s="22"/>
      <x:c r="M26" s="22"/>
      <x:c r="N26" s="2"/>
      <x:c r="O26" s="2"/>
      <x:c r="P26" s="2"/>
    </x:row>
    <x:row r="27" ht="19" customHeight="1">
      <x:c r="A27" s="2"/>
      <x:c r="B27" s="2"/>
      <x:c r="C27" s="21" t="str">
        <x:v>Export income growth</x:v>
      </x:c>
      <x:c r="D27" s="22" t="str">
        <x:v>n.a.</x:v>
      </x:c>
      <x:c r="E27" s="25" t="n">
        <x:f>E62/D62-1</x:f>
        <x:v>0.4990616799179999</x:v>
      </x:c>
      <x:c r="F27" s="25" t="n">
        <x:f>F62/E62-1</x:f>
        <x:v>0.0379017912965669</x:v>
      </x:c>
      <x:c r="G27" s="25" t="n">
        <x:f>G62/F62-1</x:f>
        <x:v>-0.06321550515647711</x:v>
      </x:c>
      <x:c r="H27" s="25" t="n">
        <x:f>H62/G62-1</x:f>
        <x:v>0.16672787257672916</x:v>
      </x:c>
      <x:c r="I27" s="22"/>
      <x:c r="J27" s="22"/>
      <x:c r="K27" s="22"/>
      <x:c r="L27" s="22"/>
      <x:c r="M27" s="22"/>
      <x:c r="N27" s="2"/>
      <x:c r="O27" s="2"/>
      <x:c r="P27" s="2"/>
    </x:row>
    <x:row r="28" ht="19" customHeight="1">
      <x:c r="A28" s="2"/>
      <x:c r="B28" s="2"/>
      <x:c r="C28" s="21" t="str">
        <x:v>Domestic W&amp;C proxy growth</x:v>
      </x:c>
      <x:c r="D28" s="22" t="str">
        <x:v>n.a.</x:v>
      </x:c>
      <x:c r="E28" s="25" t="n">
        <x:f>E13/D13-1</x:f>
        <x:v>0.14131272100498493</x:v>
      </x:c>
      <x:c r="F28" s="25" t="n">
        <x:f>F13/E13-1</x:f>
        <x:v>0.2961329442251932</x:v>
      </x:c>
      <x:c r="G28" s="25" t="n">
        <x:f>G13/F13-1</x:f>
        <x:v>0.21351790495584289</x:v>
      </x:c>
      <x:c r="H28" s="25" t="n">
        <x:f>H13/G13-1</x:f>
        <x:v>0.3458089666615878</x:v>
      </x:c>
      <x:c r="I28" s="22"/>
      <x:c r="J28" s="22"/>
      <x:c r="K28" s="22"/>
      <x:c r="L28" s="22"/>
      <x:c r="M28" s="22"/>
      <x:c r="N28" s="2"/>
      <x:c r="O28" s="2"/>
      <x:c r="P28" s="2"/>
    </x:row>
    <x:row r="29" ht="19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9" customHeight="1">
      <x:c r="A30" s="2"/>
      <x:c r="B30" s="2"/>
      <x:c r="C30" s="18" t="str">
        <x:v>Total external segment EBIT</x:v>
      </x:c>
      <x:c r="D30" s="23" t="n">
        <x:f>SUM(D47:D49)</x:f>
        <x:v>11039.099999999999</x:v>
      </x:c>
      <x:c r="E30" s="23" t="n">
        <x:f>SUM(E47:E49)</x:f>
        <x:v>16816.56</x:v>
      </x:c>
      <x:c r="F30" s="23" t="n">
        <x:f>SUM(F47:F49)</x:f>
        <x:v>23465.34</x:v>
      </x:c>
      <x:c r="G30" s="23" t="n">
        <x:f>SUM(G47:G49)</x:f>
        <x:v>27147.08</x:v>
      </x:c>
      <x:c r="H30" s="23" t="n">
        <x:f>SUM(H47:H49)</x:f>
        <x:v>36507.719999999994</x:v>
      </x:c>
      <x:c r="I30" s="19"/>
      <x:c r="J30" s="19"/>
      <x:c r="K30" s="19"/>
      <x:c r="L30" s="19"/>
      <x:c r="M30" s="19"/>
      <x:c r="N30" s="2"/>
      <x:c r="O30" s="2"/>
      <x:c r="P30" s="2"/>
    </x:row>
    <x:row r="31" ht="19" customHeight="1">
      <x:c r="A31" s="2"/>
      <x:c r="B31" s="2"/>
      <x:c r="C31" s="2" t="str">
        <x:v>Operating EBIT before JV, ex other income</x:v>
      </x:c>
      <x:c r="D31" s="24" t="n">
        <x:f>D30-D9</x:f>
        <x:v>10636.789999999999</x:v>
      </x:c>
      <x:c r="E31" s="24" t="n">
        <x:f>E30-E9</x:f>
        <x:v>16429.510000000002</x:v>
      </x:c>
      <x:c r="F31" s="24" t="n">
        <x:f>F30-F9</x:f>
        <x:v>22467.65</x:v>
      </x:c>
      <x:c r="G31" s="24" t="n">
        <x:f>G30-G9</x:f>
        <x:v>26621.370000000003</x:v>
      </x:c>
      <x:c r="H31" s="24" t="n">
        <x:f>H30-H9</x:f>
        <x:v>36198.59</x:v>
      </x:c>
      <x:c r="I31" s="11"/>
      <x:c r="J31" s="11"/>
      <x:c r="K31" s="11"/>
      <x:c r="L31" s="11"/>
      <x:c r="M31" s="11"/>
      <x:c r="N31" s="2"/>
      <x:c r="O31" s="2"/>
      <x:c r="P31" s="2"/>
    </x:row>
    <x:row r="32" ht="19" customHeight="1">
      <x:c r="A32" s="2"/>
      <x:c r="B32" s="2"/>
      <x:c r="C32" s="2" t="str">
        <x:v>Segment EBIT bridge difference</x:v>
      </x:c>
      <x:c r="D32" s="93" t="n">
        <x:f>D31-('02_Historical_FS'!D15-'02_Historical_FS'!D51)</x:f>
        <x:v>-0.009999999991123332</x:v>
      </x:c>
      <x:c r="E32" s="93" t="n">
        <x:f>E31-('02_Historical_FS'!E15-'02_Historical_FS'!E51)</x:f>
        <x:v>0.00999999999476131</x:v>
      </x:c>
      <x:c r="F32" s="93" t="n">
        <x:f>F31-('02_Historical_FS'!F15-'02_Historical_FS'!F51)</x:f>
        <x:v>7.275957614183426e-12</x:v>
      </x:c>
      <x:c r="G32" s="93" t="n">
        <x:f>G31-('02_Historical_FS'!G15-'02_Historical_FS'!G51)</x:f>
        <x:v>-1.4551915228366852e-11</x:v>
      </x:c>
      <x:c r="H32" s="93" t="n">
        <x:f>H31-('02_Historical_FS'!H15-'02_Historical_FS'!H51)</x:f>
        <x:v>4.3655745685100555e-11</x:v>
      </x:c>
      <x:c r="I32" s="93"/>
      <x:c r="J32" s="93"/>
      <x:c r="K32" s="93"/>
      <x:c r="L32" s="93"/>
      <x:c r="M32" s="93"/>
      <x:c r="N32" s="2"/>
      <x:c r="O32" s="13" t="str">
        <x:v>FY22–FY24 source rounding can leave small differences. Company segment EBIT includes non-finance other income.</x:v>
      </x:c>
      <x:c r="P32" s="2"/>
    </x:row>
    <x:row r="33" ht="19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9" customHeight="1">
      <x:c r="A34" s="2"/>
      <x:c r="B34" s="2"/>
      <x:c r="C34" s="2" t="str">
        <x:v>Segment capex less reported group capex</x:v>
      </x:c>
      <x:c r="D34" s="93" t="n">
        <x:f>SUM(D53:D55)-'02_Historical_FS'!D158</x:f>
        <x:v>0</x:v>
      </x:c>
      <x:c r="E34" s="93" t="n">
        <x:f>SUM(E53:E55)-'02_Historical_FS'!E158</x:f>
        <x:v>-0.030000000000654836</x:v>
      </x:c>
      <x:c r="F34" s="93" t="n">
        <x:f>SUM(F53:F55)-'02_Historical_FS'!F158</x:f>
        <x:v>1.8189894035458565e-12</x:v>
      </x:c>
      <x:c r="G34" s="93" t="n">
        <x:f>SUM(G53:G55)-'02_Historical_FS'!G158</x:f>
        <x:v>0</x:v>
      </x:c>
      <x:c r="H34" s="93" t="n">
        <x:f>SUM(H53:H55)-'02_Historical_FS'!H158</x:f>
        <x:v>0</x:v>
      </x:c>
      <x:c r="I34" s="93"/>
      <x:c r="J34" s="93"/>
      <x:c r="K34" s="93"/>
      <x:c r="L34" s="93"/>
      <x:c r="M34" s="93"/>
      <x:c r="N34" s="2"/>
      <x:c r="O34" s="2"/>
      <x:c r="P34" s="2"/>
    </x:row>
    <x:row r="35" ht="19" customHeight="1">
      <x:c r="A35" s="2"/>
      <x:c r="B35" s="2"/>
      <x:c r="C35" s="2" t="str">
        <x:v>Segment D&amp;A less group D&amp;A</x:v>
      </x:c>
      <x:c r="D35" s="93" t="n">
        <x:f>SUM(D50:D52)-'02_Historical_FS'!D51</x:f>
        <x:v>0</x:v>
      </x:c>
      <x:c r="E35" s="93" t="n">
        <x:f>SUM(E50:E52)-'02_Historical_FS'!E51</x:f>
        <x:v>0</x:v>
      </x:c>
      <x:c r="F35" s="93" t="n">
        <x:f>SUM(F50:F52)-'02_Historical_FS'!F51</x:f>
        <x:v>0</x:v>
      </x:c>
      <x:c r="G35" s="93" t="n">
        <x:f>SUM(G50:G52)-'02_Historical_FS'!G51</x:f>
        <x:v>-4.547473508864641e-13</x:v>
      </x:c>
      <x:c r="H35" s="93" t="n">
        <x:f>SUM(H50:H52)-'02_Historical_FS'!H51</x:f>
        <x:v>0</x:v>
      </x:c>
      <x:c r="I35" s="93"/>
      <x:c r="J35" s="93"/>
      <x:c r="K35" s="93"/>
      <x:c r="L35" s="93"/>
      <x:c r="M35" s="93"/>
      <x:c r="N35" s="2"/>
      <x:c r="O35" s="2"/>
      <x:c r="P35" s="2"/>
    </x:row>
    <x:row r="36" ht="19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9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9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19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3" customHeight="1">
      <x:c r="A40" s="2"/>
      <x:c r="B40" s="2"/>
      <x:c r="C40" s="10" t="str">
        <x:v>SEGMENT DISCLOSURES</x:v>
      </x:c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2"/>
      <x:c r="O40" s="2"/>
      <x:c r="P40" s="2"/>
    </x:row>
    <x:row r="41" ht="19" customHeight="1">
      <x:c r="A41" s="2"/>
      <x:c r="B41" s="2"/>
      <x:c r="C41" s="2" t="str">
        <x:v>Wires &amp; Cables external segment income</x:v>
      </x:c>
      <x:c r="D41" s="12" t="n">
        <x:v>106953.3</x:v>
      </x:c>
      <x:c r="E41" s="12" t="n">
        <x:v>125368.92</x:v>
      </x:c>
      <x:c r="F41" s="12" t="n">
        <x:v>158922.1</x:v>
      </x:c>
      <x:c r="G41" s="12" t="n">
        <x:v>188881.03</x:v>
      </x:c>
      <x:c r="H41" s="12" t="n">
        <x:v>251788.81</x:v>
      </x:c>
      <x:c r="I41" s="11"/>
      <x:c r="J41" s="11"/>
      <x:c r="K41" s="11"/>
      <x:c r="L41" s="11"/>
      <x:c r="M41" s="11"/>
      <x:c r="N41" s="2"/>
      <x:c r="O41" s="13" t="str">
        <x:v>SEG. </x:v>
      </x:c>
      <x:c r="P41" s="2"/>
    </x:row>
    <x:row r="42" ht="19" customHeight="1">
      <x:c r="A42" s="2"/>
      <x:c r="B42" s="2"/>
      <x:c r="C42" s="2" t="str">
        <x:v>FMEG external segment income</x:v>
      </x:c>
      <x:c r="D42" s="12" t="n">
        <x:v>12543.83</x:v>
      </x:c>
      <x:c r="E42" s="12" t="n">
        <x:v>12511.57</x:v>
      </x:c>
      <x:c r="F42" s="12" t="n">
        <x:v>12827.58</x:v>
      </x:c>
      <x:c r="G42" s="12" t="n">
        <x:v>16535.42</x:v>
      </x:c>
      <x:c r="H42" s="12" t="n">
        <x:v>20693.28</x:v>
      </x:c>
      <x:c r="I42" s="11"/>
      <x:c r="J42" s="11"/>
      <x:c r="K42" s="11"/>
      <x:c r="L42" s="11"/>
      <x:c r="M42" s="11"/>
      <x:c r="N42" s="2"/>
      <x:c r="O42" s="13" t="str">
        <x:v>SEG. </x:v>
      </x:c>
      <x:c r="P42" s="2"/>
    </x:row>
    <x:row r="43" ht="19" customHeight="1">
      <x:c r="A43" s="2"/>
      <x:c r="B43" s="2"/>
      <x:c r="C43" s="2" t="str">
        <x:v>EPC / Others external segment income</x:v>
      </x:c>
      <x:c r="D43" s="12" t="n">
        <x:v>2942.79</x:v>
      </x:c>
      <x:c r="E43" s="12" t="n">
        <x:v>3584.34</x:v>
      </x:c>
      <x:c r="F43" s="12" t="n">
        <x:v>9642.45</x:v>
      </x:c>
      <x:c r="G43" s="12" t="n">
        <x:v>19192.39</x:v>
      </x:c>
      <x:c r="H43" s="12" t="n">
        <x:v>16664.96</x:v>
      </x:c>
      <x:c r="I43" s="11"/>
      <x:c r="J43" s="11"/>
      <x:c r="K43" s="11"/>
      <x:c r="L43" s="11"/>
      <x:c r="M43" s="11"/>
      <x:c r="N43" s="2"/>
      <x:c r="O43" s="13" t="str">
        <x:v>SEG. </x:v>
      </x:c>
      <x:c r="P43" s="2"/>
    </x:row>
    <x:row r="44" ht="19" customHeight="1">
      <x:c r="A44" s="2"/>
      <x:c r="B44" s="2"/>
      <x:c r="C44" s="2" t="str">
        <x:v>W&amp;C intersegment income</x:v>
      </x:c>
      <x:c r="D44" s="12" t="n">
        <x:v>984.76</x:v>
      </x:c>
      <x:c r="E44" s="12" t="n">
        <x:v>2406.11</x:v>
      </x:c>
      <x:c r="F44" s="12" t="n">
        <x:v>2150.41</x:v>
      </x:c>
      <x:c r="G44" s="12" t="n">
        <x:v>3485.3</x:v>
      </x:c>
      <x:c r="H44" s="12" t="n">
        <x:v>3555.37</x:v>
      </x:c>
      <x:c r="I44" s="11"/>
      <x:c r="J44" s="11"/>
      <x:c r="K44" s="11"/>
      <x:c r="L44" s="11"/>
      <x:c r="M44" s="11"/>
      <x:c r="N44" s="2"/>
      <x:c r="O44" s="13" t="str">
        <x:v>SEG. </x:v>
      </x:c>
      <x:c r="P44" s="2"/>
    </x:row>
    <x:row r="45" ht="19" customHeight="1">
      <x:c r="A45" s="2"/>
      <x:c r="B45" s="2"/>
      <x:c r="C45" s="2" t="str">
        <x:v>FMEG intersegment income</x:v>
      </x:c>
      <x:c r="D45" s="12" t="n">
        <x:v>0</x:v>
      </x:c>
      <x:c r="E45" s="12" t="n">
        <x:v>95.8</x:v>
      </x:c>
      <x:c r="F45" s="12" t="n">
        <x:v>160.64</x:v>
      </x:c>
      <x:c r="G45" s="12" t="n">
        <x:v>286.33</x:v>
      </x:c>
      <x:c r="H45" s="12" t="n">
        <x:v>0</x:v>
      </x:c>
      <x:c r="I45" s="11"/>
      <x:c r="J45" s="11"/>
      <x:c r="K45" s="11"/>
      <x:c r="L45" s="11"/>
      <x:c r="M45" s="11"/>
      <x:c r="N45" s="2"/>
      <x:c r="O45" s="13" t="str">
        <x:v>SEG. </x:v>
      </x:c>
      <x:c r="P45" s="2"/>
    </x:row>
    <x:row r="46" ht="19" customHeight="1">
      <x:c r="A46" s="2"/>
      <x:c r="B46" s="2"/>
      <x:c r="C46" s="2" t="str">
        <x:v>EPC / Others intersegment income</x:v>
      </x:c>
      <x:c r="D46" s="12" t="n">
        <x:v>759.03</x:v>
      </x:c>
      <x:c r="E46" s="12" t="n">
        <x:v>1062.74</x:v>
      </x:c>
      <x:c r="F46" s="12" t="n">
        <x:v>1365.61</x:v>
      </x:c>
      <x:c r="G46" s="12" t="n">
        <x:v>0</x:v>
      </x:c>
      <x:c r="H46" s="12" t="n">
        <x:v>0</x:v>
      </x:c>
      <x:c r="I46" s="11"/>
      <x:c r="J46" s="11"/>
      <x:c r="K46" s="11"/>
      <x:c r="L46" s="11"/>
      <x:c r="M46" s="11"/>
      <x:c r="N46" s="2"/>
      <x:c r="O46" s="13" t="str">
        <x:v>SEG. </x:v>
      </x:c>
      <x:c r="P46" s="2"/>
    </x:row>
    <x:row r="47" ht="19" customHeight="1">
      <x:c r="A47" s="2"/>
      <x:c r="B47" s="2"/>
      <x:c r="C47" s="2" t="str">
        <x:v>W&amp;C external segment EBIT</x:v>
      </x:c>
      <x:c r="D47" s="12" t="n">
        <x:v>10405.22</x:v>
      </x:c>
      <x:c r="E47" s="12" t="n">
        <x:v>16446.66</x:v>
      </x:c>
      <x:c r="F47" s="12" t="n">
        <x:v>23299.27</x:v>
      </x:c>
      <x:c r="G47" s="12" t="n">
        <x:v>25722.48</x:v>
      </x:c>
      <x:c r="H47" s="12" t="n">
        <x:v>34303.84</x:v>
      </x:c>
      <x:c r="I47" s="11"/>
      <x:c r="J47" s="11"/>
      <x:c r="K47" s="11"/>
      <x:c r="L47" s="11"/>
      <x:c r="M47" s="11"/>
      <x:c r="N47" s="2"/>
      <x:c r="O47" s="13" t="str">
        <x:v>SEG. </x:v>
      </x:c>
      <x:c r="P47" s="2"/>
    </x:row>
    <x:row r="48" ht="19" customHeight="1">
      <x:c r="A48" s="2"/>
      <x:c r="B48" s="2"/>
      <x:c r="C48" s="2" t="str">
        <x:v>FMEG external segment EBIT</x:v>
      </x:c>
      <x:c r="D48" s="12" t="n">
        <x:v>196.22</x:v>
      </x:c>
      <x:c r="E48" s="12" t="n">
        <x:v>-62.37</x:v>
      </x:c>
      <x:c r="F48" s="12" t="n">
        <x:v>-938.86</x:v>
      </x:c>
      <x:c r="G48" s="12" t="n">
        <x:v>-381.8</x:v>
      </x:c>
      <x:c r="H48" s="12" t="n">
        <x:v>548.38</x:v>
      </x:c>
      <x:c r="I48" s="11"/>
      <x:c r="J48" s="11"/>
      <x:c r="K48" s="11"/>
      <x:c r="L48" s="11"/>
      <x:c r="M48" s="11"/>
      <x:c r="N48" s="2"/>
      <x:c r="O48" s="13" t="str">
        <x:v>SEG. </x:v>
      </x:c>
      <x:c r="P48" s="2"/>
    </x:row>
    <x:row r="49" ht="19" customHeight="1">
      <x:c r="A49" s="2"/>
      <x:c r="B49" s="2"/>
      <x:c r="C49" s="2" t="str">
        <x:v>EPC / Others external segment EBIT</x:v>
      </x:c>
      <x:c r="D49" s="12" t="n">
        <x:v>437.66</x:v>
      </x:c>
      <x:c r="E49" s="12" t="n">
        <x:v>432.27</x:v>
      </x:c>
      <x:c r="F49" s="12" t="n">
        <x:v>1104.93</x:v>
      </x:c>
      <x:c r="G49" s="12" t="n">
        <x:v>1806.4</x:v>
      </x:c>
      <x:c r="H49" s="12" t="n">
        <x:v>1655.5</x:v>
      </x:c>
      <x:c r="I49" s="11"/>
      <x:c r="J49" s="11"/>
      <x:c r="K49" s="11"/>
      <x:c r="L49" s="11"/>
      <x:c r="M49" s="11"/>
      <x:c r="N49" s="2"/>
      <x:c r="O49" s="13" t="str">
        <x:v>SEG. </x:v>
      </x:c>
      <x:c r="P49" s="2"/>
    </x:row>
    <x:row r="50" ht="19" customHeight="1">
      <x:c r="A50" s="2"/>
      <x:c r="B50" s="2"/>
      <x:c r="C50" s="2" t="str">
        <x:v>W&amp;C depreciation and amortisation</x:v>
      </x:c>
      <x:c r="D50" s="12" t="n">
        <x:v>1773.78</x:v>
      </x:c>
      <x:c r="E50" s="12" t="n">
        <x:v>1834.52</x:v>
      </x:c>
      <x:c r="F50" s="12" t="n">
        <x:v>2085.78</x:v>
      </x:c>
      <x:c r="G50" s="12" t="n">
        <x:v>2625.92</x:v>
      </x:c>
      <x:c r="H50" s="12" t="n">
        <x:v>3382.04</x:v>
      </x:c>
      <x:c r="I50" s="11"/>
      <x:c r="J50" s="11"/>
      <x:c r="K50" s="11"/>
      <x:c r="L50" s="11"/>
      <x:c r="M50" s="11"/>
      <x:c r="N50" s="2"/>
      <x:c r="O50" s="13" t="str">
        <x:v>SEG. </x:v>
      </x:c>
      <x:c r="P50" s="2"/>
    </x:row>
    <x:row r="51" ht="19" customHeight="1">
      <x:c r="A51" s="2"/>
      <x:c r="B51" s="2"/>
      <x:c r="C51" s="2" t="str">
        <x:v>FMEG depreciation and amortisation</x:v>
      </x:c>
      <x:c r="D51" s="12" t="n">
        <x:v>212.7</x:v>
      </x:c>
      <x:c r="E51" s="12" t="n">
        <x:v>225.94</x:v>
      </x:c>
      <x:c r="F51" s="12" t="n">
        <x:v>325.14</x:v>
      </x:c>
      <x:c r="G51" s="12" t="n">
        <x:v>341.43</x:v>
      </x:c>
      <x:c r="H51" s="12" t="n">
        <x:v>420.97</x:v>
      </x:c>
      <x:c r="I51" s="11"/>
      <x:c r="J51" s="11"/>
      <x:c r="K51" s="11"/>
      <x:c r="L51" s="11"/>
      <x:c r="M51" s="11"/>
      <x:c r="N51" s="2"/>
      <x:c r="O51" s="13" t="str">
        <x:v>SEG. </x:v>
      </x:c>
      <x:c r="P51" s="2"/>
    </x:row>
    <x:row r="52" ht="19" customHeight="1">
      <x:c r="A52" s="2"/>
      <x:c r="B52" s="2"/>
      <x:c r="C52" s="2" t="str">
        <x:v>EPC / Others depreciation and amortisation</x:v>
      </x:c>
      <x:c r="D52" s="12" t="n">
        <x:v>28.71</x:v>
      </x:c>
      <x:c r="E52" s="12" t="n">
        <x:v>31.18</x:v>
      </x:c>
      <x:c r="F52" s="12" t="n">
        <x:v>39.48</x:v>
      </x:c>
      <x:c r="G52" s="12" t="n">
        <x:v>13.68</x:v>
      </x:c>
      <x:c r="H52" s="12" t="n">
        <x:v>55.68</x:v>
      </x:c>
      <x:c r="I52" s="11"/>
      <x:c r="J52" s="11"/>
      <x:c r="K52" s="11"/>
      <x:c r="L52" s="11"/>
      <x:c r="M52" s="11"/>
      <x:c r="N52" s="2"/>
      <x:c r="O52" s="13" t="str">
        <x:v>SEG. </x:v>
      </x:c>
      <x:c r="P52" s="2"/>
    </x:row>
    <x:row r="53" ht="19" customHeight="1">
      <x:c r="A53" s="2"/>
      <x:c r="B53" s="2"/>
      <x:c r="C53" s="2" t="str">
        <x:v>W&amp;C capex, net of disposals</x:v>
      </x:c>
      <x:c r="D53" s="12" t="n">
        <x:v>4048.15</x:v>
      </x:c>
      <x:c r="E53" s="12" t="n">
        <x:v>3157.1</x:v>
      </x:c>
      <x:c r="F53" s="12" t="n">
        <x:v>7582.56</x:v>
      </x:c>
      <x:c r="G53" s="12" t="n">
        <x:v>8953.5</x:v>
      </x:c>
      <x:c r="H53" s="12" t="n">
        <x:v>14276.64</x:v>
      </x:c>
      <x:c r="I53" s="11"/>
      <x:c r="J53" s="11"/>
      <x:c r="K53" s="11"/>
      <x:c r="L53" s="11"/>
      <x:c r="M53" s="11"/>
      <x:c r="N53" s="2"/>
      <x:c r="O53" s="13" t="str">
        <x:v>SEG. </x:v>
      </x:c>
      <x:c r="P53" s="2"/>
    </x:row>
    <x:row r="54" ht="19" customHeight="1">
      <x:c r="A54" s="2"/>
      <x:c r="B54" s="2"/>
      <x:c r="C54" s="2" t="str">
        <x:v>FMEG capex, net of disposals</x:v>
      </x:c>
      <x:c r="D54" s="12" t="n">
        <x:v>1091.27</x:v>
      </x:c>
      <x:c r="E54" s="12" t="n">
        <x:v>1329.38</x:v>
      </x:c>
      <x:c r="F54" s="12" t="n">
        <x:v>631.99</x:v>
      </x:c>
      <x:c r="G54" s="12" t="n">
        <x:v>629.85</x:v>
      </x:c>
      <x:c r="H54" s="12" t="n">
        <x:v>204.75</x:v>
      </x:c>
      <x:c r="I54" s="11"/>
      <x:c r="J54" s="11"/>
      <x:c r="K54" s="11"/>
      <x:c r="L54" s="11"/>
      <x:c r="M54" s="11"/>
      <x:c r="N54" s="2"/>
      <x:c r="O54" s="13" t="str">
        <x:v>SEG. </x:v>
      </x:c>
      <x:c r="P54" s="2"/>
    </x:row>
    <x:row r="55" ht="19" customHeight="1">
      <x:c r="A55" s="2"/>
      <x:c r="B55" s="2"/>
      <x:c r="C55" s="2" t="str">
        <x:v>EPC / Others capex, net of disposals</x:v>
      </x:c>
      <x:c r="D55" s="12" t="n">
        <x:v>60.61</x:v>
      </x:c>
      <x:c r="E55" s="12" t="n">
        <x:v>97.67</x:v>
      </x:c>
      <x:c r="F55" s="12" t="n">
        <x:v>365.18</x:v>
      </x:c>
      <x:c r="G55" s="12" t="n">
        <x:v>0</x:v>
      </x:c>
      <x:c r="H55" s="12" t="n">
        <x:v>317.95</x:v>
      </x:c>
      <x:c r="I55" s="11"/>
      <x:c r="J55" s="11"/>
      <x:c r="K55" s="11"/>
      <x:c r="L55" s="11"/>
      <x:c r="M55" s="11"/>
      <x:c r="N55" s="2"/>
      <x:c r="O55" s="13" t="str">
        <x:v>SEG. </x:v>
      </x:c>
      <x:c r="P55" s="2"/>
    </x:row>
    <x:row r="56" ht="19" customHeight="1">
      <x:c r="A56" s="2"/>
      <x:c r="B56" s="2"/>
      <x:c r="C56" s="2" t="str">
        <x:v>W&amp;C segment assets</x:v>
      </x:c>
      <x:c r="D56" s="12" t="n">
        <x:v>49395.56</x:v>
      </x:c>
      <x:c r="E56" s="12" t="n">
        <x:v>57421.6</x:v>
      </x:c>
      <x:c r="F56" s="12" t="n">
        <x:v>74368.43</x:v>
      </x:c>
      <x:c r="G56" s="12" t="n">
        <x:v>80001.3</x:v>
      </x:c>
      <x:c r="H56" s="12" t="n">
        <x:v>115450.84</x:v>
      </x:c>
      <x:c r="I56" s="11"/>
      <x:c r="J56" s="11"/>
      <x:c r="K56" s="11"/>
      <x:c r="L56" s="11"/>
      <x:c r="M56" s="11"/>
      <x:c r="N56" s="2"/>
      <x:c r="O56" s="13" t="str">
        <x:v>SEG. </x:v>
      </x:c>
      <x:c r="P56" s="2"/>
    </x:row>
    <x:row r="57" ht="19" customHeight="1">
      <x:c r="A57" s="2"/>
      <x:c r="B57" s="2"/>
      <x:c r="C57" s="2" t="str">
        <x:v>FMEG segment assets</x:v>
      </x:c>
      <x:c r="D57" s="12" t="n">
        <x:v>7754.41</x:v>
      </x:c>
      <x:c r="E57" s="12" t="n">
        <x:v>7496.62</x:v>
      </x:c>
      <x:c r="F57" s="12" t="n">
        <x:v>7765.94</x:v>
      </x:c>
      <x:c r="G57" s="12" t="n">
        <x:v>8437.2</x:v>
      </x:c>
      <x:c r="H57" s="12" t="n">
        <x:v>9514.33</x:v>
      </x:c>
      <x:c r="I57" s="11"/>
      <x:c r="J57" s="11"/>
      <x:c r="K57" s="11"/>
      <x:c r="L57" s="11"/>
      <x:c r="M57" s="11"/>
      <x:c r="N57" s="2"/>
      <x:c r="O57" s="13" t="str">
        <x:v>SEG. </x:v>
      </x:c>
      <x:c r="P57" s="2"/>
    </x:row>
    <x:row r="58" ht="19" customHeight="1">
      <x:c r="A58" s="2"/>
      <x:c r="B58" s="2"/>
      <x:c r="C58" s="2" t="str">
        <x:v>EPC / Others segment assets</x:v>
      </x:c>
      <x:c r="D58" s="12" t="n">
        <x:v>3491.26</x:v>
      </x:c>
      <x:c r="E58" s="12" t="n">
        <x:v>4531.18</x:v>
      </x:c>
      <x:c r="F58" s="12" t="n">
        <x:v>9872.57</x:v>
      </x:c>
      <x:c r="G58" s="12" t="n">
        <x:v>17235.42</x:v>
      </x:c>
      <x:c r="H58" s="12" t="n">
        <x:v>27186.75</x:v>
      </x:c>
      <x:c r="I58" s="11"/>
      <x:c r="J58" s="11"/>
      <x:c r="K58" s="11"/>
      <x:c r="L58" s="11"/>
      <x:c r="M58" s="11"/>
      <x:c r="N58" s="2"/>
      <x:c r="O58" s="13" t="str">
        <x:v>SEG. </x:v>
      </x:c>
      <x:c r="P58" s="2"/>
    </x:row>
    <x:row r="59" ht="19" customHeight="1">
      <x:c r="A59" s="2"/>
      <x:c r="B59" s="2"/>
      <x:c r="C59" s="2" t="str">
        <x:v>W&amp;C segment liabilities</x:v>
      </x:c>
      <x:c r="D59" s="12" t="n">
        <x:v>10280.46</x:v>
      </x:c>
      <x:c r="E59" s="12" t="n">
        <x:v>18500.79</x:v>
      </x:c>
      <x:c r="F59" s="12" t="n">
        <x:v>25344.9</x:v>
      </x:c>
      <x:c r="G59" s="12" t="n">
        <x:v>22513.95</x:v>
      </x:c>
      <x:c r="H59" s="12" t="n">
        <x:v>53834.54</x:v>
      </x:c>
      <x:c r="I59" s="11"/>
      <x:c r="J59" s="11"/>
      <x:c r="K59" s="11"/>
      <x:c r="L59" s="11"/>
      <x:c r="M59" s="11"/>
      <x:c r="N59" s="2"/>
      <x:c r="O59" s="13" t="str">
        <x:v>SEG. </x:v>
      </x:c>
      <x:c r="P59" s="2"/>
    </x:row>
    <x:row r="60" ht="19" customHeight="1">
      <x:c r="A60" s="2"/>
      <x:c r="B60" s="2"/>
      <x:c r="C60" s="2" t="str">
        <x:v>FMEG segment liabilities</x:v>
      </x:c>
      <x:c r="D60" s="12" t="n">
        <x:v>2697.31</x:v>
      </x:c>
      <x:c r="E60" s="12" t="n">
        <x:v>2462.44</x:v>
      </x:c>
      <x:c r="F60" s="12" t="n">
        <x:v>2563.5</x:v>
      </x:c>
      <x:c r="G60" s="12" t="n">
        <x:v>3650.55</x:v>
      </x:c>
      <x:c r="H60" s="12" t="n">
        <x:v>5188.44</x:v>
      </x:c>
      <x:c r="I60" s="11"/>
      <x:c r="J60" s="11"/>
      <x:c r="K60" s="11"/>
      <x:c r="L60" s="11"/>
      <x:c r="M60" s="11"/>
      <x:c r="N60" s="2"/>
      <x:c r="O60" s="13" t="str">
        <x:v>SEG. </x:v>
      </x:c>
      <x:c r="P60" s="2"/>
    </x:row>
    <x:row r="61" ht="19" customHeight="1">
      <x:c r="A61" s="2"/>
      <x:c r="B61" s="2"/>
      <x:c r="C61" s="2" t="str">
        <x:v>EPC / Others segment liabilities</x:v>
      </x:c>
      <x:c r="D61" s="12" t="n">
        <x:v>2726.23</x:v>
      </x:c>
      <x:c r="E61" s="12" t="n">
        <x:v>2355.51</x:v>
      </x:c>
      <x:c r="F61" s="12" t="n">
        <x:v>4699</x:v>
      </x:c>
      <x:c r="G61" s="12" t="n">
        <x:v>5180.31</x:v>
      </x:c>
      <x:c r="H61" s="12" t="n">
        <x:v>13323.24</x:v>
      </x:c>
      <x:c r="I61" s="11"/>
      <x:c r="J61" s="11"/>
      <x:c r="K61" s="11"/>
      <x:c r="L61" s="11"/>
      <x:c r="M61" s="11"/>
      <x:c r="N61" s="2"/>
      <x:c r="O61" s="13" t="str">
        <x:v>SEG. </x:v>
      </x:c>
      <x:c r="P61" s="2"/>
    </x:row>
    <x:row r="62" ht="19" customHeight="1">
      <x:c r="A62" s="2"/>
      <x:c r="B62" s="2"/>
      <x:c r="C62" s="2" t="str">
        <x:v>Export / international income</x:v>
      </x:c>
      <x:c r="D62" s="12" t="n">
        <x:v>9229.26</x:v>
      </x:c>
      <x:c r="E62" s="12" t="n">
        <x:v>13835.23</x:v>
      </x:c>
      <x:c r="F62" s="12" t="n">
        <x:v>14359.61</x:v>
      </x:c>
      <x:c r="G62" s="12" t="n">
        <x:v>13451.86</x:v>
      </x:c>
      <x:c r="H62" s="12" t="n">
        <x:v>15694.66</x:v>
      </x:c>
      <x:c r="I62" s="11"/>
      <x:c r="J62" s="11"/>
      <x:c r="K62" s="11"/>
      <x:c r="L62" s="11"/>
      <x:c r="M62" s="11"/>
      <x:c r="N62" s="2"/>
      <x:c r="O62" s="13" t="str">
        <x:v>SEG. </x:v>
      </x:c>
      <x:c r="P62" s="2"/>
    </x:row>
    <x:row r="63" ht="19" customHeight="1">
      <x:c r="A63" s="2"/>
      <x:c r="B63" s="2"/>
      <x:c r="C63" s="2" t="str">
        <x:v>External segment income within India</x:v>
      </x:c>
      <x:c r="D63" s="12" t="n">
        <x:v>113210.66</x:v>
      </x:c>
      <x:c r="E63" s="12" t="n">
        <x:v>127629.6</x:v>
      </x:c>
      <x:c r="F63" s="12" t="n">
        <x:v>167032.52</x:v>
      </x:c>
      <x:c r="G63" s="12" t="n">
        <x:v>211156.98</x:v>
      </x:c>
      <x:c r="H63" s="12" t="n">
        <x:v>273452.39</x:v>
      </x:c>
      <x:c r="I63" s="11"/>
      <x:c r="J63" s="11"/>
      <x:c r="K63" s="11"/>
      <x:c r="L63" s="11"/>
      <x:c r="M63" s="11"/>
      <x:c r="N63" s="2"/>
      <x:c r="O63" s="13" t="str">
        <x:v>SEG. </x:v>
      </x:c>
      <x:c r="P63" s="2"/>
    </x:row>
    <x:row r="64" ht="23" customHeight="1">
      <x:c r="A64" s="2"/>
      <x:c r="B64" s="2"/>
      <x:c r="C64" s="10" t="str">
        <x:v>OPERATING KPIs</x:v>
      </x:c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2"/>
      <x:c r="O64" s="2"/>
      <x:c r="P64" s="2"/>
    </x:row>
    <x:row r="65" ht="19" customHeight="1">
      <x:c r="A65" s="2"/>
      <x:c r="B65" s="2"/>
      <x:c r="C65" s="21" t="str">
        <x:v>Organised domestic W&amp;C market share, low</x:v>
      </x:c>
      <x:c r="D65" s="28" t="n">
        <x:v>0.22</x:v>
      </x:c>
      <x:c r="E65" s="28" t="n">
        <x:v>0.22</x:v>
      </x:c>
      <x:c r="F65" s="28" t="n">
        <x:v>0.25</x:v>
      </x:c>
      <x:c r="G65" s="28" t="n">
        <x:v>0.26</x:v>
      </x:c>
      <x:c r="H65" s="28" t="n">
        <x:v>0.3</x:v>
      </x:c>
      <x:c r="I65" s="22"/>
      <x:c r="J65" s="22"/>
      <x:c r="K65" s="22"/>
      <x:c r="L65" s="22"/>
      <x:c r="M65" s="22"/>
      <x:c r="N65" s="2"/>
      <x:c r="O65" s="13" t="str">
        <x:v>OPS. Company estimates; ranges retained, not midpoints.</x:v>
      </x:c>
      <x:c r="P65" s="2"/>
    </x:row>
    <x:row r="66" ht="19" customHeight="1">
      <x:c r="A66" s="2"/>
      <x:c r="B66" s="2"/>
      <x:c r="C66" s="21" t="str">
        <x:v>Organised domestic W&amp;C market share, high</x:v>
      </x:c>
      <x:c r="D66" s="28" t="n">
        <x:v>0.24</x:v>
      </x:c>
      <x:c r="E66" s="28" t="n">
        <x:v>0.24</x:v>
      </x:c>
      <x:c r="F66" s="28" t="n">
        <x:v>0.26</x:v>
      </x:c>
      <x:c r="G66" s="28" t="n">
        <x:v>0.27</x:v>
      </x:c>
      <x:c r="H66" s="28" t="n">
        <x:v>0.31</x:v>
      </x:c>
      <x:c r="I66" s="22"/>
      <x:c r="J66" s="22"/>
      <x:c r="K66" s="22"/>
      <x:c r="L66" s="22"/>
      <x:c r="M66" s="22"/>
      <x:c r="N66" s="2"/>
      <x:c r="O66" s="13" t="str">
        <x:v>OPS. Company estimates.</x:v>
      </x:c>
      <x:c r="P66" s="2"/>
    </x:row>
    <x:row r="67" ht="19" customHeight="1">
      <x:c r="A67" s="2"/>
      <x:c r="B67" s="2"/>
      <x:c r="C67" s="2" t="str">
        <x:v>Dealers / distributors, reported lower bound</x:v>
      </x:c>
      <x:c r="D67" s="30" t="n">
        <x:v>4600</x:v>
      </x:c>
      <x:c r="E67" s="30" t="n">
        <x:v>4300</x:v>
      </x:c>
      <x:c r="F67" s="30" t="n">
        <x:v>3800</x:v>
      </x:c>
      <x:c r="G67" s="30" t="n">
        <x:v>4300</x:v>
      </x:c>
      <x:c r="H67" s="30" t="n">
        <x:v>3900</x:v>
      </x:c>
      <x:c r="I67" s="29"/>
      <x:c r="J67" s="29"/>
      <x:c r="K67" s="29"/>
      <x:c r="L67" s="29"/>
      <x:c r="M67" s="29"/>
      <x:c r="N67" s="2"/>
      <x:c r="O67" s="13" t="str">
        <x:v>OPS. Disclosures say + / over; count definitions and network scope may change.</x:v>
      </x:c>
      <x:c r="P67" s="2"/>
    </x:row>
    <x:row r="68" ht="19" customHeight="1">
      <x:c r="A68" s="2"/>
      <x:c r="B68" s="2"/>
      <x:c r="C68" s="2" t="str">
        <x:v>Retail outlets, reported lower bound</x:v>
      </x:c>
      <x:c r="D68" s="30" t="n">
        <x:v>205000</x:v>
      </x:c>
      <x:c r="E68" s="30" t="n">
        <x:v>205000</x:v>
      </x:c>
      <x:c r="F68" s="30" t="n">
        <x:v>205000</x:v>
      </x:c>
      <x:c r="G68" s="30" t="n">
        <x:v>200000</x:v>
      </x:c>
      <x:c r="H68" s="30" t="n">
        <x:v>190000</x:v>
      </x:c>
      <x:c r="I68" s="29"/>
      <x:c r="J68" s="29"/>
      <x:c r="K68" s="29"/>
      <x:c r="L68" s="29"/>
      <x:c r="M68" s="29"/>
      <x:c r="N68" s="2"/>
      <x:c r="O68" s="13" t="str">
        <x:v>OPS. Disclosures say + / over; not an exact count.</x:v>
      </x:c>
      <x:c r="P68" s="2"/>
    </x:row>
    <x:row r="69" ht="19" customHeight="1">
      <x:c r="A69" s="2"/>
      <x:c r="B69" s="2"/>
      <x:c r="C69" s="2" t="str">
        <x:v>Manufacturing units, corporate overview</x:v>
      </x:c>
      <x:c r="D69" s="30" t="n">
        <x:v>23</x:v>
      </x:c>
      <x:c r="E69" s="30" t="n">
        <x:v>25</x:v>
      </x:c>
      <x:c r="F69" s="30" t="n">
        <x:v>28</x:v>
      </x:c>
      <x:c r="G69" s="30" t="n">
        <x:v>27</x:v>
      </x:c>
      <x:c r="H69" s="30" t="n">
        <x:v>26</x:v>
      </x:c>
      <x:c r="I69" s="29"/>
      <x:c r="J69" s="29"/>
      <x:c r="K69" s="29"/>
      <x:c r="L69" s="29"/>
      <x:c r="M69" s="29"/>
      <x:c r="N69" s="2"/>
      <x:c r="O69" s="13" t="str">
        <x:v>OPS. Corporate-overview perimeter; differs from group-facility counts in financial notes.</x:v>
      </x:c>
      <x:c r="P69" s="2"/>
    </x:row>
    <x:row r="70" ht="19" customHeight="1">
      <x:c r="A70" s="2"/>
      <x:c r="B70" s="2"/>
      <x:c r="C70" s="2" t="str">
        <x:v>Warehouses and depots</x:v>
      </x:c>
      <x:c r="D70" s="30" t="n">
        <x:v>28</x:v>
      </x:c>
      <x:c r="E70" s="30" t="n">
        <x:v>23</x:v>
      </x:c>
      <x:c r="F70" s="30" t="n">
        <x:v>29</x:v>
      </x:c>
      <x:c r="G70" s="30" t="n">
        <x:v>34</x:v>
      </x:c>
      <x:c r="H70" s="30" t="n">
        <x:v>35</x:v>
      </x:c>
      <x:c r="I70" s="29"/>
      <x:c r="J70" s="29"/>
      <x:c r="K70" s="29"/>
      <x:c r="L70" s="29"/>
      <x:c r="M70" s="29"/>
      <x:c r="N70" s="2"/>
      <x:c r="O70" s="13" t="str">
        <x:v>OPS. Corporate overview.</x:v>
      </x:c>
      <x:c r="P70" s="2"/>
    </x:row>
    <x:row r="71" ht="19" customHeight="1">
      <x:c r="A71" s="2"/>
      <x:c r="B71" s="2"/>
      <x:c r="C71" s="2" t="str">
        <x:v>International country presence</x:v>
      </x:c>
      <x:c r="D71" s="30" t="n">
        <x:v>63</x:v>
      </x:c>
      <x:c r="E71" s="30" t="n">
        <x:v>70</x:v>
      </x:c>
      <x:c r="F71" s="30" t="n">
        <x:v>79</x:v>
      </x:c>
      <x:c r="G71" s="30" t="n">
        <x:v>84</x:v>
      </x:c>
      <x:c r="H71" s="30" t="n">
        <x:v>94</x:v>
      </x:c>
      <x:c r="I71" s="29"/>
      <x:c r="J71" s="29"/>
      <x:c r="K71" s="29"/>
      <x:c r="L71" s="29"/>
      <x:c r="M71" s="29"/>
      <x:c r="N71" s="2"/>
      <x:c r="O71" s="13" t="str">
        <x:v>P26. Q4FY26 presentation p10 historical series.</x:v>
      </x:c>
      <x:c r="P71" s="2"/>
    </x:row>
    <x:row r="72" ht="19" customHeight="1">
      <x:c r="A72" s="2"/>
      <x:c r="B72" s="2"/>
      <x:c r="C72" s="2" t="str">
        <x:v>Capacity utilisation, disclosed range</x:v>
      </x:c>
      <x:c r="D72" s="12" t="str">
        <x:v>n.a.</x:v>
      </x:c>
      <x:c r="E72" s="12" t="str">
        <x:v>n.a.</x:v>
      </x:c>
      <x:c r="F72" s="12" t="str">
        <x:v>70–80%</x:v>
      </x:c>
      <x:c r="G72" s="12" t="str">
        <x:v>70–80%</x:v>
      </x:c>
      <x:c r="H72" s="12" t="str">
        <x:v>75–80%</x:v>
      </x:c>
      <x:c r="I72" s="11"/>
      <x:c r="J72" s="11"/>
      <x:c r="K72" s="11"/>
      <x:c r="L72" s="11"/>
      <x:c r="M72" s="11"/>
      <x:c r="N72" s="2"/>
      <x:c r="O72" s="13" t="str">
        <x:v>OPS. No numeric midpoint or forward assumption is imposed.</x:v>
      </x:c>
      <x:c r="P72" s="2"/>
    </x:row>
    <x:row r="73" ht="19" customHeight="1">
      <x:c r="A73" s="2"/>
      <x:c r="B73" s="2"/>
      <x:c r="C73" s="21" t="str">
        <x:v>Domestic W&amp;C volume growth</x:v>
      </x:c>
      <x:c r="D73" s="28" t="str">
        <x:v>n.a.</x:v>
      </x:c>
      <x:c r="E73" s="28" t="str">
        <x:v>n.a.</x:v>
      </x:c>
      <x:c r="F73" s="28" t="str">
        <x:v>n.a.</x:v>
      </x:c>
      <x:c r="G73" s="28" t="str">
        <x:v>n.a.</x:v>
      </x:c>
      <x:c r="H73" s="28" t="n">
        <x:v>0.18</x:v>
      </x:c>
      <x:c r="I73" s="22"/>
      <x:c r="J73" s="22"/>
      <x:c r="K73" s="22"/>
      <x:c r="L73" s="22"/>
      <x:c r="M73" s="22"/>
      <x:c r="N73" s="2"/>
      <x:c r="O73" s="13" t="str">
        <x:v>OPS. FY26 approximate company disclosure, AR26 p44. Earlier comparable quantitative series not verified.</x:v>
      </x:c>
      <x:c r="P73" s="2"/>
    </x:row>
    <x:row r="74" ht="19" customHeight="1">
      <x:c r="A74" s="2"/>
      <x:c r="B74" s="2"/>
      <x:c r="C74" s="2" t="str">
        <x:v>Advertising and sales promotion expense</x:v>
      </x:c>
      <x:c r="D74" s="12" t="n">
        <x:v>822.69</x:v>
      </x:c>
      <x:c r="E74" s="12" t="n">
        <x:v>1244.04</x:v>
      </x:c>
      <x:c r="F74" s="12" t="n">
        <x:v>1988.63</x:v>
      </x:c>
      <x:c r="G74" s="12" t="n">
        <x:v>1209</x:v>
      </x:c>
      <x:c r="H74" s="12" t="n">
        <x:v>1902</x:v>
      </x:c>
      <x:c r="I74" s="11"/>
      <x:c r="J74" s="11"/>
      <x:c r="K74" s="11"/>
      <x:c r="L74" s="11"/>
      <x:c r="M74" s="11"/>
      <x:c r="N74" s="2"/>
      <x:c r="O74" s="13" t="str">
        <x:v>ADS. AR22 p220–221; AR24 p370–371; Q4FY26 p27 (FY25/FY26 rounded).</x:v>
      </x:c>
      <x:c r="P74" s="2"/>
    </x:row>
    <x:row r="75" ht="19" customHeight="1">
      <x:c r="A75" s="2"/>
      <x:c r="B75" s="2"/>
      <x:c r="C75" s="2" t="str">
        <x:v>Average LME copper price (USD/MT)</x:v>
      </x:c>
      <x:c r="D75" s="30" t="n">
        <x:v>9691</x:v>
      </x:c>
      <x:c r="E75" s="30" t="n">
        <x:v>8551</x:v>
      </x:c>
      <x:c r="F75" s="30" t="n">
        <x:v>8361</x:v>
      </x:c>
      <x:c r="G75" s="30" t="str">
        <x:v>n.a.</x:v>
      </x:c>
      <x:c r="H75" s="30" t="str">
        <x:v>n.a.</x:v>
      </x:c>
      <x:c r="I75" s="29"/>
      <x:c r="J75" s="29"/>
      <x:c r="K75" s="29"/>
      <x:c r="L75" s="29"/>
      <x:c r="M75" s="29"/>
      <x:c r="N75" s="2"/>
      <x:c r="O75" s="13" t="str">
        <x:v>AR24. AR24 p124 chart. Later comparable annual averages not verified.</x:v>
      </x:c>
      <x:c r="P75" s="2"/>
    </x:row>
    <x:row r="76" ht="19" customHeight="1">
      <x:c r="A76" s="2"/>
      <x:c r="B76" s="2"/>
      <x:c r="C76" s="2" t="str">
        <x:v>Average LME aluminium price (USD/MT)</x:v>
      </x:c>
      <x:c r="D76" s="30" t="n">
        <x:v>3036</x:v>
      </x:c>
      <x:c r="E76" s="30" t="n">
        <x:v>2769</x:v>
      </x:c>
      <x:c r="F76" s="30" t="n">
        <x:v>2201</x:v>
      </x:c>
      <x:c r="G76" s="30" t="str">
        <x:v>n.a.</x:v>
      </x:c>
      <x:c r="H76" s="30" t="str">
        <x:v>n.a.</x:v>
      </x:c>
      <x:c r="I76" s="29"/>
      <x:c r="J76" s="29"/>
      <x:c r="K76" s="29"/>
      <x:c r="L76" s="29"/>
      <x:c r="M76" s="29"/>
      <x:c r="N76" s="2"/>
      <x:c r="O76" s="13" t="str">
        <x:v>AR24. AR24 p124 chart.</x:v>
      </x:c>
      <x:c r="P76" s="2"/>
    </x:row>
    <x:row r="77" ht="19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19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19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19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19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19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19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19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19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19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19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19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19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19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19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19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19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19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19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 ht="19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 ht="19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 ht="19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 ht="19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 ht="19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</x:sheetData>
  <x:mergeCells>
    <x:mergeCell ref="C4:M4"/>
  </x:mergeCells>
  <x:conditionalFormatting sqref="D11:M11">
    <x:cfRule type="cellIs" dxfId="1" priority="1" operator="notBetween">
      <x:formula>-0.1</x:formula>
      <x:formula>0.1</x:formula>
    </x:cfRule>
  </x:conditionalFormatting>
  <x:conditionalFormatting sqref="D32:M32">
    <x:cfRule type="cellIs" dxfId="2" priority="2" operator="notBetween">
      <x:formula>-0.1</x:formula>
      <x:formula>0.1</x:formula>
    </x:cfRule>
  </x:conditionalFormatting>
  <x:conditionalFormatting sqref="D34:M34">
    <x:cfRule type="cellIs" dxfId="3" priority="3" operator="notBetween">
      <x:formula>-0.1</x:formula>
      <x:formula>0.1</x:formula>
    </x:cfRule>
  </x:conditionalFormatting>
  <x:conditionalFormatting sqref="D35:M35">
    <x:cfRule type="cellIs" dxfId="4" priority="4" operator="notBetween">
      <x:formula>-0.1</x:formula>
      <x:formula>0.1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C18A24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5" hidden="0" customWidth="1"/>
    <x:col min="16" max="16" width="3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9" customHeight="1">
      <x:c r="A2" s="2"/>
      <x:c r="B2" s="2"/>
      <x:c r="C2" s="3" t="str">
        <x:v>Forecast drivers and assumptions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</x:row>
    <x:row r="4" ht="30" customHeight="1">
      <x:c r="A4" s="2"/>
      <x:c r="B4" s="2"/>
      <x:c r="C4" s="84" t="str">
        <x:v>Amber cells are intentionally empty. Active formulas use the selected case only.</x:v>
      </x:c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2"/>
      <x:c r="O4" s="2" t="str">
        <x:v>Active case</x:v>
      </x:c>
      <x:c r="P4" s="2"/>
    </x:row>
    <x:row r="5" ht="1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70" t="str">
        <x:f>CHOOSE('00_Cover'!D10,"Base","Bull","Bear")</x:f>
        <x:v>Base</x:v>
      </x:c>
      <x:c r="P5" s="2"/>
    </x:row>
    <x:row r="6" ht="19" customHeight="1">
      <x:c r="A6" s="2"/>
      <x:c r="B6" s="2"/>
      <x:c r="C6" s="2" t="str">
        <x:v>INR million, unless specified</x:v>
      </x:c>
      <x:c r="D6" s="8" t="str">
        <x:v>FY22A</x:v>
      </x:c>
      <x:c r="E6" s="8" t="str">
        <x:v>FY23A</x:v>
      </x:c>
      <x:c r="F6" s="8" t="str">
        <x:v>FY24A</x:v>
      </x:c>
      <x:c r="G6" s="8" t="str">
        <x:v>FY25A</x:v>
      </x:c>
      <x:c r="H6" s="8" t="str">
        <x:v>FY26A</x:v>
      </x:c>
      <x:c r="I6" s="33" t="str">
        <x:v>FY27E</x:v>
      </x:c>
      <x:c r="J6" s="33" t="str">
        <x:v>FY28E</x:v>
      </x:c>
      <x:c r="K6" s="33" t="str">
        <x:v>FY29E</x:v>
      </x:c>
      <x:c r="L6" s="33" t="str">
        <x:v>FY30E</x:v>
      </x:c>
      <x:c r="M6" s="33" t="str">
        <x:v>FY31E</x:v>
      </x:c>
      <x:c r="N6" s="2"/>
      <x:c r="O6" s="2"/>
      <x:c r="P6" s="2"/>
    </x:row>
    <x:row r="7" ht="19" customHeight="1">
      <x:c r="A7" s="2"/>
      <x:c r="B7" s="2"/>
      <x:c r="C7" s="2"/>
      <x:c r="D7" s="2"/>
      <x:c r="E7" s="2"/>
      <x:c r="F7" s="2"/>
      <x:c r="G7" s="2"/>
      <x:c r="H7" s="2"/>
      <x:c r="I7" s="34"/>
      <x:c r="J7" s="34"/>
      <x:c r="K7" s="34"/>
      <x:c r="L7" s="34"/>
      <x:c r="M7" s="34"/>
      <x:c r="N7" s="2"/>
      <x:c r="O7" s="2"/>
      <x:c r="P7" s="2"/>
    </x:row>
    <x:row r="8" ht="19" customHeight="1">
      <x:c r="A8" s="2"/>
      <x:c r="B8" s="2"/>
      <x:c r="C8" s="2"/>
      <x:c r="D8" s="2"/>
      <x:c r="E8" s="2"/>
      <x:c r="F8" s="2"/>
      <x:c r="G8" s="2"/>
      <x:c r="H8" s="2"/>
      <x:c r="I8" s="34"/>
      <x:c r="J8" s="34"/>
      <x:c r="K8" s="34"/>
      <x:c r="L8" s="34"/>
      <x:c r="M8" s="34"/>
      <x:c r="N8" s="2"/>
      <x:c r="O8" s="2"/>
      <x:c r="P8" s="2"/>
    </x:row>
    <x:row r="9" ht="19" customHeight="1">
      <x:c r="A9" s="2"/>
      <x:c r="B9" s="2"/>
      <x:c r="C9" s="42" t="str">
        <x:v>Domestic W&amp;C industry real-volume growth — active</x:v>
      </x:c>
      <x:c r="D9" s="43"/>
      <x:c r="E9" s="43"/>
      <x:c r="F9" s="43"/>
      <x:c r="G9" s="43"/>
      <x:c r="H9" s="43"/>
      <x:c r="I9" s="46" t="str">
        <x:f>IF(CHOOSE('00_Cover'!$D$10,ISNUMBER(I10),ISNUMBER(I11),ISNUMBER(I12)),CHOOSE('00_Cover'!$D$10,I10,I11,I12),"")</x:f>
      </x:c>
      <x:c r="J9" s="46" t="str">
        <x:f>IF(CHOOSE('00_Cover'!$D$10,ISNUMBER(J10),ISNUMBER(J11),ISNUMBER(J12)),CHOOSE('00_Cover'!$D$10,J10,J11,J12),"")</x:f>
      </x:c>
      <x:c r="K9" s="46" t="str">
        <x:f>IF(CHOOSE('00_Cover'!$D$10,ISNUMBER(K10),ISNUMBER(K11),ISNUMBER(K12)),CHOOSE('00_Cover'!$D$10,K10,K11,K12),"")</x:f>
      </x:c>
      <x:c r="L9" s="46" t="str">
        <x:f>IF(CHOOSE('00_Cover'!$D$10,ISNUMBER(L10),ISNUMBER(L11),ISNUMBER(L12)),CHOOSE('00_Cover'!$D$10,L10,L11,L12),"")</x:f>
      </x:c>
      <x:c r="M9" s="46" t="str">
        <x:f>IF(CHOOSE('00_Cover'!$D$10,ISNUMBER(M10),ISNUMBER(M11),ISNUMBER(M12)),CHOOSE('00_Cover'!$D$10,M10,M11,M12),"")</x:f>
      </x:c>
      <x:c r="N9" s="2"/>
      <x:c r="O9" s="13" t="str">
        <x:v>Evidence needed: annual industry volume outlook.</x:v>
      </x:c>
      <x:c r="P9" s="2"/>
    </x:row>
    <x:row r="10" ht="19" customHeight="1">
      <x:c r="A10" s="2"/>
      <x:c r="B10" s="2"/>
      <x:c r="C10" s="21" t="str">
        <x:v>Base input</x:v>
      </x:c>
      <x:c r="D10" s="22"/>
      <x:c r="E10" s="22"/>
      <x:c r="F10" s="22"/>
      <x:c r="G10" s="22"/>
      <x:c r="H10" s="22"/>
      <x:c r="I10" s="45"/>
      <x:c r="J10" s="45"/>
      <x:c r="K10" s="45"/>
      <x:c r="L10" s="45"/>
      <x:c r="M10" s="45"/>
      <x:c r="N10" s="2"/>
      <x:c r="O10" s="2"/>
      <x:c r="P10" s="2"/>
    </x:row>
    <x:row r="11" ht="19" customHeight="1">
      <x:c r="A11" s="2"/>
      <x:c r="B11" s="2"/>
      <x:c r="C11" s="21" t="str">
        <x:v>Bull input</x:v>
      </x:c>
      <x:c r="D11" s="22"/>
      <x:c r="E11" s="22"/>
      <x:c r="F11" s="22"/>
      <x:c r="G11" s="22"/>
      <x:c r="H11" s="22"/>
      <x:c r="I11" s="45"/>
      <x:c r="J11" s="45"/>
      <x:c r="K11" s="45"/>
      <x:c r="L11" s="45"/>
      <x:c r="M11" s="45"/>
      <x:c r="N11" s="2"/>
      <x:c r="O11" s="2"/>
      <x:c r="P11" s="2"/>
    </x:row>
    <x:row r="12" ht="19" customHeight="1">
      <x:c r="A12" s="2"/>
      <x:c r="B12" s="2"/>
      <x:c r="C12" s="21" t="str">
        <x:v>Bear input</x:v>
      </x:c>
      <x:c r="D12" s="22"/>
      <x:c r="E12" s="22"/>
      <x:c r="F12" s="22"/>
      <x:c r="G12" s="22"/>
      <x:c r="H12" s="22"/>
      <x:c r="I12" s="45"/>
      <x:c r="J12" s="45"/>
      <x:c r="K12" s="45"/>
      <x:c r="L12" s="45"/>
      <x:c r="M12" s="45"/>
      <x:c r="N12" s="2"/>
      <x:c r="O12" s="2"/>
      <x:c r="P12" s="2"/>
    </x:row>
    <x:row r="13" ht="19" customHeight="1">
      <x:c r="A13" s="2"/>
      <x:c r="B13" s="2"/>
      <x:c r="C13" s="2"/>
      <x:c r="D13" s="2"/>
      <x:c r="E13" s="2"/>
      <x:c r="F13" s="2"/>
      <x:c r="G13" s="2"/>
      <x:c r="H13" s="2"/>
      <x:c r="I13" s="34"/>
      <x:c r="J13" s="34"/>
      <x:c r="K13" s="34"/>
      <x:c r="L13" s="34"/>
      <x:c r="M13" s="34"/>
      <x:c r="N13" s="2"/>
      <x:c r="O13" s="2"/>
      <x:c r="P13" s="2"/>
    </x:row>
    <x:row r="14" ht="19" customHeight="1">
      <x:c r="A14" s="2"/>
      <x:c r="B14" s="2"/>
      <x:c r="C14" s="42" t="str">
        <x:v>Company volume outperformance factor — active</x:v>
      </x:c>
      <x:c r="D14" s="43"/>
      <x:c r="E14" s="43"/>
      <x:c r="F14" s="43"/>
      <x:c r="G14" s="43"/>
      <x:c r="H14" s="43"/>
      <x:c r="I14" s="46" t="str">
        <x:f>IF(CHOOSE('00_Cover'!$D$10,ISNUMBER(I15),ISNUMBER(I16),ISNUMBER(I17)),CHOOSE('00_Cover'!$D$10,I15,I16,I17),"")</x:f>
      </x:c>
      <x:c r="J14" s="46" t="str">
        <x:f>IF(CHOOSE('00_Cover'!$D$10,ISNUMBER(J15),ISNUMBER(J16),ISNUMBER(J17)),CHOOSE('00_Cover'!$D$10,J15,J16,J17),"")</x:f>
      </x:c>
      <x:c r="K14" s="46" t="str">
        <x:f>IF(CHOOSE('00_Cover'!$D$10,ISNUMBER(K15),ISNUMBER(K16),ISNUMBER(K17)),CHOOSE('00_Cover'!$D$10,K15,K16,K17),"")</x:f>
      </x:c>
      <x:c r="L14" s="46" t="str">
        <x:f>IF(CHOOSE('00_Cover'!$D$10,ISNUMBER(L15),ISNUMBER(L16),ISNUMBER(L17)),CHOOSE('00_Cover'!$D$10,L15,L16,L17),"")</x:f>
      </x:c>
      <x:c r="M14" s="46" t="str">
        <x:f>IF(CHOOSE('00_Cover'!$D$10,ISNUMBER(M15),ISNUMBER(M16),ISNUMBER(M17)),CHOOSE('00_Cover'!$D$10,M15,M16,M17),"")</x:f>
      </x:c>
      <x:c r="N14" s="2"/>
      <x:c r="O14" s="13" t="str">
        <x:v>Incremental relative growth factor, not market-share percentage points.</x:v>
      </x:c>
      <x:c r="P14" s="2"/>
    </x:row>
    <x:row r="15" ht="19" customHeight="1">
      <x:c r="A15" s="2"/>
      <x:c r="B15" s="2"/>
      <x:c r="C15" s="21" t="str">
        <x:v>Base input</x:v>
      </x:c>
      <x:c r="D15" s="22"/>
      <x:c r="E15" s="22"/>
      <x:c r="F15" s="22"/>
      <x:c r="G15" s="22"/>
      <x:c r="H15" s="22"/>
      <x:c r="I15" s="45"/>
      <x:c r="J15" s="45"/>
      <x:c r="K15" s="45"/>
      <x:c r="L15" s="45"/>
      <x:c r="M15" s="45"/>
      <x:c r="N15" s="2"/>
      <x:c r="O15" s="2"/>
      <x:c r="P15" s="2"/>
    </x:row>
    <x:row r="16" ht="19" customHeight="1">
      <x:c r="A16" s="2"/>
      <x:c r="B16" s="2"/>
      <x:c r="C16" s="21" t="str">
        <x:v>Bull input</x:v>
      </x:c>
      <x:c r="D16" s="22"/>
      <x:c r="E16" s="22"/>
      <x:c r="F16" s="22"/>
      <x:c r="G16" s="22"/>
      <x:c r="H16" s="22"/>
      <x:c r="I16" s="45"/>
      <x:c r="J16" s="45"/>
      <x:c r="K16" s="45"/>
      <x:c r="L16" s="45"/>
      <x:c r="M16" s="45"/>
      <x:c r="N16" s="2"/>
      <x:c r="O16" s="2"/>
      <x:c r="P16" s="2"/>
    </x:row>
    <x:row r="17" ht="19" customHeight="1">
      <x:c r="A17" s="2"/>
      <x:c r="B17" s="2"/>
      <x:c r="C17" s="21" t="str">
        <x:v>Bear input</x:v>
      </x:c>
      <x:c r="D17" s="22"/>
      <x:c r="E17" s="22"/>
      <x:c r="F17" s="22"/>
      <x:c r="G17" s="22"/>
      <x:c r="H17" s="22"/>
      <x:c r="I17" s="45"/>
      <x:c r="J17" s="45"/>
      <x:c r="K17" s="45"/>
      <x:c r="L17" s="45"/>
      <x:c r="M17" s="45"/>
      <x:c r="N17" s="2"/>
      <x:c r="O17" s="2"/>
      <x:c r="P17" s="2"/>
    </x:row>
    <x:row r="18" ht="19" customHeight="1">
      <x:c r="A18" s="2"/>
      <x:c r="B18" s="2"/>
      <x:c r="C18" s="2"/>
      <x:c r="D18" s="2"/>
      <x:c r="E18" s="2"/>
      <x:c r="F18" s="2"/>
      <x:c r="G18" s="2"/>
      <x:c r="H18" s="2"/>
      <x:c r="I18" s="34"/>
      <x:c r="J18" s="34"/>
      <x:c r="K18" s="34"/>
      <x:c r="L18" s="34"/>
      <x:c r="M18" s="34"/>
      <x:c r="N18" s="2"/>
      <x:c r="O18" s="2"/>
      <x:c r="P18" s="2"/>
    </x:row>
    <x:row r="19" ht="19" customHeight="1">
      <x:c r="A19" s="2"/>
      <x:c r="B19" s="2"/>
      <x:c r="C19" s="42" t="str">
        <x:v>Domestic W&amp;C price and mix growth — active</x:v>
      </x:c>
      <x:c r="D19" s="43"/>
      <x:c r="E19" s="43"/>
      <x:c r="F19" s="43"/>
      <x:c r="G19" s="43"/>
      <x:c r="H19" s="43"/>
      <x:c r="I19" s="46" t="str">
        <x:f>IF(CHOOSE('00_Cover'!$D$10,ISNUMBER(I20),ISNUMBER(I21),ISNUMBER(I22)),CHOOSE('00_Cover'!$D$10,I20,I21,I22),"")</x:f>
      </x:c>
      <x:c r="J19" s="46" t="str">
        <x:f>IF(CHOOSE('00_Cover'!$D$10,ISNUMBER(J20),ISNUMBER(J21),ISNUMBER(J22)),CHOOSE('00_Cover'!$D$10,J20,J21,J22),"")</x:f>
      </x:c>
      <x:c r="K19" s="46" t="str">
        <x:f>IF(CHOOSE('00_Cover'!$D$10,ISNUMBER(K20),ISNUMBER(K21),ISNUMBER(K22)),CHOOSE('00_Cover'!$D$10,K20,K21,K22),"")</x:f>
      </x:c>
      <x:c r="L19" s="46" t="str">
        <x:f>IF(CHOOSE('00_Cover'!$D$10,ISNUMBER(L20),ISNUMBER(L21),ISNUMBER(L22)),CHOOSE('00_Cover'!$D$10,L20,L21,L22),"")</x:f>
      </x:c>
      <x:c r="M19" s="46" t="str">
        <x:f>IF(CHOOSE('00_Cover'!$D$10,ISNUMBER(M20),ISNUMBER(M21),ISNUMBER(M22)),CHOOSE('00_Cover'!$D$10,M20,M21,M22),"")</x:f>
      </x:c>
      <x:c r="N19" s="2"/>
      <x:c r="O19" s="13" t="str">
        <x:v>Commodity pass-through and mix; avoid double-counting nominal industry growth.</x:v>
      </x:c>
      <x:c r="P19" s="2"/>
    </x:row>
    <x:row r="20" ht="19" customHeight="1">
      <x:c r="A20" s="2"/>
      <x:c r="B20" s="2"/>
      <x:c r="C20" s="21" t="str">
        <x:v>Base input</x:v>
      </x:c>
      <x:c r="D20" s="22"/>
      <x:c r="E20" s="22"/>
      <x:c r="F20" s="22"/>
      <x:c r="G20" s="22"/>
      <x:c r="H20" s="22"/>
      <x:c r="I20" s="45"/>
      <x:c r="J20" s="45"/>
      <x:c r="K20" s="45"/>
      <x:c r="L20" s="45"/>
      <x:c r="M20" s="45"/>
      <x:c r="N20" s="2"/>
      <x:c r="O20" s="2"/>
      <x:c r="P20" s="2"/>
    </x:row>
    <x:row r="21" ht="19" customHeight="1">
      <x:c r="A21" s="2"/>
      <x:c r="B21" s="2"/>
      <x:c r="C21" s="21" t="str">
        <x:v>Bull input</x:v>
      </x:c>
      <x:c r="D21" s="22"/>
      <x:c r="E21" s="22"/>
      <x:c r="F21" s="22"/>
      <x:c r="G21" s="22"/>
      <x:c r="H21" s="22"/>
      <x:c r="I21" s="45"/>
      <x:c r="J21" s="45"/>
      <x:c r="K21" s="45"/>
      <x:c r="L21" s="45"/>
      <x:c r="M21" s="45"/>
      <x:c r="N21" s="2"/>
      <x:c r="O21" s="2"/>
      <x:c r="P21" s="2"/>
    </x:row>
    <x:row r="22" ht="19" customHeight="1">
      <x:c r="A22" s="2"/>
      <x:c r="B22" s="2"/>
      <x:c r="C22" s="21" t="str">
        <x:v>Bear input</x:v>
      </x:c>
      <x:c r="D22" s="22"/>
      <x:c r="E22" s="22"/>
      <x:c r="F22" s="22"/>
      <x:c r="G22" s="22"/>
      <x:c r="H22" s="22"/>
      <x:c r="I22" s="45"/>
      <x:c r="J22" s="45"/>
      <x:c r="K22" s="45"/>
      <x:c r="L22" s="45"/>
      <x:c r="M22" s="45"/>
      <x:c r="N22" s="2"/>
      <x:c r="O22" s="2"/>
      <x:c r="P22" s="2"/>
    </x:row>
    <x:row r="23" ht="19" customHeight="1">
      <x:c r="A23" s="2"/>
      <x:c r="B23" s="2"/>
      <x:c r="C23" s="2"/>
      <x:c r="D23" s="2"/>
      <x:c r="E23" s="2"/>
      <x:c r="F23" s="2"/>
      <x:c r="G23" s="2"/>
      <x:c r="H23" s="2"/>
      <x:c r="I23" s="34"/>
      <x:c r="J23" s="34"/>
      <x:c r="K23" s="34"/>
      <x:c r="L23" s="34"/>
      <x:c r="M23" s="34"/>
      <x:c r="N23" s="2"/>
      <x:c r="O23" s="2"/>
      <x:c r="P23" s="2"/>
    </x:row>
    <x:row r="24" ht="19" customHeight="1">
      <x:c r="A24" s="2"/>
      <x:c r="B24" s="2"/>
      <x:c r="C24" s="42" t="str">
        <x:v>Export income growth — active</x:v>
      </x:c>
      <x:c r="D24" s="46" t="str">
        <x:f>IF(ISNUMBER('03_Segment_History'!D27),'03_Segment_History'!D27,"")</x:f>
      </x:c>
      <x:c r="E24" s="46" t="n">
        <x:f>IF(ISNUMBER('03_Segment_History'!E27),'03_Segment_History'!E27,"")</x:f>
        <x:v>0.4990616799179999</x:v>
      </x:c>
      <x:c r="F24" s="46" t="n">
        <x:f>IF(ISNUMBER('03_Segment_History'!F27),'03_Segment_History'!F27,"")</x:f>
        <x:v>0.0379017912965669</x:v>
      </x:c>
      <x:c r="G24" s="46" t="n">
        <x:f>IF(ISNUMBER('03_Segment_History'!G27),'03_Segment_History'!G27,"")</x:f>
        <x:v>-0.06321550515647711</x:v>
      </x:c>
      <x:c r="H24" s="46" t="n">
        <x:f>IF(ISNUMBER('03_Segment_History'!H27),'03_Segment_History'!H27,"")</x:f>
        <x:v>0.16672787257672916</x:v>
      </x:c>
      <x:c r="I24" s="46" t="str">
        <x:f>IF(CHOOSE('00_Cover'!$D$10,ISNUMBER(I25),ISNUMBER(I26),ISNUMBER(I27)),CHOOSE('00_Cover'!$D$10,I25,I26,I27),"")</x:f>
      </x:c>
      <x:c r="J24" s="46" t="str">
        <x:f>IF(CHOOSE('00_Cover'!$D$10,ISNUMBER(J25),ISNUMBER(J26),ISNUMBER(J27)),CHOOSE('00_Cover'!$D$10,J25,J26,J27),"")</x:f>
      </x:c>
      <x:c r="K24" s="46" t="str">
        <x:f>IF(CHOOSE('00_Cover'!$D$10,ISNUMBER(K25),ISNUMBER(K26),ISNUMBER(K27)),CHOOSE('00_Cover'!$D$10,K25,K26,K27),"")</x:f>
      </x:c>
      <x:c r="L24" s="46" t="str">
        <x:f>IF(CHOOSE('00_Cover'!$D$10,ISNUMBER(L25),ISNUMBER(L26),ISNUMBER(L27)),CHOOSE('00_Cover'!$D$10,L25,L26,L27),"")</x:f>
      </x:c>
      <x:c r="M24" s="46" t="str">
        <x:f>IF(CHOOSE('00_Cover'!$D$10,ISNUMBER(M25),ISNUMBER(M26),ISNUMBER(M27)),CHOOSE('00_Cover'!$D$10,M25,M26,M27),"")</x:f>
      </x:c>
      <x:c r="N24" s="2"/>
      <x:c r="O24" s="13" t="str">
        <x:v>Company export strategy, regional demand and FX.</x:v>
      </x:c>
      <x:c r="P24" s="2"/>
    </x:row>
    <x:row r="25" ht="19" customHeight="1">
      <x:c r="A25" s="2"/>
      <x:c r="B25" s="2"/>
      <x:c r="C25" s="21" t="str">
        <x:v>Base input</x:v>
      </x:c>
      <x:c r="D25" s="22"/>
      <x:c r="E25" s="22"/>
      <x:c r="F25" s="22"/>
      <x:c r="G25" s="22"/>
      <x:c r="H25" s="22"/>
      <x:c r="I25" s="45"/>
      <x:c r="J25" s="45"/>
      <x:c r="K25" s="45"/>
      <x:c r="L25" s="45"/>
      <x:c r="M25" s="45"/>
      <x:c r="N25" s="2"/>
      <x:c r="O25" s="2"/>
      <x:c r="P25" s="2"/>
    </x:row>
    <x:row r="26" ht="19" customHeight="1">
      <x:c r="A26" s="2"/>
      <x:c r="B26" s="2"/>
      <x:c r="C26" s="21" t="str">
        <x:v>Bull input</x:v>
      </x:c>
      <x:c r="D26" s="22"/>
      <x:c r="E26" s="22"/>
      <x:c r="F26" s="22"/>
      <x:c r="G26" s="22"/>
      <x:c r="H26" s="22"/>
      <x:c r="I26" s="45"/>
      <x:c r="J26" s="45"/>
      <x:c r="K26" s="45"/>
      <x:c r="L26" s="45"/>
      <x:c r="M26" s="45"/>
      <x:c r="N26" s="2"/>
      <x:c r="O26" s="2"/>
      <x:c r="P26" s="2"/>
    </x:row>
    <x:row r="27" ht="19" customHeight="1">
      <x:c r="A27" s="2"/>
      <x:c r="B27" s="2"/>
      <x:c r="C27" s="21" t="str">
        <x:v>Bear input</x:v>
      </x:c>
      <x:c r="D27" s="22"/>
      <x:c r="E27" s="22"/>
      <x:c r="F27" s="22"/>
      <x:c r="G27" s="22"/>
      <x:c r="H27" s="22"/>
      <x:c r="I27" s="45"/>
      <x:c r="J27" s="45"/>
      <x:c r="K27" s="45"/>
      <x:c r="L27" s="45"/>
      <x:c r="M27" s="45"/>
      <x:c r="N27" s="2"/>
      <x:c r="O27" s="2"/>
      <x:c r="P27" s="2"/>
    </x:row>
    <x:row r="28" ht="19" customHeight="1">
      <x:c r="A28" s="2"/>
      <x:c r="B28" s="2"/>
      <x:c r="C28" s="2"/>
      <x:c r="D28" s="2"/>
      <x:c r="E28" s="2"/>
      <x:c r="F28" s="2"/>
      <x:c r="G28" s="2"/>
      <x:c r="H28" s="2"/>
      <x:c r="I28" s="34"/>
      <x:c r="J28" s="34"/>
      <x:c r="K28" s="34"/>
      <x:c r="L28" s="34"/>
      <x:c r="M28" s="34"/>
      <x:c r="N28" s="2"/>
      <x:c r="O28" s="2"/>
      <x:c r="P28" s="2"/>
    </x:row>
    <x:row r="29" ht="19" customHeight="1">
      <x:c r="A29" s="2"/>
      <x:c r="B29" s="2"/>
      <x:c r="C29" s="42" t="str">
        <x:v>FMEG income growth — active</x:v>
      </x:c>
      <x:c r="D29" s="46" t="str">
        <x:f>IF(ISNUMBER('03_Segment_History'!D25),'03_Segment_History'!D25,"")</x:f>
      </x:c>
      <x:c r="E29" s="46" t="n">
        <x:f>IF(ISNUMBER('03_Segment_History'!E25),'03_Segment_History'!E25,"")</x:f>
        <x:v>-0.002571782302534409</x:v>
      </x:c>
      <x:c r="F29" s="46" t="n">
        <x:f>IF(ISNUMBER('03_Segment_History'!F25),'03_Segment_History'!F25,"")</x:f>
        <x:v>0.025257421730446428</x:v>
      </x:c>
      <x:c r="G29" s="46" t="n">
        <x:f>IF(ISNUMBER('03_Segment_History'!G25),'03_Segment_History'!G25,"")</x:f>
        <x:v>0.2890521828747119</x:v>
      </x:c>
      <x:c r="H29" s="46" t="n">
        <x:f>IF(ISNUMBER('03_Segment_History'!H25),'03_Segment_History'!H25,"")</x:f>
        <x:v>0.25145173209994076</x:v>
      </x:c>
      <x:c r="I29" s="46" t="str">
        <x:f>IF(CHOOSE('00_Cover'!$D$10,ISNUMBER(I30),ISNUMBER(I31),ISNUMBER(I32)),CHOOSE('00_Cover'!$D$10,I30,I31,I32),"")</x:f>
      </x:c>
      <x:c r="J29" s="46" t="str">
        <x:f>IF(CHOOSE('00_Cover'!$D$10,ISNUMBER(J30),ISNUMBER(J31),ISNUMBER(J32)),CHOOSE('00_Cover'!$D$10,J30,J31,J32),"")</x:f>
      </x:c>
      <x:c r="K29" s="46" t="str">
        <x:f>IF(CHOOSE('00_Cover'!$D$10,ISNUMBER(K30),ISNUMBER(K31),ISNUMBER(K32)),CHOOSE('00_Cover'!$D$10,K30,K31,K32),"")</x:f>
      </x:c>
      <x:c r="L29" s="46" t="str">
        <x:f>IF(CHOOSE('00_Cover'!$D$10,ISNUMBER(L30),ISNUMBER(L31),ISNUMBER(L32)),CHOOSE('00_Cover'!$D$10,L30,L31,L32),"")</x:f>
      </x:c>
      <x:c r="M29" s="46" t="str">
        <x:f>IF(CHOOSE('00_Cover'!$D$10,ISNUMBER(M30),ISNUMBER(M31),ISNUMBER(M32)),CHOOSE('00_Cover'!$D$10,M30,M31,M32),"")</x:f>
      </x:c>
      <x:c r="N29" s="2"/>
      <x:c r="O29" s="13" t="str">
        <x:v>Distribution, categories, premiumisation and solar.</x:v>
      </x:c>
      <x:c r="P29" s="2"/>
    </x:row>
    <x:row r="30" ht="19" customHeight="1">
      <x:c r="A30" s="2"/>
      <x:c r="B30" s="2"/>
      <x:c r="C30" s="21" t="str">
        <x:v>Base input</x:v>
      </x:c>
      <x:c r="D30" s="22"/>
      <x:c r="E30" s="22"/>
      <x:c r="F30" s="22"/>
      <x:c r="G30" s="22"/>
      <x:c r="H30" s="22"/>
      <x:c r="I30" s="45"/>
      <x:c r="J30" s="45"/>
      <x:c r="K30" s="45"/>
      <x:c r="L30" s="45"/>
      <x:c r="M30" s="45"/>
      <x:c r="N30" s="2"/>
      <x:c r="O30" s="2"/>
      <x:c r="P30" s="2"/>
    </x:row>
    <x:row r="31" ht="19" customHeight="1">
      <x:c r="A31" s="2"/>
      <x:c r="B31" s="2"/>
      <x:c r="C31" s="21" t="str">
        <x:v>Bull input</x:v>
      </x:c>
      <x:c r="D31" s="22"/>
      <x:c r="E31" s="22"/>
      <x:c r="F31" s="22"/>
      <x:c r="G31" s="22"/>
      <x:c r="H31" s="22"/>
      <x:c r="I31" s="45"/>
      <x:c r="J31" s="45"/>
      <x:c r="K31" s="45"/>
      <x:c r="L31" s="45"/>
      <x:c r="M31" s="45"/>
      <x:c r="N31" s="2"/>
      <x:c r="O31" s="2"/>
      <x:c r="P31" s="2"/>
    </x:row>
    <x:row r="32" ht="19" customHeight="1">
      <x:c r="A32" s="2"/>
      <x:c r="B32" s="2"/>
      <x:c r="C32" s="21" t="str">
        <x:v>Bear input</x:v>
      </x:c>
      <x:c r="D32" s="22"/>
      <x:c r="E32" s="22"/>
      <x:c r="F32" s="22"/>
      <x:c r="G32" s="22"/>
      <x:c r="H32" s="22"/>
      <x:c r="I32" s="45"/>
      <x:c r="J32" s="45"/>
      <x:c r="K32" s="45"/>
      <x:c r="L32" s="45"/>
      <x:c r="M32" s="45"/>
      <x:c r="N32" s="2"/>
      <x:c r="O32" s="2"/>
      <x:c r="P32" s="2"/>
    </x:row>
    <x:row r="33" ht="19" customHeight="1">
      <x:c r="A33" s="2"/>
      <x:c r="B33" s="2"/>
      <x:c r="C33" s="2"/>
      <x:c r="D33" s="2"/>
      <x:c r="E33" s="2"/>
      <x:c r="F33" s="2"/>
      <x:c r="G33" s="2"/>
      <x:c r="H33" s="2"/>
      <x:c r="I33" s="34"/>
      <x:c r="J33" s="34"/>
      <x:c r="K33" s="34"/>
      <x:c r="L33" s="34"/>
      <x:c r="M33" s="34"/>
      <x:c r="N33" s="2"/>
      <x:c r="O33" s="2"/>
      <x:c r="P33" s="2"/>
    </x:row>
    <x:row r="34" ht="19" customHeight="1">
      <x:c r="A34" s="2"/>
      <x:c r="B34" s="2"/>
      <x:c r="C34" s="42" t="str">
        <x:v>EPC income growth — active</x:v>
      </x:c>
      <x:c r="D34" s="46" t="str">
        <x:f>IF(ISNUMBER('03_Segment_History'!D26),'03_Segment_History'!D26,"")</x:f>
      </x:c>
      <x:c r="E34" s="46" t="n">
        <x:f>IF(ISNUMBER('03_Segment_History'!E26),'03_Segment_History'!E26,"")</x:f>
        <x:v>0.21800740113973482</x:v>
      </x:c>
      <x:c r="F34" s="46" t="n">
        <x:f>IF(ISNUMBER('03_Segment_History'!F26),'03_Segment_History'!F26,"")</x:f>
        <x:v>1.6901605316459936</x:v>
      </x:c>
      <x:c r="G34" s="46" t="n">
        <x:f>IF(ISNUMBER('03_Segment_History'!G26),'03_Segment_History'!G26,"")</x:f>
        <x:v>0.9904059652889046</x:v>
      </x:c>
      <x:c r="H34" s="46" t="n">
        <x:f>IF(ISNUMBER('03_Segment_History'!H26),'03_Segment_History'!H26,"")</x:f>
        <x:v>-0.1316891747197717</x:v>
      </x:c>
      <x:c r="I34" s="46" t="str">
        <x:f>IF(CHOOSE('00_Cover'!$D$10,ISNUMBER(I35),ISNUMBER(I36),ISNUMBER(I37)),CHOOSE('00_Cover'!$D$10,I35,I36,I37),"")</x:f>
      </x:c>
      <x:c r="J34" s="46" t="str">
        <x:f>IF(CHOOSE('00_Cover'!$D$10,ISNUMBER(J35),ISNUMBER(J36),ISNUMBER(J37)),CHOOSE('00_Cover'!$D$10,J35,J36,J37),"")</x:f>
      </x:c>
      <x:c r="K34" s="46" t="str">
        <x:f>IF(CHOOSE('00_Cover'!$D$10,ISNUMBER(K35),ISNUMBER(K36),ISNUMBER(K37)),CHOOSE('00_Cover'!$D$10,K35,K36,K37),"")</x:f>
      </x:c>
      <x:c r="L34" s="46" t="str">
        <x:f>IF(CHOOSE('00_Cover'!$D$10,ISNUMBER(L35),ISNUMBER(L36),ISNUMBER(L37)),CHOOSE('00_Cover'!$D$10,L35,L36,L37),"")</x:f>
      </x:c>
      <x:c r="M34" s="46" t="str">
        <x:f>IF(CHOOSE('00_Cover'!$D$10,ISNUMBER(M35),ISNUMBER(M36),ISNUMBER(M37)),CHOOSE('00_Cover'!$D$10,M35,M36,M37),"")</x:f>
      </x:c>
      <x:c r="N34" s="2"/>
      <x:c r="O34" s="13" t="str">
        <x:v>Execution timing and supported order-book conversion.</x:v>
      </x:c>
      <x:c r="P34" s="2"/>
    </x:row>
    <x:row r="35" ht="19" customHeight="1">
      <x:c r="A35" s="2"/>
      <x:c r="B35" s="2"/>
      <x:c r="C35" s="21" t="str">
        <x:v>Base input</x:v>
      </x:c>
      <x:c r="D35" s="22"/>
      <x:c r="E35" s="22"/>
      <x:c r="F35" s="22"/>
      <x:c r="G35" s="22"/>
      <x:c r="H35" s="22"/>
      <x:c r="I35" s="45"/>
      <x:c r="J35" s="45"/>
      <x:c r="K35" s="45"/>
      <x:c r="L35" s="45"/>
      <x:c r="M35" s="45"/>
      <x:c r="N35" s="2"/>
      <x:c r="O35" s="2"/>
      <x:c r="P35" s="2"/>
    </x:row>
    <x:row r="36" ht="19" customHeight="1">
      <x:c r="A36" s="2"/>
      <x:c r="B36" s="2"/>
      <x:c r="C36" s="21" t="str">
        <x:v>Bull input</x:v>
      </x:c>
      <x:c r="D36" s="22"/>
      <x:c r="E36" s="22"/>
      <x:c r="F36" s="22"/>
      <x:c r="G36" s="22"/>
      <x:c r="H36" s="22"/>
      <x:c r="I36" s="45"/>
      <x:c r="J36" s="45"/>
      <x:c r="K36" s="45"/>
      <x:c r="L36" s="45"/>
      <x:c r="M36" s="45"/>
      <x:c r="N36" s="2"/>
      <x:c r="O36" s="2"/>
      <x:c r="P36" s="2"/>
    </x:row>
    <x:row r="37" ht="19" customHeight="1">
      <x:c r="A37" s="2"/>
      <x:c r="B37" s="2"/>
      <x:c r="C37" s="21" t="str">
        <x:v>Bear input</x:v>
      </x:c>
      <x:c r="D37" s="22"/>
      <x:c r="E37" s="22"/>
      <x:c r="F37" s="22"/>
      <x:c r="G37" s="22"/>
      <x:c r="H37" s="22"/>
      <x:c r="I37" s="45"/>
      <x:c r="J37" s="45"/>
      <x:c r="K37" s="45"/>
      <x:c r="L37" s="45"/>
      <x:c r="M37" s="45"/>
      <x:c r="N37" s="2"/>
      <x:c r="O37" s="2"/>
      <x:c r="P37" s="2"/>
    </x:row>
    <x:row r="38" ht="19" customHeight="1">
      <x:c r="A38" s="2"/>
      <x:c r="B38" s="2"/>
      <x:c r="C38" s="2"/>
      <x:c r="D38" s="2"/>
      <x:c r="E38" s="2"/>
      <x:c r="F38" s="2"/>
      <x:c r="G38" s="2"/>
      <x:c r="H38" s="2"/>
      <x:c r="I38" s="34"/>
      <x:c r="J38" s="34"/>
      <x:c r="K38" s="34"/>
      <x:c r="L38" s="34"/>
      <x:c r="M38" s="34"/>
      <x:c r="N38" s="2"/>
      <x:c r="O38" s="2"/>
      <x:c r="P38" s="2"/>
    </x:row>
    <x:row r="39" ht="19" customHeight="1">
      <x:c r="A39" s="2"/>
      <x:c r="B39" s="2"/>
      <x:c r="C39" s="42" t="str">
        <x:v>W&amp;C external EBIT margin — active</x:v>
      </x:c>
      <x:c r="D39" s="46" t="n">
        <x:f>IF(ISNUMBER('03_Segment_History'!D20),'03_Segment_History'!D20,"")</x:f>
        <x:v>0.09728750772533432</x:v>
      </x:c>
      <x:c r="E39" s="46" t="n">
        <x:f>IF(ISNUMBER('03_Segment_History'!E20),'03_Segment_History'!E20,"")</x:f>
        <x:v>0.13118610258427688</x:v>
      </x:c>
      <x:c r="F39" s="46" t="n">
        <x:f>IF(ISNUMBER('03_Segment_History'!F20),'03_Segment_History'!F20,"")</x:f>
        <x:v>0.14660811806539178</x:v>
      </x:c>
      <x:c r="G39" s="46" t="n">
        <x:f>IF(ISNUMBER('03_Segment_History'!G20),'03_Segment_History'!G20,"")</x:f>
        <x:v>0.13618350132885235</x:v>
      </x:c>
      <x:c r="H39" s="46" t="n">
        <x:f>IF(ISNUMBER('03_Segment_History'!H20),'03_Segment_History'!H20,"")</x:f>
        <x:v>0.13624052633633718</x:v>
      </x:c>
      <x:c r="I39" s="46" t="str">
        <x:f>IF(CHOOSE('00_Cover'!$D$10,ISNUMBER(I40),ISNUMBER(I41),ISNUMBER(I42)),CHOOSE('00_Cover'!$D$10,I40,I41,I42),"")</x:f>
      </x:c>
      <x:c r="J39" s="46" t="str">
        <x:f>IF(CHOOSE('00_Cover'!$D$10,ISNUMBER(J40),ISNUMBER(J41),ISNUMBER(J42)),CHOOSE('00_Cover'!$D$10,J40,J41,J42),"")</x:f>
      </x:c>
      <x:c r="K39" s="46" t="str">
        <x:f>IF(CHOOSE('00_Cover'!$D$10,ISNUMBER(K40),ISNUMBER(K41),ISNUMBER(K42)),CHOOSE('00_Cover'!$D$10,K40,K41,K42),"")</x:f>
      </x:c>
      <x:c r="L39" s="46" t="str">
        <x:f>IF(CHOOSE('00_Cover'!$D$10,ISNUMBER(L40),ISNUMBER(L41),ISNUMBER(L42)),CHOOSE('00_Cover'!$D$10,L40,L41,L42),"")</x:f>
      </x:c>
      <x:c r="M39" s="46" t="str">
        <x:f>IF(CHOOSE('00_Cover'!$D$10,ISNUMBER(M40),ISNUMBER(M41),ISNUMBER(M42)),CHOOSE('00_Cover'!$D$10,M40,M41,M42),"")</x:f>
      </x:c>
      <x:c r="N39" s="2"/>
      <x:c r="O39" s="13" t="str">
        <x:v>Includes allocated non-finance income. Do not substitute EBITDA guidance.</x:v>
      </x:c>
      <x:c r="P39" s="2"/>
    </x:row>
    <x:row r="40" ht="19" customHeight="1">
      <x:c r="A40" s="2"/>
      <x:c r="B40" s="2"/>
      <x:c r="C40" s="21" t="str">
        <x:v>Base input</x:v>
      </x:c>
      <x:c r="D40" s="22"/>
      <x:c r="E40" s="22"/>
      <x:c r="F40" s="22"/>
      <x:c r="G40" s="22"/>
      <x:c r="H40" s="22"/>
      <x:c r="I40" s="45"/>
      <x:c r="J40" s="45"/>
      <x:c r="K40" s="45"/>
      <x:c r="L40" s="45"/>
      <x:c r="M40" s="45"/>
      <x:c r="N40" s="2"/>
      <x:c r="O40" s="2"/>
      <x:c r="P40" s="2"/>
    </x:row>
    <x:row r="41" ht="19" customHeight="1">
      <x:c r="A41" s="2"/>
      <x:c r="B41" s="2"/>
      <x:c r="C41" s="21" t="str">
        <x:v>Bull input</x:v>
      </x:c>
      <x:c r="D41" s="22"/>
      <x:c r="E41" s="22"/>
      <x:c r="F41" s="22"/>
      <x:c r="G41" s="22"/>
      <x:c r="H41" s="22"/>
      <x:c r="I41" s="45"/>
      <x:c r="J41" s="45"/>
      <x:c r="K41" s="45"/>
      <x:c r="L41" s="45"/>
      <x:c r="M41" s="45"/>
      <x:c r="N41" s="2"/>
      <x:c r="O41" s="2"/>
      <x:c r="P41" s="2"/>
    </x:row>
    <x:row r="42" ht="19" customHeight="1">
      <x:c r="A42" s="2"/>
      <x:c r="B42" s="2"/>
      <x:c r="C42" s="21" t="str">
        <x:v>Bear input</x:v>
      </x:c>
      <x:c r="D42" s="22"/>
      <x:c r="E42" s="22"/>
      <x:c r="F42" s="22"/>
      <x:c r="G42" s="22"/>
      <x:c r="H42" s="22"/>
      <x:c r="I42" s="45"/>
      <x:c r="J42" s="45"/>
      <x:c r="K42" s="45"/>
      <x:c r="L42" s="45"/>
      <x:c r="M42" s="45"/>
      <x:c r="N42" s="2"/>
      <x:c r="O42" s="2"/>
      <x:c r="P42" s="2"/>
    </x:row>
    <x:row r="43" ht="19" customHeight="1">
      <x:c r="A43" s="2"/>
      <x:c r="B43" s="2"/>
      <x:c r="C43" s="2"/>
      <x:c r="D43" s="2"/>
      <x:c r="E43" s="2"/>
      <x:c r="F43" s="2"/>
      <x:c r="G43" s="2"/>
      <x:c r="H43" s="2"/>
      <x:c r="I43" s="34"/>
      <x:c r="J43" s="34"/>
      <x:c r="K43" s="34"/>
      <x:c r="L43" s="34"/>
      <x:c r="M43" s="34"/>
      <x:c r="N43" s="2"/>
      <x:c r="O43" s="2"/>
      <x:c r="P43" s="2"/>
    </x:row>
    <x:row r="44" ht="19" customHeight="1">
      <x:c r="A44" s="2"/>
      <x:c r="B44" s="2"/>
      <x:c r="C44" s="42" t="str">
        <x:v>FMEG external EBIT margin — active</x:v>
      </x:c>
      <x:c r="D44" s="46" t="n">
        <x:f>IF(ISNUMBER('03_Segment_History'!D21),'03_Segment_History'!D21,"")</x:f>
        <x:v>0.01564275026048663</x:v>
      </x:c>
      <x:c r="E44" s="46" t="n">
        <x:f>IF(ISNUMBER('03_Segment_History'!E21),'03_Segment_History'!E21,"")</x:f>
        <x:v>-0.004984985897053687</x:v>
      </x:c>
      <x:c r="F44" s="46" t="n">
        <x:f>IF(ISNUMBER('03_Segment_History'!F21),'03_Segment_History'!F21,"")</x:f>
        <x:v>-0.07319073433960264</x:v>
      </x:c>
      <x:c r="G44" s="46" t="n">
        <x:f>IF(ISNUMBER('03_Segment_History'!G21),'03_Segment_History'!G21,"")</x:f>
        <x:v>-0.023089827775768627</x:v>
      </x:c>
      <x:c r="H44" s="46" t="n">
        <x:f>IF(ISNUMBER('03_Segment_History'!H21),'03_Segment_History'!H21,"")</x:f>
        <x:v>0.02650039046492388</x:v>
      </x:c>
      <x:c r="I44" s="46" t="str">
        <x:f>IF(CHOOSE('00_Cover'!$D$10,ISNUMBER(I45),ISNUMBER(I46),ISNUMBER(I47)),CHOOSE('00_Cover'!$D$10,I45,I46,I47),"")</x:f>
      </x:c>
      <x:c r="J44" s="46" t="str">
        <x:f>IF(CHOOSE('00_Cover'!$D$10,ISNUMBER(J45),ISNUMBER(J46),ISNUMBER(J47)),CHOOSE('00_Cover'!$D$10,J45,J46,J47),"")</x:f>
      </x:c>
      <x:c r="K44" s="46" t="str">
        <x:f>IF(CHOOSE('00_Cover'!$D$10,ISNUMBER(K45),ISNUMBER(K46),ISNUMBER(K47)),CHOOSE('00_Cover'!$D$10,K45,K46,K47),"")</x:f>
      </x:c>
      <x:c r="L44" s="46" t="str">
        <x:f>IF(CHOOSE('00_Cover'!$D$10,ISNUMBER(L45),ISNUMBER(L46),ISNUMBER(L47)),CHOOSE('00_Cover'!$D$10,L45,L46,L47),"")</x:f>
      </x:c>
      <x:c r="M44" s="46" t="str">
        <x:f>IF(CHOOSE('00_Cover'!$D$10,ISNUMBER(M45),ISNUMBER(M46),ISNUMBER(M47)),CHOOSE('00_Cover'!$D$10,M45,M46,M47),"")</x:f>
      </x:c>
      <x:c r="N44" s="2"/>
      <x:c r="O44" s="13" t="str">
        <x:v>Includes allocated non-finance income.</x:v>
      </x:c>
      <x:c r="P44" s="2"/>
    </x:row>
    <x:row r="45" ht="19" customHeight="1">
      <x:c r="A45" s="2"/>
      <x:c r="B45" s="2"/>
      <x:c r="C45" s="21" t="str">
        <x:v>Base input</x:v>
      </x:c>
      <x:c r="D45" s="22"/>
      <x:c r="E45" s="22"/>
      <x:c r="F45" s="22"/>
      <x:c r="G45" s="22"/>
      <x:c r="H45" s="22"/>
      <x:c r="I45" s="45"/>
      <x:c r="J45" s="45"/>
      <x:c r="K45" s="45"/>
      <x:c r="L45" s="45"/>
      <x:c r="M45" s="45"/>
      <x:c r="N45" s="2"/>
      <x:c r="O45" s="2"/>
      <x:c r="P45" s="2"/>
    </x:row>
    <x:row r="46" ht="19" customHeight="1">
      <x:c r="A46" s="2"/>
      <x:c r="B46" s="2"/>
      <x:c r="C46" s="21" t="str">
        <x:v>Bull input</x:v>
      </x:c>
      <x:c r="D46" s="22"/>
      <x:c r="E46" s="22"/>
      <x:c r="F46" s="22"/>
      <x:c r="G46" s="22"/>
      <x:c r="H46" s="22"/>
      <x:c r="I46" s="45"/>
      <x:c r="J46" s="45"/>
      <x:c r="K46" s="45"/>
      <x:c r="L46" s="45"/>
      <x:c r="M46" s="45"/>
      <x:c r="N46" s="2"/>
      <x:c r="O46" s="2"/>
      <x:c r="P46" s="2"/>
    </x:row>
    <x:row r="47" ht="19" customHeight="1">
      <x:c r="A47" s="2"/>
      <x:c r="B47" s="2"/>
      <x:c r="C47" s="21" t="str">
        <x:v>Bear input</x:v>
      </x:c>
      <x:c r="D47" s="22"/>
      <x:c r="E47" s="22"/>
      <x:c r="F47" s="22"/>
      <x:c r="G47" s="22"/>
      <x:c r="H47" s="22"/>
      <x:c r="I47" s="45"/>
      <x:c r="J47" s="45"/>
      <x:c r="K47" s="45"/>
      <x:c r="L47" s="45"/>
      <x:c r="M47" s="45"/>
      <x:c r="N47" s="2"/>
      <x:c r="O47" s="2"/>
      <x:c r="P47" s="2"/>
    </x:row>
    <x:row r="48" ht="19" customHeight="1">
      <x:c r="A48" s="2"/>
      <x:c r="B48" s="2"/>
      <x:c r="C48" s="2"/>
      <x:c r="D48" s="2"/>
      <x:c r="E48" s="2"/>
      <x:c r="F48" s="2"/>
      <x:c r="G48" s="2"/>
      <x:c r="H48" s="2"/>
      <x:c r="I48" s="34"/>
      <x:c r="J48" s="34"/>
      <x:c r="K48" s="34"/>
      <x:c r="L48" s="34"/>
      <x:c r="M48" s="34"/>
      <x:c r="N48" s="2"/>
      <x:c r="O48" s="2"/>
      <x:c r="P48" s="2"/>
    </x:row>
    <x:row r="49" ht="19" customHeight="1">
      <x:c r="A49" s="2"/>
      <x:c r="B49" s="2"/>
      <x:c r="C49" s="42" t="str">
        <x:v>EPC external EBIT margin — active</x:v>
      </x:c>
      <x:c r="D49" s="46" t="n">
        <x:f>IF(ISNUMBER('03_Segment_History'!D22),'03_Segment_History'!D22,"")</x:f>
        <x:v>0.1487228106660686</x:v>
      </x:c>
      <x:c r="E49" s="46" t="n">
        <x:f>IF(ISNUMBER('03_Segment_History'!E22),'03_Segment_History'!E22,"")</x:f>
        <x:v>0.12059960829608797</x:v>
      </x:c>
      <x:c r="F49" s="46" t="n">
        <x:f>IF(ISNUMBER('03_Segment_History'!F22),'03_Segment_History'!F22,"")</x:f>
        <x:v>0.11459017158502248</x:v>
      </x:c>
      <x:c r="G49" s="46" t="n">
        <x:f>IF(ISNUMBER('03_Segment_History'!G22),'03_Segment_History'!G22,"")</x:f>
        <x:v>0.09412063844054858</x:v>
      </x:c>
      <x:c r="H49" s="46" t="n">
        <x:f>IF(ISNUMBER('03_Segment_History'!H22),'03_Segment_History'!H22,"")</x:f>
        <x:v>0.09934017243365721</x:v>
      </x:c>
      <x:c r="I49" s="46" t="str">
        <x:f>IF(CHOOSE('00_Cover'!$D$10,ISNUMBER(I50),ISNUMBER(I51),ISNUMBER(I52)),CHOOSE('00_Cover'!$D$10,I50,I51,I52),"")</x:f>
      </x:c>
      <x:c r="J49" s="46" t="str">
        <x:f>IF(CHOOSE('00_Cover'!$D$10,ISNUMBER(J50),ISNUMBER(J51),ISNUMBER(J52)),CHOOSE('00_Cover'!$D$10,J50,J51,J52),"")</x:f>
      </x:c>
      <x:c r="K49" s="46" t="str">
        <x:f>IF(CHOOSE('00_Cover'!$D$10,ISNUMBER(K50),ISNUMBER(K51),ISNUMBER(K52)),CHOOSE('00_Cover'!$D$10,K50,K51,K52),"")</x:f>
      </x:c>
      <x:c r="L49" s="46" t="str">
        <x:f>IF(CHOOSE('00_Cover'!$D$10,ISNUMBER(L50),ISNUMBER(L51),ISNUMBER(L52)),CHOOSE('00_Cover'!$D$10,L50,L51,L52),"")</x:f>
      </x:c>
      <x:c r="M49" s="46" t="str">
        <x:f>IF(CHOOSE('00_Cover'!$D$10,ISNUMBER(M50),ISNUMBER(M51),ISNUMBER(M52)),CHOOSE('00_Cover'!$D$10,M50,M51,M52),"")</x:f>
      </x:c>
      <x:c r="N49" s="2"/>
      <x:c r="O49" s="13" t="str">
        <x:v>Timing and mix.</x:v>
      </x:c>
      <x:c r="P49" s="2"/>
    </x:row>
    <x:row r="50" ht="19" customHeight="1">
      <x:c r="A50" s="2"/>
      <x:c r="B50" s="2"/>
      <x:c r="C50" s="21" t="str">
        <x:v>Base input</x:v>
      </x:c>
      <x:c r="D50" s="22"/>
      <x:c r="E50" s="22"/>
      <x:c r="F50" s="22"/>
      <x:c r="G50" s="22"/>
      <x:c r="H50" s="22"/>
      <x:c r="I50" s="45"/>
      <x:c r="J50" s="45"/>
      <x:c r="K50" s="45"/>
      <x:c r="L50" s="45"/>
      <x:c r="M50" s="45"/>
      <x:c r="N50" s="2"/>
      <x:c r="O50" s="2"/>
      <x:c r="P50" s="2"/>
    </x:row>
    <x:row r="51" ht="19" customHeight="1">
      <x:c r="A51" s="2"/>
      <x:c r="B51" s="2"/>
      <x:c r="C51" s="21" t="str">
        <x:v>Bull input</x:v>
      </x:c>
      <x:c r="D51" s="22"/>
      <x:c r="E51" s="22"/>
      <x:c r="F51" s="22"/>
      <x:c r="G51" s="22"/>
      <x:c r="H51" s="22"/>
      <x:c r="I51" s="45"/>
      <x:c r="J51" s="45"/>
      <x:c r="K51" s="45"/>
      <x:c r="L51" s="45"/>
      <x:c r="M51" s="45"/>
      <x:c r="N51" s="2"/>
      <x:c r="O51" s="2"/>
      <x:c r="P51" s="2"/>
    </x:row>
    <x:row r="52" ht="19" customHeight="1">
      <x:c r="A52" s="2"/>
      <x:c r="B52" s="2"/>
      <x:c r="C52" s="21" t="str">
        <x:v>Bear input</x:v>
      </x:c>
      <x:c r="D52" s="22"/>
      <x:c r="E52" s="22"/>
      <x:c r="F52" s="22"/>
      <x:c r="G52" s="22"/>
      <x:c r="H52" s="22"/>
      <x:c r="I52" s="45"/>
      <x:c r="J52" s="45"/>
      <x:c r="K52" s="45"/>
      <x:c r="L52" s="45"/>
      <x:c r="M52" s="45"/>
      <x:c r="N52" s="2"/>
      <x:c r="O52" s="2"/>
      <x:c r="P52" s="2"/>
    </x:row>
    <x:row r="53" ht="19" customHeight="1">
      <x:c r="A53" s="2"/>
      <x:c r="B53" s="2"/>
      <x:c r="C53" s="2"/>
      <x:c r="D53" s="2"/>
      <x:c r="E53" s="2"/>
      <x:c r="F53" s="2"/>
      <x:c r="G53" s="2"/>
      <x:c r="H53" s="2"/>
      <x:c r="I53" s="34"/>
      <x:c r="J53" s="34"/>
      <x:c r="K53" s="34"/>
      <x:c r="L53" s="34"/>
      <x:c r="M53" s="34"/>
      <x:c r="N53" s="2"/>
      <x:c r="O53" s="2"/>
      <x:c r="P53" s="2"/>
    </x:row>
    <x:row r="54" ht="19" customHeight="1">
      <x:c r="A54" s="2"/>
      <x:c r="B54" s="2"/>
      <x:c r="C54" s="42" t="str">
        <x:v>Non-finance income / external segment income — active</x:v>
      </x:c>
      <x:c r="D54" s="46" t="n">
        <x:f>'03_Segment_History'!D9/'03_Segment_History'!D8</x:f>
        <x:v>0.0032857747701893303</x:v>
      </x:c>
      <x:c r="E54" s="46" t="n">
        <x:f>'03_Segment_History'!E9/'03_Segment_History'!E8</x:f>
        <x:v>0.002736015729139179</x:v>
      </x:c>
      <x:c r="F54" s="46" t="n">
        <x:f>'03_Segment_History'!F9/'03_Segment_History'!F8</x:f>
        <x:v>0.005500183497486909</x:v>
      </x:c>
      <x:c r="G54" s="46" t="n">
        <x:f>'03_Segment_History'!G9/'03_Segment_History'!G8</x:f>
        <x:v>0.002340557922831532</x:v>
      </x:c>
      <x:c r="H54" s="46" t="n">
        <x:f>'03_Segment_History'!H9/'03_Segment_History'!H8</x:f>
        <x:v>0.0010691099909198455</x:v>
      </x:c>
      <x:c r="I54" s="46" t="str">
        <x:f>IF(CHOOSE('00_Cover'!$D$10,ISNUMBER(I55),ISNUMBER(I56),ISNUMBER(I57)),CHOOSE('00_Cover'!$D$10,I55,I56,I57),"")</x:f>
      </x:c>
      <x:c r="J54" s="46" t="str">
        <x:f>IF(CHOOSE('00_Cover'!$D$10,ISNUMBER(J55),ISNUMBER(J56),ISNUMBER(J57)),CHOOSE('00_Cover'!$D$10,J55,J56,J57),"")</x:f>
      </x:c>
      <x:c r="K54" s="46" t="str">
        <x:f>IF(CHOOSE('00_Cover'!$D$10,ISNUMBER(K55),ISNUMBER(K56),ISNUMBER(K57)),CHOOSE('00_Cover'!$D$10,K55,K56,K57),"")</x:f>
      </x:c>
      <x:c r="L54" s="46" t="str">
        <x:f>IF(CHOOSE('00_Cover'!$D$10,ISNUMBER(L55),ISNUMBER(L56),ISNUMBER(L57)),CHOOSE('00_Cover'!$D$10,L55,L56,L57),"")</x:f>
      </x:c>
      <x:c r="M54" s="46" t="str">
        <x:f>IF(CHOOSE('00_Cover'!$D$10,ISNUMBER(M55),ISNUMBER(M56),ISNUMBER(M57)),CHOOSE('00_Cover'!$D$10,M55,M56,M57),"")</x:f>
      </x:c>
      <x:c r="N54" s="2"/>
      <x:c r="O54" s="13" t="str">
        <x:v>Deduct from segment income and EBIT to reconcile consolidated operations.</x:v>
      </x:c>
      <x:c r="P54" s="2"/>
    </x:row>
    <x:row r="55" ht="19" customHeight="1">
      <x:c r="A55" s="2"/>
      <x:c r="B55" s="2"/>
      <x:c r="C55" s="21" t="str">
        <x:v>Base input</x:v>
      </x:c>
      <x:c r="D55" s="22"/>
      <x:c r="E55" s="22"/>
      <x:c r="F55" s="22"/>
      <x:c r="G55" s="22"/>
      <x:c r="H55" s="22"/>
      <x:c r="I55" s="45"/>
      <x:c r="J55" s="45"/>
      <x:c r="K55" s="45"/>
      <x:c r="L55" s="45"/>
      <x:c r="M55" s="45"/>
      <x:c r="N55" s="2"/>
      <x:c r="O55" s="2"/>
      <x:c r="P55" s="2"/>
    </x:row>
    <x:row r="56" ht="19" customHeight="1">
      <x:c r="A56" s="2"/>
      <x:c r="B56" s="2"/>
      <x:c r="C56" s="21" t="str">
        <x:v>Bull input</x:v>
      </x:c>
      <x:c r="D56" s="22"/>
      <x:c r="E56" s="22"/>
      <x:c r="F56" s="22"/>
      <x:c r="G56" s="22"/>
      <x:c r="H56" s="22"/>
      <x:c r="I56" s="45"/>
      <x:c r="J56" s="45"/>
      <x:c r="K56" s="45"/>
      <x:c r="L56" s="45"/>
      <x:c r="M56" s="45"/>
      <x:c r="N56" s="2"/>
      <x:c r="O56" s="2"/>
      <x:c r="P56" s="2"/>
    </x:row>
    <x:row r="57" ht="19" customHeight="1">
      <x:c r="A57" s="2"/>
      <x:c r="B57" s="2"/>
      <x:c r="C57" s="21" t="str">
        <x:v>Bear input</x:v>
      </x:c>
      <x:c r="D57" s="22"/>
      <x:c r="E57" s="22"/>
      <x:c r="F57" s="22"/>
      <x:c r="G57" s="22"/>
      <x:c r="H57" s="22"/>
      <x:c r="I57" s="45"/>
      <x:c r="J57" s="45"/>
      <x:c r="K57" s="45"/>
      <x:c r="L57" s="45"/>
      <x:c r="M57" s="45"/>
      <x:c r="N57" s="2"/>
      <x:c r="O57" s="2"/>
      <x:c r="P57" s="2"/>
    </x:row>
    <x:row r="58" ht="19" customHeight="1">
      <x:c r="A58" s="2"/>
      <x:c r="B58" s="2"/>
      <x:c r="C58" s="2"/>
      <x:c r="D58" s="2"/>
      <x:c r="E58" s="2"/>
      <x:c r="F58" s="2"/>
      <x:c r="G58" s="2"/>
      <x:c r="H58" s="2"/>
      <x:c r="I58" s="34"/>
      <x:c r="J58" s="34"/>
      <x:c r="K58" s="34"/>
      <x:c r="L58" s="34"/>
      <x:c r="M58" s="34"/>
      <x:c r="N58" s="2"/>
      <x:c r="O58" s="2"/>
      <x:c r="P58" s="2"/>
    </x:row>
    <x:row r="59" ht="19" customHeight="1">
      <x:c r="A59" s="2"/>
      <x:c r="B59" s="2"/>
      <x:c r="C59" s="42" t="str">
        <x:v>Broad COGS / consolidated revenue — active</x:v>
      </x:c>
      <x:c r="D59" s="46" t="n">
        <x:f>'02_Historical_FS'!D11/'02_Historical_FS'!D43</x:f>
        <x:v>0.7756359699276314</x:v>
      </x:c>
      <x:c r="E59" s="46" t="n">
        <x:f>'02_Historical_FS'!E11/'02_Historical_FS'!E43</x:f>
        <x:v>0.7450426282579723</x:v>
      </x:c>
      <x:c r="F59" s="46" t="n">
        <x:f>'02_Historical_FS'!F11/'02_Historical_FS'!F43</x:f>
        <x:v>0.7361812814186514</x:v>
      </x:c>
      <x:c r="G59" s="46" t="n">
        <x:f>'02_Historical_FS'!G11/'02_Historical_FS'!G43</x:f>
        <x:v>0.7510620277394375</x:v>
      </x:c>
      <x:c r="H59" s="46" t="n">
        <x:f>'02_Historical_FS'!H11/'02_Historical_FS'!H43</x:f>
        <x:v>0.747187107565378</x:v>
      </x:c>
      <x:c r="I59" s="46" t="str">
        <x:f>IF(CHOOSE('00_Cover'!$D$10,ISNUMBER(I60),ISNUMBER(I61),ISNUMBER(I62)),CHOOSE('00_Cover'!$D$10,I60,I61,I62),"")</x:f>
      </x:c>
      <x:c r="J59" s="46" t="str">
        <x:f>IF(CHOOSE('00_Cover'!$D$10,ISNUMBER(J60),ISNUMBER(J61),ISNUMBER(J62)),CHOOSE('00_Cover'!$D$10,J60,J61,J62),"")</x:f>
      </x:c>
      <x:c r="K59" s="46" t="str">
        <x:f>IF(CHOOSE('00_Cover'!$D$10,ISNUMBER(K60),ISNUMBER(K61),ISNUMBER(K62)),CHOOSE('00_Cover'!$D$10,K60,K61,K62),"")</x:f>
      </x:c>
      <x:c r="L59" s="46" t="str">
        <x:f>IF(CHOOSE('00_Cover'!$D$10,ISNUMBER(L60),ISNUMBER(L61),ISNUMBER(L62)),CHOOSE('00_Cover'!$D$10,L60,L61,L62),"")</x:f>
      </x:c>
      <x:c r="M59" s="46" t="str">
        <x:f>IF(CHOOSE('00_Cover'!$D$10,ISNUMBER(M60),ISNUMBER(M61),ISNUMBER(M62)),CHOOSE('00_Cover'!$D$10,M60,M61,M62),"")</x:f>
      </x:c>
      <x:c r="N59" s="2"/>
      <x:c r="O59" s="13" t="str">
        <x:v>Used for working-capital denominators and P&amp;L presentation.</x:v>
      </x:c>
      <x:c r="P59" s="2"/>
    </x:row>
    <x:row r="60" ht="19" customHeight="1">
      <x:c r="A60" s="2"/>
      <x:c r="B60" s="2"/>
      <x:c r="C60" s="21" t="str">
        <x:v>Base input</x:v>
      </x:c>
      <x:c r="D60" s="22"/>
      <x:c r="E60" s="22"/>
      <x:c r="F60" s="22"/>
      <x:c r="G60" s="22"/>
      <x:c r="H60" s="22"/>
      <x:c r="I60" s="45"/>
      <x:c r="J60" s="45"/>
      <x:c r="K60" s="45"/>
      <x:c r="L60" s="45"/>
      <x:c r="M60" s="45"/>
      <x:c r="N60" s="2"/>
      <x:c r="O60" s="2"/>
      <x:c r="P60" s="2"/>
    </x:row>
    <x:row r="61" ht="19" customHeight="1">
      <x:c r="A61" s="2"/>
      <x:c r="B61" s="2"/>
      <x:c r="C61" s="21" t="str">
        <x:v>Bull input</x:v>
      </x:c>
      <x:c r="D61" s="22"/>
      <x:c r="E61" s="22"/>
      <x:c r="F61" s="22"/>
      <x:c r="G61" s="22"/>
      <x:c r="H61" s="22"/>
      <x:c r="I61" s="45"/>
      <x:c r="J61" s="45"/>
      <x:c r="K61" s="45"/>
      <x:c r="L61" s="45"/>
      <x:c r="M61" s="45"/>
      <x:c r="N61" s="2"/>
      <x:c r="O61" s="2"/>
      <x:c r="P61" s="2"/>
    </x:row>
    <x:row r="62" ht="19" customHeight="1">
      <x:c r="A62" s="2"/>
      <x:c r="B62" s="2"/>
      <x:c r="C62" s="21" t="str">
        <x:v>Bear input</x:v>
      </x:c>
      <x:c r="D62" s="22"/>
      <x:c r="E62" s="22"/>
      <x:c r="F62" s="22"/>
      <x:c r="G62" s="22"/>
      <x:c r="H62" s="22"/>
      <x:c r="I62" s="45"/>
      <x:c r="J62" s="45"/>
      <x:c r="K62" s="45"/>
      <x:c r="L62" s="45"/>
      <x:c r="M62" s="45"/>
      <x:c r="N62" s="2"/>
      <x:c r="O62" s="2"/>
      <x:c r="P62" s="2"/>
    </x:row>
    <x:row r="63" ht="19" customHeight="1">
      <x:c r="A63" s="2"/>
      <x:c r="B63" s="2"/>
      <x:c r="C63" s="2"/>
      <x:c r="D63" s="2"/>
      <x:c r="E63" s="2"/>
      <x:c r="F63" s="2"/>
      <x:c r="G63" s="2"/>
      <x:c r="H63" s="2"/>
      <x:c r="I63" s="34"/>
      <x:c r="J63" s="34"/>
      <x:c r="K63" s="34"/>
      <x:c r="L63" s="34"/>
      <x:c r="M63" s="34"/>
      <x:c r="N63" s="2"/>
      <x:c r="O63" s="2"/>
      <x:c r="P63" s="2"/>
    </x:row>
    <x:row r="64" ht="19" customHeight="1">
      <x:c r="A64" s="2"/>
      <x:c r="B64" s="2"/>
      <x:c r="C64" s="42" t="str">
        <x:v>D&amp;A / consolidated revenue — active</x:v>
      </x:c>
      <x:c r="D64" s="46" t="n">
        <x:f>IF(ISNUMBER('08_Fixed_Assets'!D28),'08_Fixed_Assets'!D28,"")</x:f>
        <x:v>0.016512860256768385</x:v>
      </x:c>
      <x:c r="E64" s="46" t="n">
        <x:f>IF(ISNUMBER('08_Fixed_Assets'!E28),'08_Fixed_Assets'!E28,"")</x:f>
        <x:v>0.014826147675417064</x:v>
      </x:c>
      <x:c r="F64" s="46" t="n">
        <x:f>IF(ISNUMBER('08_Fixed_Assets'!F28),'08_Fixed_Assets'!F28,"")</x:f>
        <x:v>0.013583567209721098</x:v>
      </x:c>
      <x:c r="G64" s="46" t="n">
        <x:f>IF(ISNUMBER('08_Fixed_Assets'!G28),'08_Fixed_Assets'!G28,"")</x:f>
        <x:v>0.01330323259943754</x:v>
      </x:c>
      <x:c r="H64" s="46" t="n">
        <x:f>IF(ISNUMBER('08_Fixed_Assets'!H28),'08_Fixed_Assets'!H28,"")</x:f>
        <x:v>0.013359360848464773</x:v>
      </x:c>
      <x:c r="I64" s="46" t="str">
        <x:f>IF(CHOOSE('00_Cover'!$D$10,ISNUMBER(I65),ISNUMBER(I66),ISNUMBER(I67)),CHOOSE('00_Cover'!$D$10,I65,I66,I67),"")</x:f>
      </x:c>
      <x:c r="J64" s="46" t="str">
        <x:f>IF(CHOOSE('00_Cover'!$D$10,ISNUMBER(J65),ISNUMBER(J66),ISNUMBER(J67)),CHOOSE('00_Cover'!$D$10,J65,J66,J67),"")</x:f>
      </x:c>
      <x:c r="K64" s="46" t="str">
        <x:f>IF(CHOOSE('00_Cover'!$D$10,ISNUMBER(K65),ISNUMBER(K66),ISNUMBER(K67)),CHOOSE('00_Cover'!$D$10,K65,K66,K67),"")</x:f>
      </x:c>
      <x:c r="L64" s="46" t="str">
        <x:f>IF(CHOOSE('00_Cover'!$D$10,ISNUMBER(L65),ISNUMBER(L66),ISNUMBER(L67)),CHOOSE('00_Cover'!$D$10,L65,L66,L67),"")</x:f>
      </x:c>
      <x:c r="M64" s="46" t="str">
        <x:f>IF(CHOOSE('00_Cover'!$D$10,ISNUMBER(M65),ISNUMBER(M66),ISNUMBER(M67)),CHOOSE('00_Cover'!$D$10,M65,M66,M67),"")</x:f>
      </x:c>
      <x:c r="N64" s="2"/>
      <x:c r="O64" s="13" t="str">
        <x:v>Top-down D&amp;A proxy; refine useful lives and commissioning next stage.</x:v>
      </x:c>
      <x:c r="P64" s="2"/>
    </x:row>
    <x:row r="65" ht="19" customHeight="1">
      <x:c r="A65" s="2"/>
      <x:c r="B65" s="2"/>
      <x:c r="C65" s="21" t="str">
        <x:v>Base input</x:v>
      </x:c>
      <x:c r="D65" s="22"/>
      <x:c r="E65" s="22"/>
      <x:c r="F65" s="22"/>
      <x:c r="G65" s="22"/>
      <x:c r="H65" s="22"/>
      <x:c r="I65" s="45"/>
      <x:c r="J65" s="45"/>
      <x:c r="K65" s="45"/>
      <x:c r="L65" s="45"/>
      <x:c r="M65" s="45"/>
      <x:c r="N65" s="2"/>
      <x:c r="O65" s="2"/>
      <x:c r="P65" s="2"/>
    </x:row>
    <x:row r="66" ht="19" customHeight="1">
      <x:c r="A66" s="2"/>
      <x:c r="B66" s="2"/>
      <x:c r="C66" s="21" t="str">
        <x:v>Bull input</x:v>
      </x:c>
      <x:c r="D66" s="22"/>
      <x:c r="E66" s="22"/>
      <x:c r="F66" s="22"/>
      <x:c r="G66" s="22"/>
      <x:c r="H66" s="22"/>
      <x:c r="I66" s="45"/>
      <x:c r="J66" s="45"/>
      <x:c r="K66" s="45"/>
      <x:c r="L66" s="45"/>
      <x:c r="M66" s="45"/>
      <x:c r="N66" s="2"/>
      <x:c r="O66" s="2"/>
      <x:c r="P66" s="2"/>
    </x:row>
    <x:row r="67" ht="19" customHeight="1">
      <x:c r="A67" s="2"/>
      <x:c r="B67" s="2"/>
      <x:c r="C67" s="21" t="str">
        <x:v>Bear input</x:v>
      </x:c>
      <x:c r="D67" s="22"/>
      <x:c r="E67" s="22"/>
      <x:c r="F67" s="22"/>
      <x:c r="G67" s="22"/>
      <x:c r="H67" s="22"/>
      <x:c r="I67" s="45"/>
      <x:c r="J67" s="45"/>
      <x:c r="K67" s="45"/>
      <x:c r="L67" s="45"/>
      <x:c r="M67" s="45"/>
      <x:c r="N67" s="2"/>
      <x:c r="O67" s="2"/>
      <x:c r="P67" s="2"/>
    </x:row>
    <x:row r="68" ht="19" customHeight="1">
      <x:c r="A68" s="2"/>
      <x:c r="B68" s="2"/>
      <x:c r="C68" s="2"/>
      <x:c r="D68" s="2"/>
      <x:c r="E68" s="2"/>
      <x:c r="F68" s="2"/>
      <x:c r="G68" s="2"/>
      <x:c r="H68" s="2"/>
      <x:c r="I68" s="34"/>
      <x:c r="J68" s="34"/>
      <x:c r="K68" s="34"/>
      <x:c r="L68" s="34"/>
      <x:c r="M68" s="34"/>
      <x:c r="N68" s="2"/>
      <x:c r="O68" s="2"/>
      <x:c r="P68" s="2"/>
    </x:row>
    <x:row r="69" ht="19" customHeight="1">
      <x:c r="A69" s="2"/>
      <x:c r="B69" s="2"/>
      <x:c r="C69" s="42" t="str">
        <x:v>Gross cash capex / revenue — active</x:v>
      </x:c>
      <x:c r="D69" s="46" t="n">
        <x:f>IF(ISNUMBER('08_Fixed_Assets'!D27),'08_Fixed_Assets'!D27,"")</x:f>
        <x:v>0.043158252607536314</x:v>
      </x:c>
      <x:c r="E69" s="46" t="n">
        <x:f>IF(ISNUMBER('08_Fixed_Assets'!E27),'08_Fixed_Assets'!E27,"")</x:f>
        <x:v>0.033985011672284605</x:v>
      </x:c>
      <x:c r="F69" s="46" t="n">
        <x:f>IF(ISNUMBER('08_Fixed_Assets'!F27),'08_Fixed_Assets'!F27,"")</x:f>
        <x:v>0.04759121179122815</x:v>
      </x:c>
      <x:c r="G69" s="46" t="n">
        <x:f>IF(ISNUMBER('08_Fixed_Assets'!G27),'08_Fixed_Assets'!G27,"")</x:f>
        <x:v>0.04339657340559283</x:v>
      </x:c>
      <x:c r="H69" s="46" t="n">
        <x:f>IF(ISNUMBER('08_Fixed_Assets'!H27),'08_Fixed_Assets'!H27,"")</x:f>
        <x:v>0.05157937711225729</x:v>
      </x:c>
      <x:c r="I69" s="46" t="str">
        <x:f>IF(CHOOSE('00_Cover'!$D$10,ISNUMBER(I70),ISNUMBER(I71),ISNUMBER(I72)),CHOOSE('00_Cover'!$D$10,I70,I71,I72),"")</x:f>
      </x:c>
      <x:c r="J69" s="46" t="str">
        <x:f>IF(CHOOSE('00_Cover'!$D$10,ISNUMBER(J70),ISNUMBER(J71),ISNUMBER(J72)),CHOOSE('00_Cover'!$D$10,J70,J71,J72),"")</x:f>
      </x:c>
      <x:c r="K69" s="46" t="str">
        <x:f>IF(CHOOSE('00_Cover'!$D$10,ISNUMBER(K70),ISNUMBER(K71),ISNUMBER(K72)),CHOOSE('00_Cover'!$D$10,K70,K71,K72),"")</x:f>
      </x:c>
      <x:c r="L69" s="46" t="str">
        <x:f>IF(CHOOSE('00_Cover'!$D$10,ISNUMBER(L70),ISNUMBER(L71),ISNUMBER(L72)),CHOOSE('00_Cover'!$D$10,L70,L71,L72),"")</x:f>
      </x:c>
      <x:c r="M69" s="46" t="str">
        <x:f>IF(CHOOSE('00_Cover'!$D$10,ISNUMBER(M70),ISNUMBER(M71),ISNUMBER(M72)),CHOOSE('00_Cover'!$D$10,M70,M71,M72),"")</x:f>
      </x:c>
      <x:c r="N69" s="2"/>
      <x:c r="O69" s="13" t="str">
        <x:v>Includes investment property and intangibles.</x:v>
      </x:c>
      <x:c r="P69" s="2"/>
    </x:row>
    <x:row r="70" ht="19" customHeight="1">
      <x:c r="A70" s="2"/>
      <x:c r="B70" s="2"/>
      <x:c r="C70" s="21" t="str">
        <x:v>Base input</x:v>
      </x:c>
      <x:c r="D70" s="22"/>
      <x:c r="E70" s="22"/>
      <x:c r="F70" s="22"/>
      <x:c r="G70" s="22"/>
      <x:c r="H70" s="22"/>
      <x:c r="I70" s="45"/>
      <x:c r="J70" s="45"/>
      <x:c r="K70" s="45"/>
      <x:c r="L70" s="45"/>
      <x:c r="M70" s="45"/>
      <x:c r="N70" s="2"/>
      <x:c r="O70" s="2"/>
      <x:c r="P70" s="2"/>
    </x:row>
    <x:row r="71" ht="19" customHeight="1">
      <x:c r="A71" s="2"/>
      <x:c r="B71" s="2"/>
      <x:c r="C71" s="21" t="str">
        <x:v>Bull input</x:v>
      </x:c>
      <x:c r="D71" s="22"/>
      <x:c r="E71" s="22"/>
      <x:c r="F71" s="22"/>
      <x:c r="G71" s="22"/>
      <x:c r="H71" s="22"/>
      <x:c r="I71" s="45"/>
      <x:c r="J71" s="45"/>
      <x:c r="K71" s="45"/>
      <x:c r="L71" s="45"/>
      <x:c r="M71" s="45"/>
      <x:c r="N71" s="2"/>
      <x:c r="O71" s="2"/>
      <x:c r="P71" s="2"/>
    </x:row>
    <x:row r="72" ht="19" customHeight="1">
      <x:c r="A72" s="2"/>
      <x:c r="B72" s="2"/>
      <x:c r="C72" s="21" t="str">
        <x:v>Bear input</x:v>
      </x:c>
      <x:c r="D72" s="22"/>
      <x:c r="E72" s="22"/>
      <x:c r="F72" s="22"/>
      <x:c r="G72" s="22"/>
      <x:c r="H72" s="22"/>
      <x:c r="I72" s="45"/>
      <x:c r="J72" s="45"/>
      <x:c r="K72" s="45"/>
      <x:c r="L72" s="45"/>
      <x:c r="M72" s="45"/>
      <x:c r="N72" s="2"/>
      <x:c r="O72" s="2"/>
      <x:c r="P72" s="2"/>
    </x:row>
    <x:row r="73" ht="19" customHeight="1">
      <x:c r="A73" s="2"/>
      <x:c r="B73" s="2"/>
      <x:c r="C73" s="2"/>
      <x:c r="D73" s="2"/>
      <x:c r="E73" s="2"/>
      <x:c r="F73" s="2"/>
      <x:c r="G73" s="2"/>
      <x:c r="H73" s="2"/>
      <x:c r="I73" s="34"/>
      <x:c r="J73" s="34"/>
      <x:c r="K73" s="34"/>
      <x:c r="L73" s="34"/>
      <x:c r="M73" s="34"/>
      <x:c r="N73" s="2"/>
      <x:c r="O73" s="2"/>
      <x:c r="P73" s="2"/>
    </x:row>
    <x:row r="74" ht="19" customHeight="1">
      <x:c r="A74" s="2"/>
      <x:c r="B74" s="2"/>
      <x:c r="C74" s="18" t="str">
        <x:v>Cash-to-book fixed-asset adjustment — active</x:v>
      </x:c>
      <x:c r="D74" s="49" t="n">
        <x:f>IF(ISNUMBER('08_Fixed_Assets'!D22),'08_Fixed_Assets'!D22,"")</x:f>
        <x:v>-2432.509999999996</x:v>
      </x:c>
      <x:c r="E74" s="49" t="n">
        <x:f>IF(ISNUMBER('08_Fixed_Assets'!E22),'08_Fixed_Assets'!E22,"")</x:f>
        <x:v>-31.550000000003365</x:v>
      </x:c>
      <x:c r="F74" s="49" t="n">
        <x:f>IF(ISNUMBER('08_Fixed_Assets'!F22),'08_Fixed_Assets'!F22,"")</x:f>
        <x:v>-152.2000000000021</x:v>
      </x:c>
      <x:c r="G74" s="49" t="n">
        <x:f>IF(ISNUMBER('08_Fixed_Assets'!G22),'08_Fixed_Assets'!G22,"")</x:f>
        <x:v>1289.8699999999985</x:v>
      </x:c>
      <x:c r="H74" s="49" t="n">
        <x:f>IF(ISNUMBER('08_Fixed_Assets'!H22),'08_Fixed_Assets'!H22,"")</x:f>
        <x:v>561.2300000000009</x:v>
      </x:c>
      <x:c r="I74" s="49" t="str">
        <x:f>IF(CHOOSE('00_Cover'!$D$10,ISNUMBER(I75),ISNUMBER(I76),ISNUMBER(I77)),CHOOSE('00_Cover'!$D$10,I75,I76,I77),"")</x:f>
      </x:c>
      <x:c r="J74" s="49" t="str">
        <x:f>IF(CHOOSE('00_Cover'!$D$10,ISNUMBER(J75),ISNUMBER(J76),ISNUMBER(J77)),CHOOSE('00_Cover'!$D$10,J75,J76,J77),"")</x:f>
      </x:c>
      <x:c r="K74" s="49" t="str">
        <x:f>IF(CHOOSE('00_Cover'!$D$10,ISNUMBER(K75),ISNUMBER(K76),ISNUMBER(K77)),CHOOSE('00_Cover'!$D$10,K75,K76,K77),"")</x:f>
      </x:c>
      <x:c r="L74" s="49" t="str">
        <x:f>IF(CHOOSE('00_Cover'!$D$10,ISNUMBER(L75),ISNUMBER(L76),ISNUMBER(L77)),CHOOSE('00_Cover'!$D$10,L75,L76,L77),"")</x:f>
      </x:c>
      <x:c r="M74" s="49" t="str">
        <x:f>IF(CHOOSE('00_Cover'!$D$10,ISNUMBER(M75),ISNUMBER(M76),ISNUMBER(M77)),CHOOSE('00_Cover'!$D$10,M75,M76,M77),"")</x:f>
      </x:c>
      <x:c r="N74" s="2"/>
      <x:c r="O74" s="13" t="str">
        <x:v>Explicit book additions, ROU, grants, disposal NBV and timing.</x:v>
      </x:c>
      <x:c r="P74" s="2"/>
    </x:row>
    <x:row r="75" ht="19" customHeight="1">
      <x:c r="A75" s="2"/>
      <x:c r="B75" s="2"/>
      <x:c r="C75" s="2" t="str">
        <x:v>Base input</x:v>
      </x:c>
      <x:c r="D75" s="11"/>
      <x:c r="E75" s="11"/>
      <x:c r="F75" s="11"/>
      <x:c r="G75" s="11"/>
      <x:c r="H75" s="11"/>
      <x:c r="I75" s="48"/>
      <x:c r="J75" s="48"/>
      <x:c r="K75" s="48"/>
      <x:c r="L75" s="48"/>
      <x:c r="M75" s="48"/>
      <x:c r="N75" s="2"/>
      <x:c r="O75" s="2"/>
      <x:c r="P75" s="2"/>
    </x:row>
    <x:row r="76" ht="19" customHeight="1">
      <x:c r="A76" s="2"/>
      <x:c r="B76" s="2"/>
      <x:c r="C76" s="2" t="str">
        <x:v>Bull input</x:v>
      </x:c>
      <x:c r="D76" s="11"/>
      <x:c r="E76" s="11"/>
      <x:c r="F76" s="11"/>
      <x:c r="G76" s="11"/>
      <x:c r="H76" s="11"/>
      <x:c r="I76" s="48"/>
      <x:c r="J76" s="48"/>
      <x:c r="K76" s="48"/>
      <x:c r="L76" s="48"/>
      <x:c r="M76" s="48"/>
      <x:c r="N76" s="2"/>
      <x:c r="O76" s="2"/>
      <x:c r="P76" s="2"/>
    </x:row>
    <x:row r="77" ht="19" customHeight="1">
      <x:c r="A77" s="2"/>
      <x:c r="B77" s="2"/>
      <x:c r="C77" s="2" t="str">
        <x:v>Bear input</x:v>
      </x:c>
      <x:c r="D77" s="11"/>
      <x:c r="E77" s="11"/>
      <x:c r="F77" s="11"/>
      <x:c r="G77" s="11"/>
      <x:c r="H77" s="11"/>
      <x:c r="I77" s="48"/>
      <x:c r="J77" s="48"/>
      <x:c r="K77" s="48"/>
      <x:c r="L77" s="48"/>
      <x:c r="M77" s="48"/>
      <x:c r="N77" s="2"/>
      <x:c r="O77" s="2"/>
      <x:c r="P77" s="2"/>
    </x:row>
    <x:row r="78" ht="19" customHeight="1">
      <x:c r="A78" s="2"/>
      <x:c r="B78" s="2"/>
      <x:c r="C78" s="2"/>
      <x:c r="D78" s="2"/>
      <x:c r="E78" s="2"/>
      <x:c r="F78" s="2"/>
      <x:c r="G78" s="2"/>
      <x:c r="H78" s="2"/>
      <x:c r="I78" s="34"/>
      <x:c r="J78" s="34"/>
      <x:c r="K78" s="34"/>
      <x:c r="L78" s="34"/>
      <x:c r="M78" s="34"/>
      <x:c r="N78" s="2"/>
      <x:c r="O78" s="2"/>
      <x:c r="P78" s="2"/>
    </x:row>
    <x:row r="79" ht="19" customHeight="1">
      <x:c r="A79" s="2"/>
      <x:c r="B79" s="2"/>
      <x:c r="C79" s="18" t="str">
        <x:v>PPE disposal proceeds — active</x:v>
      </x:c>
      <x:c r="D79" s="49" t="n">
        <x:f>IF(ISNUMBER('02_Historical_FS'!D129),'02_Historical_FS'!D129,"")</x:f>
        <x:v>66.9</x:v>
      </x:c>
      <x:c r="E79" s="49" t="n">
        <x:f>IF(ISNUMBER('02_Historical_FS'!E129),'02_Historical_FS'!E129,"")</x:f>
        <x:v>210.35</x:v>
      </x:c>
      <x:c r="F79" s="49" t="n">
        <x:f>IF(ISNUMBER('02_Historical_FS'!F129),'02_Historical_FS'!F129,"")</x:f>
        <x:v>5.47</x:v>
      </x:c>
      <x:c r="G79" s="49" t="n">
        <x:f>IF(ISNUMBER('02_Historical_FS'!G129),'02_Historical_FS'!G129,"")</x:f>
        <x:v>141.07</x:v>
      </x:c>
      <x:c r="H79" s="49" t="n">
        <x:f>IF(ISNUMBER('02_Historical_FS'!H129),'02_Historical_FS'!H129,"")</x:f>
        <x:v>98.74</x:v>
      </x:c>
      <x:c r="I79" s="49" t="str">
        <x:f>IF(CHOOSE('00_Cover'!$D$10,ISNUMBER(I80),ISNUMBER(I81),ISNUMBER(I82)),CHOOSE('00_Cover'!$D$10,I80,I81,I82),"")</x:f>
      </x:c>
      <x:c r="J79" s="49" t="str">
        <x:f>IF(CHOOSE('00_Cover'!$D$10,ISNUMBER(J80),ISNUMBER(J81),ISNUMBER(J82)),CHOOSE('00_Cover'!$D$10,J80,J81,J82),"")</x:f>
      </x:c>
      <x:c r="K79" s="49" t="str">
        <x:f>IF(CHOOSE('00_Cover'!$D$10,ISNUMBER(K80),ISNUMBER(K81),ISNUMBER(K82)),CHOOSE('00_Cover'!$D$10,K80,K81,K82),"")</x:f>
      </x:c>
      <x:c r="L79" s="49" t="str">
        <x:f>IF(CHOOSE('00_Cover'!$D$10,ISNUMBER(L80),ISNUMBER(L81),ISNUMBER(L82)),CHOOSE('00_Cover'!$D$10,L80,L81,L82),"")</x:f>
      </x:c>
      <x:c r="M79" s="49" t="str">
        <x:f>IF(CHOOSE('00_Cover'!$D$10,ISNUMBER(M80),ISNUMBER(M81),ISNUMBER(M82)),CHOOSE('00_Cover'!$D$10,M80,M81,M82),"")</x:f>
      </x:c>
      <x:c r="N79" s="2"/>
      <x:c r="O79" s="13" t="str">
        <x:v>Cash proceeds; book effect belongs in fixed-asset adjustment.</x:v>
      </x:c>
      <x:c r="P79" s="2"/>
    </x:row>
    <x:row r="80" ht="19" customHeight="1">
      <x:c r="A80" s="2"/>
      <x:c r="B80" s="2"/>
      <x:c r="C80" s="2" t="str">
        <x:v>Base input</x:v>
      </x:c>
      <x:c r="D80" s="11"/>
      <x:c r="E80" s="11"/>
      <x:c r="F80" s="11"/>
      <x:c r="G80" s="11"/>
      <x:c r="H80" s="11"/>
      <x:c r="I80" s="48"/>
      <x:c r="J80" s="48"/>
      <x:c r="K80" s="48"/>
      <x:c r="L80" s="48"/>
      <x:c r="M80" s="48"/>
      <x:c r="N80" s="2"/>
      <x:c r="O80" s="2"/>
      <x:c r="P80" s="2"/>
    </x:row>
    <x:row r="81" ht="19" customHeight="1">
      <x:c r="A81" s="2"/>
      <x:c r="B81" s="2"/>
      <x:c r="C81" s="2" t="str">
        <x:v>Bull input</x:v>
      </x:c>
      <x:c r="D81" s="11"/>
      <x:c r="E81" s="11"/>
      <x:c r="F81" s="11"/>
      <x:c r="G81" s="11"/>
      <x:c r="H81" s="11"/>
      <x:c r="I81" s="48"/>
      <x:c r="J81" s="48"/>
      <x:c r="K81" s="48"/>
      <x:c r="L81" s="48"/>
      <x:c r="M81" s="48"/>
      <x:c r="N81" s="2"/>
      <x:c r="O81" s="2"/>
      <x:c r="P81" s="2"/>
    </x:row>
    <x:row r="82" ht="19" customHeight="1">
      <x:c r="A82" s="2"/>
      <x:c r="B82" s="2"/>
      <x:c r="C82" s="2" t="str">
        <x:v>Bear input</x:v>
      </x:c>
      <x:c r="D82" s="11"/>
      <x:c r="E82" s="11"/>
      <x:c r="F82" s="11"/>
      <x:c r="G82" s="11"/>
      <x:c r="H82" s="11"/>
      <x:c r="I82" s="48"/>
      <x:c r="J82" s="48"/>
      <x:c r="K82" s="48"/>
      <x:c r="L82" s="48"/>
      <x:c r="M82" s="48"/>
      <x:c r="N82" s="2"/>
      <x:c r="O82" s="2"/>
      <x:c r="P82" s="2"/>
    </x:row>
    <x:row r="83" ht="19" customHeight="1">
      <x:c r="A83" s="2"/>
      <x:c r="B83" s="2"/>
      <x:c r="C83" s="2"/>
      <x:c r="D83" s="2"/>
      <x:c r="E83" s="2"/>
      <x:c r="F83" s="2"/>
      <x:c r="G83" s="2"/>
      <x:c r="H83" s="2"/>
      <x:c r="I83" s="34"/>
      <x:c r="J83" s="34"/>
      <x:c r="K83" s="34"/>
      <x:c r="L83" s="34"/>
      <x:c r="M83" s="34"/>
      <x:c r="N83" s="2"/>
      <x:c r="O83" s="2"/>
      <x:c r="P83" s="2"/>
    </x:row>
    <x:row r="84" ht="19" customHeight="1">
      <x:c r="A84" s="2"/>
      <x:c r="B84" s="2"/>
      <x:c r="C84" s="18" t="str">
        <x:v>Closing current receivable days — active</x:v>
      </x:c>
      <x:c r="D84" s="49" t="n">
        <x:f>IF(ISNUMBER('07_Working_Capital'!D23),'07_Working_Capital'!D23,"")</x:f>
        <x:v>38.773605120585366</x:v>
      </x:c>
      <x:c r="E84" s="49" t="n">
        <x:f>IF(ISNUMBER('07_Working_Capital'!E23),'07_Working_Capital'!E23,"")</x:f>
        <x:v>32.25224695200052</x:v>
      </x:c>
      <x:c r="F84" s="49" t="n">
        <x:f>IF(ISNUMBER('07_Working_Capital'!F23),'07_Working_Capital'!F23,"")</x:f>
        <x:v>41.4202181065004</x:v>
      </x:c>
      <x:c r="G84" s="49" t="n">
        <x:f>IF(ISNUMBER('07_Working_Capital'!G23),'07_Working_Capital'!G23,"")</x:f>
        <x:v>42.28956548402372</x:v>
      </x:c>
      <x:c r="H84" s="49" t="n">
        <x:f>IF(ISNUMBER('07_Working_Capital'!H23),'07_Working_Capital'!H23,"")</x:f>
        <x:v>47.49563215245423</x:v>
      </x:c>
      <x:c r="I84" s="49" t="str">
        <x:f>IF(CHOOSE('00_Cover'!$D$10,ISNUMBER(I85),ISNUMBER(I86),ISNUMBER(I87)),CHOOSE('00_Cover'!$D$10,I85,I86,I87),"")</x:f>
      </x:c>
      <x:c r="J84" s="49" t="str">
        <x:f>IF(CHOOSE('00_Cover'!$D$10,ISNUMBER(J85),ISNUMBER(J86),ISNUMBER(J87)),CHOOSE('00_Cover'!$D$10,J85,J86,J87),"")</x:f>
      </x:c>
      <x:c r="K84" s="49" t="str">
        <x:f>IF(CHOOSE('00_Cover'!$D$10,ISNUMBER(K85),ISNUMBER(K86),ISNUMBER(K87)),CHOOSE('00_Cover'!$D$10,K85,K86,K87),"")</x:f>
      </x:c>
      <x:c r="L84" s="49" t="str">
        <x:f>IF(CHOOSE('00_Cover'!$D$10,ISNUMBER(L85),ISNUMBER(L86),ISNUMBER(L87)),CHOOSE('00_Cover'!$D$10,L85,L86,L87),"")</x:f>
      </x:c>
      <x:c r="M84" s="49" t="str">
        <x:f>IF(CHOOSE('00_Cover'!$D$10,ISNUMBER(M85),ISNUMBER(M86),ISNUMBER(M87)),CHOOSE('00_Cover'!$D$10,M85,M86,M87),"")</x:f>
      </x:c>
      <x:c r="N84" s="2"/>
      <x:c r="O84" s="13" t="str">
        <x:v>365-day convention.</x:v>
      </x:c>
      <x:c r="P84" s="2"/>
    </x:row>
    <x:row r="85" ht="19" customHeight="1">
      <x:c r="A85" s="2"/>
      <x:c r="B85" s="2"/>
      <x:c r="C85" s="2" t="str">
        <x:v>Base input</x:v>
      </x:c>
      <x:c r="D85" s="11"/>
      <x:c r="E85" s="11"/>
      <x:c r="F85" s="11"/>
      <x:c r="G85" s="11"/>
      <x:c r="H85" s="11"/>
      <x:c r="I85" s="48"/>
      <x:c r="J85" s="48"/>
      <x:c r="K85" s="48"/>
      <x:c r="L85" s="48"/>
      <x:c r="M85" s="48"/>
      <x:c r="N85" s="2"/>
      <x:c r="O85" s="2"/>
      <x:c r="P85" s="2"/>
    </x:row>
    <x:row r="86" ht="19" customHeight="1">
      <x:c r="A86" s="2"/>
      <x:c r="B86" s="2"/>
      <x:c r="C86" s="2" t="str">
        <x:v>Bull input</x:v>
      </x:c>
      <x:c r="D86" s="11"/>
      <x:c r="E86" s="11"/>
      <x:c r="F86" s="11"/>
      <x:c r="G86" s="11"/>
      <x:c r="H86" s="11"/>
      <x:c r="I86" s="48"/>
      <x:c r="J86" s="48"/>
      <x:c r="K86" s="48"/>
      <x:c r="L86" s="48"/>
      <x:c r="M86" s="48"/>
      <x:c r="N86" s="2"/>
      <x:c r="O86" s="2"/>
      <x:c r="P86" s="2"/>
    </x:row>
    <x:row r="87" ht="19" customHeight="1">
      <x:c r="A87" s="2"/>
      <x:c r="B87" s="2"/>
      <x:c r="C87" s="2" t="str">
        <x:v>Bear input</x:v>
      </x:c>
      <x:c r="D87" s="11"/>
      <x:c r="E87" s="11"/>
      <x:c r="F87" s="11"/>
      <x:c r="G87" s="11"/>
      <x:c r="H87" s="11"/>
      <x:c r="I87" s="48"/>
      <x:c r="J87" s="48"/>
      <x:c r="K87" s="48"/>
      <x:c r="L87" s="48"/>
      <x:c r="M87" s="48"/>
      <x:c r="N87" s="2"/>
      <x:c r="O87" s="2"/>
      <x:c r="P87" s="2"/>
    </x:row>
    <x:row r="88" ht="19" customHeight="1">
      <x:c r="A88" s="2"/>
      <x:c r="B88" s="2"/>
      <x:c r="C88" s="2"/>
      <x:c r="D88" s="2"/>
      <x:c r="E88" s="2"/>
      <x:c r="F88" s="2"/>
      <x:c r="G88" s="2"/>
      <x:c r="H88" s="2"/>
      <x:c r="I88" s="34"/>
      <x:c r="J88" s="34"/>
      <x:c r="K88" s="34"/>
      <x:c r="L88" s="34"/>
      <x:c r="M88" s="34"/>
      <x:c r="N88" s="2"/>
      <x:c r="O88" s="2"/>
      <x:c r="P88" s="2"/>
    </x:row>
    <x:row r="89" ht="19" customHeight="1">
      <x:c r="A89" s="2"/>
      <x:c r="B89" s="2"/>
      <x:c r="C89" s="18" t="str">
        <x:v>Closing inventory days — active</x:v>
      </x:c>
      <x:c r="D89" s="49" t="n">
        <x:f>IF(ISNUMBER('07_Working_Capital'!D24),'07_Working_Capital'!D24,"")</x:f>
        <x:v>84.81920942571877</x:v>
      </x:c>
      <x:c r="E89" s="49" t="n">
        <x:f>IF(ISNUMBER('07_Working_Capital'!E24),'07_Working_Capital'!E24,"")</x:f>
        <x:v>102.4893748354089</x:v>
      </x:c>
      <x:c r="F89" s="49" t="n">
        <x:f>IF(ISNUMBER('07_Working_Capital'!F24),'07_Working_Capital'!F24,"")</x:f>
        <x:v>101.00799748439435</x:v>
      </x:c>
      <x:c r="G89" s="49" t="n">
        <x:f>IF(ISNUMBER('07_Working_Capital'!G24),'07_Working_Capital'!G24,"")</x:f>
        <x:v>79.4041520893037</x:v>
      </x:c>
      <x:c r="H89" s="49" t="n">
        <x:f>IF(ISNUMBER('07_Working_Capital'!H24),'07_Working_Capital'!H24,"")</x:f>
        <x:v>94.02702079924853</x:v>
      </x:c>
      <x:c r="I89" s="49" t="str">
        <x:f>IF(CHOOSE('00_Cover'!$D$10,ISNUMBER(I90),ISNUMBER(I91),ISNUMBER(I92)),CHOOSE('00_Cover'!$D$10,I90,I91,I92),"")</x:f>
      </x:c>
      <x:c r="J89" s="49" t="str">
        <x:f>IF(CHOOSE('00_Cover'!$D$10,ISNUMBER(J90),ISNUMBER(J91),ISNUMBER(J92)),CHOOSE('00_Cover'!$D$10,J90,J91,J92),"")</x:f>
      </x:c>
      <x:c r="K89" s="49" t="str">
        <x:f>IF(CHOOSE('00_Cover'!$D$10,ISNUMBER(K90),ISNUMBER(K91),ISNUMBER(K92)),CHOOSE('00_Cover'!$D$10,K90,K91,K92),"")</x:f>
      </x:c>
      <x:c r="L89" s="49" t="str">
        <x:f>IF(CHOOSE('00_Cover'!$D$10,ISNUMBER(L90),ISNUMBER(L91),ISNUMBER(L92)),CHOOSE('00_Cover'!$D$10,L90,L91,L92),"")</x:f>
      </x:c>
      <x:c r="M89" s="49" t="str">
        <x:f>IF(CHOOSE('00_Cover'!$D$10,ISNUMBER(M90),ISNUMBER(M91),ISNUMBER(M92)),CHOOSE('00_Cover'!$D$10,M90,M91,M92),"")</x:f>
      </x:c>
      <x:c r="N89" s="2"/>
      <x:c r="O89" s="13" t="str">
        <x:v>Broad COGS denominator.</x:v>
      </x:c>
      <x:c r="P89" s="2"/>
    </x:row>
    <x:row r="90" ht="19" customHeight="1">
      <x:c r="A90" s="2"/>
      <x:c r="B90" s="2"/>
      <x:c r="C90" s="2" t="str">
        <x:v>Base input</x:v>
      </x:c>
      <x:c r="D90" s="11"/>
      <x:c r="E90" s="11"/>
      <x:c r="F90" s="11"/>
      <x:c r="G90" s="11"/>
      <x:c r="H90" s="11"/>
      <x:c r="I90" s="48"/>
      <x:c r="J90" s="48"/>
      <x:c r="K90" s="48"/>
      <x:c r="L90" s="48"/>
      <x:c r="M90" s="48"/>
      <x:c r="N90" s="2"/>
      <x:c r="O90" s="2"/>
      <x:c r="P90" s="2"/>
    </x:row>
    <x:row r="91" ht="19" customHeight="1">
      <x:c r="A91" s="2"/>
      <x:c r="B91" s="2"/>
      <x:c r="C91" s="2" t="str">
        <x:v>Bull input</x:v>
      </x:c>
      <x:c r="D91" s="11"/>
      <x:c r="E91" s="11"/>
      <x:c r="F91" s="11"/>
      <x:c r="G91" s="11"/>
      <x:c r="H91" s="11"/>
      <x:c r="I91" s="48"/>
      <x:c r="J91" s="48"/>
      <x:c r="K91" s="48"/>
      <x:c r="L91" s="48"/>
      <x:c r="M91" s="48"/>
      <x:c r="N91" s="2"/>
      <x:c r="O91" s="2"/>
      <x:c r="P91" s="2"/>
    </x:row>
    <x:row r="92" ht="19" customHeight="1">
      <x:c r="A92" s="2"/>
      <x:c r="B92" s="2"/>
      <x:c r="C92" s="2" t="str">
        <x:v>Bear input</x:v>
      </x:c>
      <x:c r="D92" s="11"/>
      <x:c r="E92" s="11"/>
      <x:c r="F92" s="11"/>
      <x:c r="G92" s="11"/>
      <x:c r="H92" s="11"/>
      <x:c r="I92" s="48"/>
      <x:c r="J92" s="48"/>
      <x:c r="K92" s="48"/>
      <x:c r="L92" s="48"/>
      <x:c r="M92" s="48"/>
      <x:c r="N92" s="2"/>
      <x:c r="O92" s="2"/>
      <x:c r="P92" s="2"/>
    </x:row>
    <x:row r="93" ht="19" customHeight="1">
      <x:c r="A93" s="2"/>
      <x:c r="B93" s="2"/>
      <x:c r="C93" s="2"/>
      <x:c r="D93" s="2"/>
      <x:c r="E93" s="2"/>
      <x:c r="F93" s="2"/>
      <x:c r="G93" s="2"/>
      <x:c r="H93" s="2"/>
      <x:c r="I93" s="34"/>
      <x:c r="J93" s="34"/>
      <x:c r="K93" s="34"/>
      <x:c r="L93" s="34"/>
      <x:c r="M93" s="34"/>
      <x:c r="N93" s="2"/>
      <x:c r="O93" s="2"/>
      <x:c r="P93" s="2"/>
    </x:row>
    <x:row r="94" ht="19" customHeight="1">
      <x:c r="A94" s="2"/>
      <x:c r="B94" s="2"/>
      <x:c r="C94" s="18" t="str">
        <x:v>Closing payable days, excl acceptances — active</x:v>
      </x:c>
      <x:c r="D94" s="49" t="n">
        <x:f>IF(ISNUMBER('07_Working_Capital'!D25),'07_Working_Capital'!D25,"")</x:f>
        <x:v>22.40646890935206</x:v>
      </x:c>
      <x:c r="E94" s="49" t="n">
        <x:f>IF(ISNUMBER('07_Working_Capital'!E25),'07_Working_Capital'!E25,"")</x:f>
        <x:v>28.019887172320995</x:v>
      </x:c>
      <x:c r="F94" s="49" t="n">
        <x:f>IF(ISNUMBER('07_Working_Capital'!F25),'07_Working_Capital'!F25,"")</x:f>
        <x:v>27.521667995326307</x:v>
      </x:c>
      <x:c r="G94" s="49" t="n">
        <x:f>IF(ISNUMBER('07_Working_Capital'!G25),'07_Working_Capital'!G25,"")</x:f>
        <x:v>31.002579436415843</x:v>
      </x:c>
      <x:c r="H94" s="49" t="n">
        <x:f>IF(ISNUMBER('07_Working_Capital'!H25),'07_Working_Capital'!H25,"")</x:f>
        <x:v>30.42254518977441</x:v>
      </x:c>
      <x:c r="I94" s="49" t="str">
        <x:f>IF(CHOOSE('00_Cover'!$D$10,ISNUMBER(I95),ISNUMBER(I96),ISNUMBER(I97)),CHOOSE('00_Cover'!$D$10,I95,I96,I97),"")</x:f>
      </x:c>
      <x:c r="J94" s="49" t="str">
        <x:f>IF(CHOOSE('00_Cover'!$D$10,ISNUMBER(J95),ISNUMBER(J96),ISNUMBER(J97)),CHOOSE('00_Cover'!$D$10,J95,J96,J97),"")</x:f>
      </x:c>
      <x:c r="K94" s="49" t="str">
        <x:f>IF(CHOOSE('00_Cover'!$D$10,ISNUMBER(K95),ISNUMBER(K96),ISNUMBER(K97)),CHOOSE('00_Cover'!$D$10,K95,K96,K97),"")</x:f>
      </x:c>
      <x:c r="L94" s="49" t="str">
        <x:f>IF(CHOOSE('00_Cover'!$D$10,ISNUMBER(L95),ISNUMBER(L96),ISNUMBER(L97)),CHOOSE('00_Cover'!$D$10,L95,L96,L97),"")</x:f>
      </x:c>
      <x:c r="M94" s="49" t="str">
        <x:f>IF(CHOOSE('00_Cover'!$D$10,ISNUMBER(M95),ISNUMBER(M96),ISNUMBER(M97)),CHOOSE('00_Cover'!$D$10,M95,M96,M97),"")</x:f>
      </x:c>
      <x:c r="N94" s="2"/>
      <x:c r="O94" s="13" t="str">
        <x:v>Broad COGS denominator.</x:v>
      </x:c>
      <x:c r="P94" s="2"/>
    </x:row>
    <x:row r="95" ht="19" customHeight="1">
      <x:c r="A95" s="2"/>
      <x:c r="B95" s="2"/>
      <x:c r="C95" s="2" t="str">
        <x:v>Base input</x:v>
      </x:c>
      <x:c r="D95" s="11"/>
      <x:c r="E95" s="11"/>
      <x:c r="F95" s="11"/>
      <x:c r="G95" s="11"/>
      <x:c r="H95" s="11"/>
      <x:c r="I95" s="48"/>
      <x:c r="J95" s="48"/>
      <x:c r="K95" s="48"/>
      <x:c r="L95" s="48"/>
      <x:c r="M95" s="48"/>
      <x:c r="N95" s="2"/>
      <x:c r="O95" s="2"/>
      <x:c r="P95" s="2"/>
    </x:row>
    <x:row r="96" ht="19" customHeight="1">
      <x:c r="A96" s="2"/>
      <x:c r="B96" s="2"/>
      <x:c r="C96" s="2" t="str">
        <x:v>Bull input</x:v>
      </x:c>
      <x:c r="D96" s="11"/>
      <x:c r="E96" s="11"/>
      <x:c r="F96" s="11"/>
      <x:c r="G96" s="11"/>
      <x:c r="H96" s="11"/>
      <x:c r="I96" s="48"/>
      <x:c r="J96" s="48"/>
      <x:c r="K96" s="48"/>
      <x:c r="L96" s="48"/>
      <x:c r="M96" s="48"/>
      <x:c r="N96" s="2"/>
      <x:c r="O96" s="2"/>
      <x:c r="P96" s="2"/>
    </x:row>
    <x:row r="97" ht="19" customHeight="1">
      <x:c r="A97" s="2"/>
      <x:c r="B97" s="2"/>
      <x:c r="C97" s="2" t="str">
        <x:v>Bear input</x:v>
      </x:c>
      <x:c r="D97" s="11"/>
      <x:c r="E97" s="11"/>
      <x:c r="F97" s="11"/>
      <x:c r="G97" s="11"/>
      <x:c r="H97" s="11"/>
      <x:c r="I97" s="48"/>
      <x:c r="J97" s="48"/>
      <x:c r="K97" s="48"/>
      <x:c r="L97" s="48"/>
      <x:c r="M97" s="48"/>
      <x:c r="N97" s="2"/>
      <x:c r="O97" s="2"/>
      <x:c r="P97" s="2"/>
    </x:row>
    <x:row r="98" ht="19" customHeight="1">
      <x:c r="A98" s="2"/>
      <x:c r="B98" s="2"/>
      <x:c r="C98" s="2"/>
      <x:c r="D98" s="2"/>
      <x:c r="E98" s="2"/>
      <x:c r="F98" s="2"/>
      <x:c r="G98" s="2"/>
      <x:c r="H98" s="2"/>
      <x:c r="I98" s="34"/>
      <x:c r="J98" s="34"/>
      <x:c r="K98" s="34"/>
      <x:c r="L98" s="34"/>
      <x:c r="M98" s="34"/>
      <x:c r="N98" s="2"/>
      <x:c r="O98" s="2"/>
      <x:c r="P98" s="2"/>
    </x:row>
    <x:row r="99" ht="19" customHeight="1">
      <x:c r="A99" s="2"/>
      <x:c r="B99" s="2"/>
      <x:c r="C99" s="18" t="str">
        <x:v>Closing acceptance days — active</x:v>
      </x:c>
      <x:c r="D99" s="49" t="n">
        <x:f>IF(ISNUMBER('07_Working_Capital'!D26),'07_Working_Capital'!D26,"")</x:f>
        <x:v>24.54194238213942</x:v>
      </x:c>
      <x:c r="E99" s="49" t="n">
        <x:f>IF(ISNUMBER('07_Working_Capital'!E26),'07_Working_Capital'!E26,"")</x:f>
        <x:v>42.565442565505364</x:v>
      </x:c>
      <x:c r="F99" s="49" t="n">
        <x:f>IF(ISNUMBER('07_Working_Capital'!F26),'07_Working_Capital'!F26,"")</x:f>
        <x:v>51.174863431182764</x:v>
      </x:c>
      <x:c r="G99" s="49" t="n">
        <x:f>IF(ISNUMBER('07_Working_Capital'!G26),'07_Working_Capital'!G26,"")</x:f>
        <x:v>28.32891088211176</x:v>
      </x:c>
      <x:c r="H99" s="49" t="n">
        <x:f>IF(ISNUMBER('07_Working_Capital'!H26),'07_Working_Capital'!H26,"")</x:f>
        <x:v>72.14252657020701</x:v>
      </x:c>
      <x:c r="I99" s="49" t="str">
        <x:f>IF(CHOOSE('00_Cover'!$D$10,ISNUMBER(I100),ISNUMBER(I101),ISNUMBER(I102)),CHOOSE('00_Cover'!$D$10,I100,I101,I102),"")</x:f>
      </x:c>
      <x:c r="J99" s="49" t="str">
        <x:f>IF(CHOOSE('00_Cover'!$D$10,ISNUMBER(J100),ISNUMBER(J101),ISNUMBER(J102)),CHOOSE('00_Cover'!$D$10,J100,J101,J102),"")</x:f>
      </x:c>
      <x:c r="K99" s="49" t="str">
        <x:f>IF(CHOOSE('00_Cover'!$D$10,ISNUMBER(K100),ISNUMBER(K101),ISNUMBER(K102)),CHOOSE('00_Cover'!$D$10,K100,K101,K102),"")</x:f>
      </x:c>
      <x:c r="L99" s="49" t="str">
        <x:f>IF(CHOOSE('00_Cover'!$D$10,ISNUMBER(L100),ISNUMBER(L101),ISNUMBER(L102)),CHOOSE('00_Cover'!$D$10,L100,L101,L102),"")</x:f>
      </x:c>
      <x:c r="M99" s="49" t="str">
        <x:f>IF(CHOOSE('00_Cover'!$D$10,ISNUMBER(M100),ISNUMBER(M101),ISNUMBER(M102)),CHOOSE('00_Cover'!$D$10,M100,M101,M102),"")</x:f>
      </x:c>
      <x:c r="N99" s="2"/>
      <x:c r="O99" s="13" t="str">
        <x:v>Supplier funding separated from ordinary payables.</x:v>
      </x:c>
      <x:c r="P99" s="2"/>
    </x:row>
    <x:row r="100" ht="19" customHeight="1">
      <x:c r="A100" s="2"/>
      <x:c r="B100" s="2"/>
      <x:c r="C100" s="2" t="str">
        <x:v>Base input</x:v>
      </x:c>
      <x:c r="D100" s="11"/>
      <x:c r="E100" s="11"/>
      <x:c r="F100" s="11"/>
      <x:c r="G100" s="11"/>
      <x:c r="H100" s="11"/>
      <x:c r="I100" s="48"/>
      <x:c r="J100" s="48"/>
      <x:c r="K100" s="48"/>
      <x:c r="L100" s="48"/>
      <x:c r="M100" s="48"/>
      <x:c r="N100" s="2"/>
      <x:c r="O100" s="2"/>
      <x:c r="P100" s="2"/>
    </x:row>
    <x:row r="101" ht="19" customHeight="1">
      <x:c r="A101" s="2"/>
      <x:c r="B101" s="2"/>
      <x:c r="C101" s="2" t="str">
        <x:v>Bull input</x:v>
      </x:c>
      <x:c r="D101" s="11"/>
      <x:c r="E101" s="11"/>
      <x:c r="F101" s="11"/>
      <x:c r="G101" s="11"/>
      <x:c r="H101" s="11"/>
      <x:c r="I101" s="48"/>
      <x:c r="J101" s="48"/>
      <x:c r="K101" s="48"/>
      <x:c r="L101" s="48"/>
      <x:c r="M101" s="48"/>
      <x:c r="N101" s="2"/>
      <x:c r="O101" s="2"/>
      <x:c r="P101" s="2"/>
    </x:row>
    <x:row r="102" ht="19" customHeight="1">
      <x:c r="A102" s="2"/>
      <x:c r="B102" s="2"/>
      <x:c r="C102" s="2" t="str">
        <x:v>Bear input</x:v>
      </x:c>
      <x:c r="D102" s="11"/>
      <x:c r="E102" s="11"/>
      <x:c r="F102" s="11"/>
      <x:c r="G102" s="11"/>
      <x:c r="H102" s="11"/>
      <x:c r="I102" s="48"/>
      <x:c r="J102" s="48"/>
      <x:c r="K102" s="48"/>
      <x:c r="L102" s="48"/>
      <x:c r="M102" s="48"/>
      <x:c r="N102" s="2"/>
      <x:c r="O102" s="2"/>
      <x:c r="P102" s="2"/>
    </x:row>
    <x:row r="103" ht="19" customHeight="1">
      <x:c r="A103" s="2"/>
      <x:c r="B103" s="2"/>
      <x:c r="C103" s="2"/>
      <x:c r="D103" s="2"/>
      <x:c r="E103" s="2"/>
      <x:c r="F103" s="2"/>
      <x:c r="G103" s="2"/>
      <x:c r="H103" s="2"/>
      <x:c r="I103" s="34"/>
      <x:c r="J103" s="34"/>
      <x:c r="K103" s="34"/>
      <x:c r="L103" s="34"/>
      <x:c r="M103" s="34"/>
      <x:c r="N103" s="2"/>
      <x:c r="O103" s="2"/>
      <x:c r="P103" s="2"/>
    </x:row>
    <x:row r="104" ht="19" customHeight="1">
      <x:c r="A104" s="2"/>
      <x:c r="B104" s="2"/>
      <x:c r="C104" s="42" t="str">
        <x:v>Non-current receivables / revenue — active</x:v>
      </x:c>
      <x:c r="D104" s="46" t="n">
        <x:f>'02_Historical_FS'!D75/'02_Historical_FS'!D43</x:f>
        <x:v>0.006549702177877786</x:v>
      </x:c>
      <x:c r="E104" s="46" t="n">
        <x:f>'02_Historical_FS'!E75/'02_Historical_FS'!E43</x:f>
        <x:v>0.0037310623969274257</x:v>
      </x:c>
      <x:c r="F104" s="46" t="n">
        <x:f>'02_Historical_FS'!F75/'02_Historical_FS'!F43</x:f>
        <x:v>0.006600536025389696</x:v>
      </x:c>
      <x:c r="G104" s="46" t="n">
        <x:f>'02_Historical_FS'!G75/'02_Historical_FS'!G43</x:f>
        <x:v>0.01336280870407335</x:v>
      </x:c>
      <x:c r="H104" s="46" t="n">
        <x:f>'02_Historical_FS'!H75/'02_Historical_FS'!H43</x:f>
        <x:v>0.015502950582111935</x:v>
      </x:c>
      <x:c r="I104" s="46" t="str">
        <x:f>IF(CHOOSE('00_Cover'!$D$10,ISNUMBER(I105),ISNUMBER(I106),ISNUMBER(I107)),CHOOSE('00_Cover'!$D$10,I105,I106,I107),"")</x:f>
      </x:c>
      <x:c r="J104" s="46" t="str">
        <x:f>IF(CHOOSE('00_Cover'!$D$10,ISNUMBER(J105),ISNUMBER(J106),ISNUMBER(J107)),CHOOSE('00_Cover'!$D$10,J105,J106,J107),"")</x:f>
      </x:c>
      <x:c r="K104" s="46" t="str">
        <x:f>IF(CHOOSE('00_Cover'!$D$10,ISNUMBER(K105),ISNUMBER(K106),ISNUMBER(K107)),CHOOSE('00_Cover'!$D$10,K105,K106,K107),"")</x:f>
      </x:c>
      <x:c r="L104" s="46" t="str">
        <x:f>IF(CHOOSE('00_Cover'!$D$10,ISNUMBER(L105),ISNUMBER(L106),ISNUMBER(L107)),CHOOSE('00_Cover'!$D$10,L105,L106,L107),"")</x:f>
      </x:c>
      <x:c r="M104" s="46" t="str">
        <x:f>IF(CHOOSE('00_Cover'!$D$10,ISNUMBER(M105),ISNUMBER(M106),ISNUMBER(M107)),CHOOSE('00_Cover'!$D$10,M105,M106,M107),"")</x:f>
      </x:c>
      <x:c r="N104" s="2"/>
      <x:c r="O104" s="13" t="str">
        <x:v>EPC retention and collection terms.</x:v>
      </x:c>
      <x:c r="P104" s="2"/>
    </x:row>
    <x:row r="105" ht="19" customHeight="1">
      <x:c r="A105" s="2"/>
      <x:c r="B105" s="2"/>
      <x:c r="C105" s="21" t="str">
        <x:v>Base input</x:v>
      </x:c>
      <x:c r="D105" s="22"/>
      <x:c r="E105" s="22"/>
      <x:c r="F105" s="22"/>
      <x:c r="G105" s="22"/>
      <x:c r="H105" s="22"/>
      <x:c r="I105" s="45"/>
      <x:c r="J105" s="45"/>
      <x:c r="K105" s="45"/>
      <x:c r="L105" s="45"/>
      <x:c r="M105" s="45"/>
      <x:c r="N105" s="2"/>
      <x:c r="O105" s="2"/>
      <x:c r="P105" s="2"/>
    </x:row>
    <x:row r="106" ht="19" customHeight="1">
      <x:c r="A106" s="2"/>
      <x:c r="B106" s="2"/>
      <x:c r="C106" s="21" t="str">
        <x:v>Bull input</x:v>
      </x:c>
      <x:c r="D106" s="22"/>
      <x:c r="E106" s="22"/>
      <x:c r="F106" s="22"/>
      <x:c r="G106" s="22"/>
      <x:c r="H106" s="22"/>
      <x:c r="I106" s="45"/>
      <x:c r="J106" s="45"/>
      <x:c r="K106" s="45"/>
      <x:c r="L106" s="45"/>
      <x:c r="M106" s="45"/>
      <x:c r="N106" s="2"/>
      <x:c r="O106" s="2"/>
      <x:c r="P106" s="2"/>
    </x:row>
    <x:row r="107" ht="19" customHeight="1">
      <x:c r="A107" s="2"/>
      <x:c r="B107" s="2"/>
      <x:c r="C107" s="21" t="str">
        <x:v>Bear input</x:v>
      </x:c>
      <x:c r="D107" s="22"/>
      <x:c r="E107" s="22"/>
      <x:c r="F107" s="22"/>
      <x:c r="G107" s="22"/>
      <x:c r="H107" s="22"/>
      <x:c r="I107" s="45"/>
      <x:c r="J107" s="45"/>
      <x:c r="K107" s="45"/>
      <x:c r="L107" s="45"/>
      <x:c r="M107" s="45"/>
      <x:c r="N107" s="2"/>
      <x:c r="O107" s="2"/>
      <x:c r="P107" s="2"/>
    </x:row>
    <x:row r="108" ht="19" customHeight="1">
      <x:c r="A108" s="2"/>
      <x:c r="B108" s="2"/>
      <x:c r="C108" s="2"/>
      <x:c r="D108" s="2"/>
      <x:c r="E108" s="2"/>
      <x:c r="F108" s="2"/>
      <x:c r="G108" s="2"/>
      <x:c r="H108" s="2"/>
      <x:c r="I108" s="34"/>
      <x:c r="J108" s="34"/>
      <x:c r="K108" s="34"/>
      <x:c r="L108" s="34"/>
      <x:c r="M108" s="34"/>
      <x:c r="N108" s="2"/>
      <x:c r="O108" s="2"/>
      <x:c r="P108" s="2"/>
    </x:row>
    <x:row r="109" ht="19" customHeight="1">
      <x:c r="A109" s="2"/>
      <x:c r="B109" s="2"/>
      <x:c r="C109" s="42" t="str">
        <x:v>Other non-cash assets / revenue — active</x:v>
      </x:c>
      <x:c r="D109" s="46" t="n">
        <x:f>'07_Working_Capital'!D16/'02_Historical_FS'!D43</x:f>
        <x:v>0.050328091479339795</x:v>
      </x:c>
      <x:c r="E109" s="46" t="n">
        <x:f>'07_Working_Capital'!E16/'02_Historical_FS'!E43</x:f>
        <x:v>0.05751536492848135</x:v>
      </x:c>
      <x:c r="F109" s="46" t="n">
        <x:f>'07_Working_Capital'!F16/'02_Historical_FS'!F43</x:f>
        <x:v>0.06080242827883165</x:v>
      </x:c>
      <x:c r="G109" s="46" t="n">
        <x:f>'07_Working_Capital'!G16/'02_Historical_FS'!G43</x:f>
        <x:v>0.04372430892053322</x:v>
      </x:c>
      <x:c r="H109" s="46" t="n">
        <x:f>'07_Working_Capital'!H16/'02_Historical_FS'!H43</x:f>
        <x:v>0.053443640641090286</x:v>
      </x:c>
      <x:c r="I109" s="46" t="str">
        <x:f>IF(CHOOSE('00_Cover'!$D$10,ISNUMBER(I110),ISNUMBER(I111),ISNUMBER(I112)),CHOOSE('00_Cover'!$D$10,I110,I111,I112),"")</x:f>
      </x:c>
      <x:c r="J109" s="46" t="str">
        <x:f>IF(CHOOSE('00_Cover'!$D$10,ISNUMBER(J110),ISNUMBER(J111),ISNUMBER(J112)),CHOOSE('00_Cover'!$D$10,J110,J111,J112),"")</x:f>
      </x:c>
      <x:c r="K109" s="46" t="str">
        <x:f>IF(CHOOSE('00_Cover'!$D$10,ISNUMBER(K110),ISNUMBER(K111),ISNUMBER(K112)),CHOOSE('00_Cover'!$D$10,K110,K111,K112),"")</x:f>
      </x:c>
      <x:c r="L109" s="46" t="str">
        <x:f>IF(CHOOSE('00_Cover'!$D$10,ISNUMBER(L110),ISNUMBER(L111),ISNUMBER(L112)),CHOOSE('00_Cover'!$D$10,L110,L111,L112),"")</x:f>
      </x:c>
      <x:c r="M109" s="46" t="str">
        <x:f>IF(CHOOSE('00_Cover'!$D$10,ISNUMBER(M110),ISNUMBER(M111),ISNUMBER(M112)),CHOOSE('00_Cover'!$D$10,M110,M111,M112),"")</x:f>
      </x:c>
      <x:c r="N109" s="2"/>
      <x:c r="O109" s="13" t="str">
        <x:v>Excludes fixed assets, trade balances, cash, bank and investments.</x:v>
      </x:c>
      <x:c r="P109" s="2"/>
    </x:row>
    <x:row r="110" ht="19" customHeight="1">
      <x:c r="A110" s="2"/>
      <x:c r="B110" s="2"/>
      <x:c r="C110" s="21" t="str">
        <x:v>Base input</x:v>
      </x:c>
      <x:c r="D110" s="22"/>
      <x:c r="E110" s="22"/>
      <x:c r="F110" s="22"/>
      <x:c r="G110" s="22"/>
      <x:c r="H110" s="22"/>
      <x:c r="I110" s="45"/>
      <x:c r="J110" s="45"/>
      <x:c r="K110" s="45"/>
      <x:c r="L110" s="45"/>
      <x:c r="M110" s="45"/>
      <x:c r="N110" s="2"/>
      <x:c r="O110" s="2"/>
      <x:c r="P110" s="2"/>
    </x:row>
    <x:row r="111" ht="19" customHeight="1">
      <x:c r="A111" s="2"/>
      <x:c r="B111" s="2"/>
      <x:c r="C111" s="21" t="str">
        <x:v>Bull input</x:v>
      </x:c>
      <x:c r="D111" s="22"/>
      <x:c r="E111" s="22"/>
      <x:c r="F111" s="22"/>
      <x:c r="G111" s="22"/>
      <x:c r="H111" s="22"/>
      <x:c r="I111" s="45"/>
      <x:c r="J111" s="45"/>
      <x:c r="K111" s="45"/>
      <x:c r="L111" s="45"/>
      <x:c r="M111" s="45"/>
      <x:c r="N111" s="2"/>
      <x:c r="O111" s="2"/>
      <x:c r="P111" s="2"/>
    </x:row>
    <x:row r="112" ht="19" customHeight="1">
      <x:c r="A112" s="2"/>
      <x:c r="B112" s="2"/>
      <x:c r="C112" s="21" t="str">
        <x:v>Bear input</x:v>
      </x:c>
      <x:c r="D112" s="22"/>
      <x:c r="E112" s="22"/>
      <x:c r="F112" s="22"/>
      <x:c r="G112" s="22"/>
      <x:c r="H112" s="22"/>
      <x:c r="I112" s="45"/>
      <x:c r="J112" s="45"/>
      <x:c r="K112" s="45"/>
      <x:c r="L112" s="45"/>
      <x:c r="M112" s="45"/>
      <x:c r="N112" s="2"/>
      <x:c r="O112" s="2"/>
      <x:c r="P112" s="2"/>
    </x:row>
    <x:row r="113" ht="19" customHeight="1">
      <x:c r="A113" s="2"/>
      <x:c r="B113" s="2"/>
      <x:c r="C113" s="2"/>
      <x:c r="D113" s="2"/>
      <x:c r="E113" s="2"/>
      <x:c r="F113" s="2"/>
      <x:c r="G113" s="2"/>
      <x:c r="H113" s="2"/>
      <x:c r="I113" s="34"/>
      <x:c r="J113" s="34"/>
      <x:c r="K113" s="34"/>
      <x:c r="L113" s="34"/>
      <x:c r="M113" s="34"/>
      <x:c r="N113" s="2"/>
      <x:c r="O113" s="2"/>
      <x:c r="P113" s="2"/>
    </x:row>
    <x:row r="114" ht="19" customHeight="1">
      <x:c r="A114" s="2"/>
      <x:c r="B114" s="2"/>
      <x:c r="C114" s="42" t="str">
        <x:v>Other liabilities / revenue — active</x:v>
      </x:c>
      <x:c r="D114" s="46" t="n">
        <x:f>'07_Working_Capital'!D17/'02_Historical_FS'!D43</x:f>
        <x:v>0.04157873953775401</x:v>
      </x:c>
      <x:c r="E114" s="46" t="n">
        <x:f>'07_Working_Capital'!E17/'02_Historical_FS'!E43</x:f>
        <x:v>0.04316065931856878</x:v>
      </x:c>
      <x:c r="F114" s="46" t="n">
        <x:f>'07_Working_Capital'!F17/'02_Historical_FS'!F43</x:f>
        <x:v>0.04496396895602769</x:v>
      </x:c>
      <x:c r="G114" s="46" t="n">
        <x:f>'07_Working_Capital'!G17/'02_Historical_FS'!G43</x:f>
        <x:v>0.04140200112342236</x:v>
      </x:c>
      <x:c r="H114" s="46" t="n">
        <x:f>'07_Working_Capital'!H17/'02_Historical_FS'!H43</x:f>
        <x:v>0.07095574569987212</x:v>
      </x:c>
      <x:c r="I114" s="46" t="str">
        <x:f>IF(CHOOSE('00_Cover'!$D$10,ISNUMBER(I115),ISNUMBER(I116),ISNUMBER(I117)),CHOOSE('00_Cover'!$D$10,I115,I116,I117),"")</x:f>
      </x:c>
      <x:c r="J114" s="46" t="str">
        <x:f>IF(CHOOSE('00_Cover'!$D$10,ISNUMBER(J115),ISNUMBER(J116),ISNUMBER(J117)),CHOOSE('00_Cover'!$D$10,J115,J116,J117),"")</x:f>
      </x:c>
      <x:c r="K114" s="46" t="str">
        <x:f>IF(CHOOSE('00_Cover'!$D$10,ISNUMBER(K115),ISNUMBER(K116),ISNUMBER(K117)),CHOOSE('00_Cover'!$D$10,K115,K116,K117),"")</x:f>
      </x:c>
      <x:c r="L114" s="46" t="str">
        <x:f>IF(CHOOSE('00_Cover'!$D$10,ISNUMBER(L115),ISNUMBER(L116),ISNUMBER(L117)),CHOOSE('00_Cover'!$D$10,L115,L116,L117),"")</x:f>
      </x:c>
      <x:c r="M114" s="46" t="str">
        <x:f>IF(CHOOSE('00_Cover'!$D$10,ISNUMBER(M115),ISNUMBER(M116),ISNUMBER(M117)),CHOOSE('00_Cover'!$D$10,M115,M116,M117),"")</x:f>
      </x:c>
      <x:c r="N114" s="2"/>
      <x:c r="O114" s="13" t="str">
        <x:v>Excludes trade balances, borrowings and leases.</x:v>
      </x:c>
      <x:c r="P114" s="2"/>
    </x:row>
    <x:row r="115" ht="19" customHeight="1">
      <x:c r="A115" s="2"/>
      <x:c r="B115" s="2"/>
      <x:c r="C115" s="21" t="str">
        <x:v>Base input</x:v>
      </x:c>
      <x:c r="D115" s="22"/>
      <x:c r="E115" s="22"/>
      <x:c r="F115" s="22"/>
      <x:c r="G115" s="22"/>
      <x:c r="H115" s="22"/>
      <x:c r="I115" s="45"/>
      <x:c r="J115" s="45"/>
      <x:c r="K115" s="45"/>
      <x:c r="L115" s="45"/>
      <x:c r="M115" s="45"/>
      <x:c r="N115" s="2"/>
      <x:c r="O115" s="2"/>
      <x:c r="P115" s="2"/>
    </x:row>
    <x:row r="116" ht="19" customHeight="1">
      <x:c r="A116" s="2"/>
      <x:c r="B116" s="2"/>
      <x:c r="C116" s="21" t="str">
        <x:v>Bull input</x:v>
      </x:c>
      <x:c r="D116" s="22"/>
      <x:c r="E116" s="22"/>
      <x:c r="F116" s="22"/>
      <x:c r="G116" s="22"/>
      <x:c r="H116" s="22"/>
      <x:c r="I116" s="45"/>
      <x:c r="J116" s="45"/>
      <x:c r="K116" s="45"/>
      <x:c r="L116" s="45"/>
      <x:c r="M116" s="45"/>
      <x:c r="N116" s="2"/>
      <x:c r="O116" s="2"/>
      <x:c r="P116" s="2"/>
    </x:row>
    <x:row r="117" ht="19" customHeight="1">
      <x:c r="A117" s="2"/>
      <x:c r="B117" s="2"/>
      <x:c r="C117" s="21" t="str">
        <x:v>Bear input</x:v>
      </x:c>
      <x:c r="D117" s="22"/>
      <x:c r="E117" s="22"/>
      <x:c r="F117" s="22"/>
      <x:c r="G117" s="22"/>
      <x:c r="H117" s="22"/>
      <x:c r="I117" s="45"/>
      <x:c r="J117" s="45"/>
      <x:c r="K117" s="45"/>
      <x:c r="L117" s="45"/>
      <x:c r="M117" s="45"/>
      <x:c r="N117" s="2"/>
      <x:c r="O117" s="2"/>
      <x:c r="P117" s="2"/>
    </x:row>
    <x:row r="118" ht="19" customHeight="1">
      <x:c r="A118" s="2"/>
      <x:c r="B118" s="2"/>
      <x:c r="C118" s="2"/>
      <x:c r="D118" s="2"/>
      <x:c r="E118" s="2"/>
      <x:c r="F118" s="2"/>
      <x:c r="G118" s="2"/>
      <x:c r="H118" s="2"/>
      <x:c r="I118" s="34"/>
      <x:c r="J118" s="34"/>
      <x:c r="K118" s="34"/>
      <x:c r="L118" s="34"/>
      <x:c r="M118" s="34"/>
      <x:c r="N118" s="2"/>
      <x:c r="O118" s="2"/>
      <x:c r="P118" s="2"/>
    </x:row>
    <x:row r="119" ht="19" customHeight="1">
      <x:c r="A119" s="2"/>
      <x:c r="B119" s="2"/>
      <x:c r="C119" s="42" t="str">
        <x:v>Other income / revenue — active</x:v>
      </x:c>
      <x:c r="D119" s="46" t="n">
        <x:f>'02_Historical_FS'!D44/'02_Historical_FS'!D43</x:f>
        <x:v>0.007368466163832609</x:v>
      </x:c>
      <x:c r="E119" s="46" t="n">
        <x:f>'02_Historical_FS'!E44/'02_Historical_FS'!E43</x:f>
        <x:v>0.009450531472780476</x:v>
      </x:c>
      <x:c r="F119" s="46" t="n">
        <x:f>'02_Historical_FS'!F44/'02_Historical_FS'!F43</x:f>
        <x:v>0.012244002642210037</x:v>
      </x:c>
      <x:c r="G119" s="46" t="n">
        <x:f>'02_Historical_FS'!G44/'02_Historical_FS'!G43</x:f>
        <x:v>0.009266025514727504</x:v>
      </x:c>
      <x:c r="H119" s="46" t="n">
        <x:f>'02_Historical_FS'!H44/'02_Historical_FS'!H43</x:f>
        <x:v>0.008179396943448424</x:v>
      </x:c>
      <x:c r="I119" s="46" t="str">
        <x:f>IF(CHOOSE('00_Cover'!$D$10,ISNUMBER(I120),ISNUMBER(I121),ISNUMBER(I122)),CHOOSE('00_Cover'!$D$10,I120,I121,I122),"")</x:f>
      </x:c>
      <x:c r="J119" s="46" t="str">
        <x:f>IF(CHOOSE('00_Cover'!$D$10,ISNUMBER(J120),ISNUMBER(J121),ISNUMBER(J122)),CHOOSE('00_Cover'!$D$10,J120,J121,J122),"")</x:f>
      </x:c>
      <x:c r="K119" s="46" t="str">
        <x:f>IF(CHOOSE('00_Cover'!$D$10,ISNUMBER(K120),ISNUMBER(K121),ISNUMBER(K122)),CHOOSE('00_Cover'!$D$10,K120,K121,K122),"")</x:f>
      </x:c>
      <x:c r="L119" s="46" t="str">
        <x:f>IF(CHOOSE('00_Cover'!$D$10,ISNUMBER(L120),ISNUMBER(L121),ISNUMBER(L122)),CHOOSE('00_Cover'!$D$10,L120,L121,L122),"")</x:f>
      </x:c>
      <x:c r="M119" s="46" t="str">
        <x:f>IF(CHOOSE('00_Cover'!$D$10,ISNUMBER(M120),ISNUMBER(M121),ISNUMBER(M122)),CHOOSE('00_Cover'!$D$10,M120,M121,M122),"")</x:f>
      </x:c>
      <x:c r="N119" s="2"/>
      <x:c r="O119" s="13" t="str">
        <x:v>Includes finance and non-finance income; avoid double counting segment bridge.</x:v>
      </x:c>
      <x:c r="P119" s="2"/>
    </x:row>
    <x:row r="120" ht="19" customHeight="1">
      <x:c r="A120" s="2"/>
      <x:c r="B120" s="2"/>
      <x:c r="C120" s="21" t="str">
        <x:v>Base input</x:v>
      </x:c>
      <x:c r="D120" s="22"/>
      <x:c r="E120" s="22"/>
      <x:c r="F120" s="22"/>
      <x:c r="G120" s="22"/>
      <x:c r="H120" s="22"/>
      <x:c r="I120" s="45"/>
      <x:c r="J120" s="45"/>
      <x:c r="K120" s="45"/>
      <x:c r="L120" s="45"/>
      <x:c r="M120" s="45"/>
      <x:c r="N120" s="2"/>
      <x:c r="O120" s="2"/>
      <x:c r="P120" s="2"/>
    </x:row>
    <x:row r="121" ht="19" customHeight="1">
      <x:c r="A121" s="2"/>
      <x:c r="B121" s="2"/>
      <x:c r="C121" s="21" t="str">
        <x:v>Bull input</x:v>
      </x:c>
      <x:c r="D121" s="22"/>
      <x:c r="E121" s="22"/>
      <x:c r="F121" s="22"/>
      <x:c r="G121" s="22"/>
      <x:c r="H121" s="22"/>
      <x:c r="I121" s="45"/>
      <x:c r="J121" s="45"/>
      <x:c r="K121" s="45"/>
      <x:c r="L121" s="45"/>
      <x:c r="M121" s="45"/>
      <x:c r="N121" s="2"/>
      <x:c r="O121" s="2"/>
      <x:c r="P121" s="2"/>
    </x:row>
    <x:row r="122" ht="19" customHeight="1">
      <x:c r="A122" s="2"/>
      <x:c r="B122" s="2"/>
      <x:c r="C122" s="21" t="str">
        <x:v>Bear input</x:v>
      </x:c>
      <x:c r="D122" s="22"/>
      <x:c r="E122" s="22"/>
      <x:c r="F122" s="22"/>
      <x:c r="G122" s="22"/>
      <x:c r="H122" s="22"/>
      <x:c r="I122" s="45"/>
      <x:c r="J122" s="45"/>
      <x:c r="K122" s="45"/>
      <x:c r="L122" s="45"/>
      <x:c r="M122" s="45"/>
      <x:c r="N122" s="2"/>
      <x:c r="O122" s="2"/>
      <x:c r="P122" s="2"/>
    </x:row>
    <x:row r="123" ht="19" customHeight="1">
      <x:c r="A123" s="2"/>
      <x:c r="B123" s="2"/>
      <x:c r="C123" s="2"/>
      <x:c r="D123" s="2"/>
      <x:c r="E123" s="2"/>
      <x:c r="F123" s="2"/>
      <x:c r="G123" s="2"/>
      <x:c r="H123" s="2"/>
      <x:c r="I123" s="34"/>
      <x:c r="J123" s="34"/>
      <x:c r="K123" s="34"/>
      <x:c r="L123" s="34"/>
      <x:c r="M123" s="34"/>
      <x:c r="N123" s="2"/>
      <x:c r="O123" s="2"/>
      <x:c r="P123" s="2"/>
    </x:row>
    <x:row r="124" ht="19" customHeight="1">
      <x:c r="A124" s="2"/>
      <x:c r="B124" s="2"/>
      <x:c r="C124" s="42" t="str">
        <x:v>Finance costs / revenue — active</x:v>
      </x:c>
      <x:c r="D124" s="46" t="n">
        <x:f>'02_Historical_FS'!D52/'02_Historical_FS'!D43</x:f>
        <x:v>0.002883537296412147</x:v>
      </x:c>
      <x:c r="E124" s="46" t="n">
        <x:f>'02_Historical_FS'!E52/'02_Historical_FS'!E43</x:f>
        <x:v>0.004235748535311514</x:v>
      </x:c>
      <x:c r="F124" s="46" t="n">
        <x:f>'02_Historical_FS'!F52/'02_Historical_FS'!F43</x:f>
        <x:v>0.006005728336194841</x:v>
      </x:c>
      <x:c r="G124" s="46" t="n">
        <x:f>'02_Historical_FS'!G52/'02_Historical_FS'!G43</x:f>
        <x:v>0.0075386308643582405</x:v>
      </x:c>
      <x:c r="H124" s="46" t="n">
        <x:f>'02_Historical_FS'!H52/'02_Historical_FS'!H43</x:f>
        <x:v>0.008414269151363505</x:v>
      </x:c>
      <x:c r="I124" s="46" t="str">
        <x:f>IF(CHOOSE('00_Cover'!$D$10,ISNUMBER(I125),ISNUMBER(I126),ISNUMBER(I127)),CHOOSE('00_Cover'!$D$10,I125,I126,I127),"")</x:f>
      </x:c>
      <x:c r="J124" s="46" t="str">
        <x:f>IF(CHOOSE('00_Cover'!$D$10,ISNUMBER(J125),ISNUMBER(J126),ISNUMBER(J127)),CHOOSE('00_Cover'!$D$10,J125,J126,J127),"")</x:f>
      </x:c>
      <x:c r="K124" s="46" t="str">
        <x:f>IF(CHOOSE('00_Cover'!$D$10,ISNUMBER(K125),ISNUMBER(K126),ISNUMBER(K127)),CHOOSE('00_Cover'!$D$10,K125,K126,K127),"")</x:f>
      </x:c>
      <x:c r="L124" s="46" t="str">
        <x:f>IF(CHOOSE('00_Cover'!$D$10,ISNUMBER(L125),ISNUMBER(L126),ISNUMBER(L127)),CHOOSE('00_Cover'!$D$10,L125,L126,L127),"")</x:f>
      </x:c>
      <x:c r="M124" s="46" t="str">
        <x:f>IF(CHOOSE('00_Cover'!$D$10,ISNUMBER(M125),ISNUMBER(M126),ISNUMBER(M127)),CHOOSE('00_Cover'!$D$10,M125,M126,M127),"")</x:f>
      </x:c>
      <x:c r="N124" s="2"/>
      <x:c r="O124" s="13" t="str">
        <x:v>Includes LC/acceptance costs, leases and borrowings.</x:v>
      </x:c>
      <x:c r="P124" s="2"/>
    </x:row>
    <x:row r="125" ht="19" customHeight="1">
      <x:c r="A125" s="2"/>
      <x:c r="B125" s="2"/>
      <x:c r="C125" s="21" t="str">
        <x:v>Base input</x:v>
      </x:c>
      <x:c r="D125" s="22"/>
      <x:c r="E125" s="22"/>
      <x:c r="F125" s="22"/>
      <x:c r="G125" s="22"/>
      <x:c r="H125" s="22"/>
      <x:c r="I125" s="45"/>
      <x:c r="J125" s="45"/>
      <x:c r="K125" s="45"/>
      <x:c r="L125" s="45"/>
      <x:c r="M125" s="45"/>
      <x:c r="N125" s="2"/>
      <x:c r="O125" s="2"/>
      <x:c r="P125" s="2"/>
    </x:row>
    <x:row r="126" ht="19" customHeight="1">
      <x:c r="A126" s="2"/>
      <x:c r="B126" s="2"/>
      <x:c r="C126" s="21" t="str">
        <x:v>Bull input</x:v>
      </x:c>
      <x:c r="D126" s="22"/>
      <x:c r="E126" s="22"/>
      <x:c r="F126" s="22"/>
      <x:c r="G126" s="22"/>
      <x:c r="H126" s="22"/>
      <x:c r="I126" s="45"/>
      <x:c r="J126" s="45"/>
      <x:c r="K126" s="45"/>
      <x:c r="L126" s="45"/>
      <x:c r="M126" s="45"/>
      <x:c r="N126" s="2"/>
      <x:c r="O126" s="2"/>
      <x:c r="P126" s="2"/>
    </x:row>
    <x:row r="127" ht="19" customHeight="1">
      <x:c r="A127" s="2"/>
      <x:c r="B127" s="2"/>
      <x:c r="C127" s="21" t="str">
        <x:v>Bear input</x:v>
      </x:c>
      <x:c r="D127" s="22"/>
      <x:c r="E127" s="22"/>
      <x:c r="F127" s="22"/>
      <x:c r="G127" s="22"/>
      <x:c r="H127" s="22"/>
      <x:c r="I127" s="45"/>
      <x:c r="J127" s="45"/>
      <x:c r="K127" s="45"/>
      <x:c r="L127" s="45"/>
      <x:c r="M127" s="45"/>
      <x:c r="N127" s="2"/>
      <x:c r="O127" s="2"/>
      <x:c r="P127" s="2"/>
    </x:row>
    <x:row r="128" ht="19" customHeight="1">
      <x:c r="A128" s="2"/>
      <x:c r="B128" s="2"/>
      <x:c r="C128" s="2"/>
      <x:c r="D128" s="2"/>
      <x:c r="E128" s="2"/>
      <x:c r="F128" s="2"/>
      <x:c r="G128" s="2"/>
      <x:c r="H128" s="2"/>
      <x:c r="I128" s="34"/>
      <x:c r="J128" s="34"/>
      <x:c r="K128" s="34"/>
      <x:c r="L128" s="34"/>
      <x:c r="M128" s="34"/>
      <x:c r="N128" s="2"/>
      <x:c r="O128" s="2"/>
      <x:c r="P128" s="2"/>
    </x:row>
    <x:row r="129" ht="19" customHeight="1">
      <x:c r="A129" s="2"/>
      <x:c r="B129" s="2"/>
      <x:c r="C129" s="18" t="str">
        <x:v>Joint-venture earnings / (loss) — active</x:v>
      </x:c>
      <x:c r="D129" s="49" t="n">
        <x:f>IF(ISNUMBER('02_Historical_FS'!D53),'02_Historical_FS'!D53,"")</x:f>
        <x:v>-25.55</x:v>
      </x:c>
      <x:c r="E129" s="49" t="n">
        <x:f>IF(ISNUMBER('02_Historical_FS'!E53),'02_Historical_FS'!E53,"")</x:f>
        <x:v>-92.63</x:v>
      </x:c>
      <x:c r="F129" s="49" t="n">
        <x:f>IF(ISNUMBER('02_Historical_FS'!F53),'02_Historical_FS'!F53,"")</x:f>
        <x:v>0</x:v>
      </x:c>
      <x:c r="G129" s="49" t="n">
        <x:f>IF(ISNUMBER('02_Historical_FS'!G53),'02_Historical_FS'!G53,"")</x:f>
        <x:v>0</x:v>
      </x:c>
      <x:c r="H129" s="49" t="n">
        <x:f>IF(ISNUMBER('02_Historical_FS'!H53),'02_Historical_FS'!H53,"")</x:f>
        <x:v>0</x:v>
      </x:c>
      <x:c r="I129" s="49" t="str">
        <x:f>IF(CHOOSE('00_Cover'!$D$10,ISNUMBER(I130),ISNUMBER(I131),ISNUMBER(I132)),CHOOSE('00_Cover'!$D$10,I130,I131,I132),"")</x:f>
      </x:c>
      <x:c r="J129" s="49" t="str">
        <x:f>IF(CHOOSE('00_Cover'!$D$10,ISNUMBER(J130),ISNUMBER(J131),ISNUMBER(J132)),CHOOSE('00_Cover'!$D$10,J130,J131,J132),"")</x:f>
      </x:c>
      <x:c r="K129" s="49" t="str">
        <x:f>IF(CHOOSE('00_Cover'!$D$10,ISNUMBER(K130),ISNUMBER(K131),ISNUMBER(K132)),CHOOSE('00_Cover'!$D$10,K130,K131,K132),"")</x:f>
      </x:c>
      <x:c r="L129" s="49" t="str">
        <x:f>IF(CHOOSE('00_Cover'!$D$10,ISNUMBER(L130),ISNUMBER(L131),ISNUMBER(L132)),CHOOSE('00_Cover'!$D$10,L130,L131,L132),"")</x:f>
      </x:c>
      <x:c r="M129" s="49" t="str">
        <x:f>IF(CHOOSE('00_Cover'!$D$10,ISNUMBER(M130),ISNUMBER(M131),ISNUMBER(M132)),CHOOSE('00_Cover'!$D$10,M130,M131,M132),"")</x:f>
      </x:c>
      <x:c r="N129" s="2"/>
      <x:c r="O129" s="13" t="str">
        <x:v>Explicit input, including a supported zero.</x:v>
      </x:c>
      <x:c r="P129" s="2"/>
    </x:row>
    <x:row r="130" ht="19" customHeight="1">
      <x:c r="A130" s="2"/>
      <x:c r="B130" s="2"/>
      <x:c r="C130" s="2" t="str">
        <x:v>Base input</x:v>
      </x:c>
      <x:c r="D130" s="11"/>
      <x:c r="E130" s="11"/>
      <x:c r="F130" s="11"/>
      <x:c r="G130" s="11"/>
      <x:c r="H130" s="11"/>
      <x:c r="I130" s="48"/>
      <x:c r="J130" s="48"/>
      <x:c r="K130" s="48"/>
      <x:c r="L130" s="48"/>
      <x:c r="M130" s="48"/>
      <x:c r="N130" s="2"/>
      <x:c r="O130" s="2"/>
      <x:c r="P130" s="2"/>
    </x:row>
    <x:row r="131" ht="19" customHeight="1">
      <x:c r="A131" s="2"/>
      <x:c r="B131" s="2"/>
      <x:c r="C131" s="2" t="str">
        <x:v>Bull input</x:v>
      </x:c>
      <x:c r="D131" s="11"/>
      <x:c r="E131" s="11"/>
      <x:c r="F131" s="11"/>
      <x:c r="G131" s="11"/>
      <x:c r="H131" s="11"/>
      <x:c r="I131" s="48"/>
      <x:c r="J131" s="48"/>
      <x:c r="K131" s="48"/>
      <x:c r="L131" s="48"/>
      <x:c r="M131" s="48"/>
      <x:c r="N131" s="2"/>
      <x:c r="O131" s="2"/>
      <x:c r="P131" s="2"/>
    </x:row>
    <x:row r="132" ht="19" customHeight="1">
      <x:c r="A132" s="2"/>
      <x:c r="B132" s="2"/>
      <x:c r="C132" s="2" t="str">
        <x:v>Bear input</x:v>
      </x:c>
      <x:c r="D132" s="11"/>
      <x:c r="E132" s="11"/>
      <x:c r="F132" s="11"/>
      <x:c r="G132" s="11"/>
      <x:c r="H132" s="11"/>
      <x:c r="I132" s="48"/>
      <x:c r="J132" s="48"/>
      <x:c r="K132" s="48"/>
      <x:c r="L132" s="48"/>
      <x:c r="M132" s="48"/>
      <x:c r="N132" s="2"/>
      <x:c r="O132" s="2"/>
      <x:c r="P132" s="2"/>
    </x:row>
    <x:row r="133" ht="19" customHeight="1">
      <x:c r="A133" s="2"/>
      <x:c r="B133" s="2"/>
      <x:c r="C133" s="2"/>
      <x:c r="D133" s="2"/>
      <x:c r="E133" s="2"/>
      <x:c r="F133" s="2"/>
      <x:c r="G133" s="2"/>
      <x:c r="H133" s="2"/>
      <x:c r="I133" s="34"/>
      <x:c r="J133" s="34"/>
      <x:c r="K133" s="34"/>
      <x:c r="L133" s="34"/>
      <x:c r="M133" s="34"/>
      <x:c r="N133" s="2"/>
      <x:c r="O133" s="2"/>
      <x:c r="P133" s="2"/>
    </x:row>
    <x:row r="134" ht="19" customHeight="1">
      <x:c r="A134" s="2"/>
      <x:c r="B134" s="2"/>
      <x:c r="C134" s="42" t="str">
        <x:v>Effective tax rate — active</x:v>
      </x:c>
      <x:c r="D134" s="46" t="n">
        <x:f>IF(ISNUMBER('02_Historical_FS'!D22),'02_Historical_FS'!D22,"")</x:f>
        <x:v>0.24252817114722483</x:v>
      </x:c>
      <x:c r="E134" s="46" t="n">
        <x:f>IF(ISNUMBER('02_Historical_FS'!E22),'02_Historical_FS'!E22,"")</x:f>
        <x:v>0.2484513160299334</x:v>
      </x:c>
      <x:c r="F134" s="46" t="n">
        <x:f>IF(ISNUMBER('02_Historical_FS'!F22),'02_Historical_FS'!F22,"")</x:f>
        <x:v>0.23582545670325944</x:v>
      </x:c>
      <x:c r="G134" s="46" t="n">
        <x:f>IF(ISNUMBER('02_Historical_FS'!G22),'02_Historical_FS'!G22,"")</x:f>
        <x:v>0.24263073223380088</x:v>
      </x:c>
      <x:c r="H134" s="46" t="n">
        <x:f>IF(ISNUMBER('02_Historical_FS'!H22),'02_Historical_FS'!H22,"")</x:f>
        <x:v>0.2503817385468057</x:v>
      </x:c>
      <x:c r="I134" s="46" t="str">
        <x:f>IF(CHOOSE('00_Cover'!$D$10,ISNUMBER(I135),ISNUMBER(I136),ISNUMBER(I137)),CHOOSE('00_Cover'!$D$10,I135,I136,I137),"")</x:f>
      </x:c>
      <x:c r="J134" s="46" t="str">
        <x:f>IF(CHOOSE('00_Cover'!$D$10,ISNUMBER(J135),ISNUMBER(J136),ISNUMBER(J137)),CHOOSE('00_Cover'!$D$10,J135,J136,J137),"")</x:f>
      </x:c>
      <x:c r="K134" s="46" t="str">
        <x:f>IF(CHOOSE('00_Cover'!$D$10,ISNUMBER(K135),ISNUMBER(K136),ISNUMBER(K137)),CHOOSE('00_Cover'!$D$10,K135,K136,K137),"")</x:f>
      </x:c>
      <x:c r="L134" s="46" t="str">
        <x:f>IF(CHOOSE('00_Cover'!$D$10,ISNUMBER(L135),ISNUMBER(L136),ISNUMBER(L137)),CHOOSE('00_Cover'!$D$10,L135,L136,L137),"")</x:f>
      </x:c>
      <x:c r="M134" s="46" t="str">
        <x:f>IF(CHOOSE('00_Cover'!$D$10,ISNUMBER(M135),ISNUMBER(M136),ISNUMBER(M137)),CHOOSE('00_Cover'!$D$10,M135,M136,M137),"")</x:f>
      </x:c>
      <x:c r="N134" s="2"/>
      <x:c r="O134" s="13" t="str">
        <x:v>Normalised tax, not mechanically copied.</x:v>
      </x:c>
      <x:c r="P134" s="2"/>
    </x:row>
    <x:row r="135" ht="19" customHeight="1">
      <x:c r="A135" s="2"/>
      <x:c r="B135" s="2"/>
      <x:c r="C135" s="21" t="str">
        <x:v>Base input</x:v>
      </x:c>
      <x:c r="D135" s="22"/>
      <x:c r="E135" s="22"/>
      <x:c r="F135" s="22"/>
      <x:c r="G135" s="22"/>
      <x:c r="H135" s="22"/>
      <x:c r="I135" s="45"/>
      <x:c r="J135" s="45"/>
      <x:c r="K135" s="45"/>
      <x:c r="L135" s="45"/>
      <x:c r="M135" s="45"/>
      <x:c r="N135" s="2"/>
      <x:c r="O135" s="2"/>
      <x:c r="P135" s="2"/>
    </x:row>
    <x:row r="136" ht="19" customHeight="1">
      <x:c r="A136" s="2"/>
      <x:c r="B136" s="2"/>
      <x:c r="C136" s="21" t="str">
        <x:v>Bull input</x:v>
      </x:c>
      <x:c r="D136" s="22"/>
      <x:c r="E136" s="22"/>
      <x:c r="F136" s="22"/>
      <x:c r="G136" s="22"/>
      <x:c r="H136" s="22"/>
      <x:c r="I136" s="45"/>
      <x:c r="J136" s="45"/>
      <x:c r="K136" s="45"/>
      <x:c r="L136" s="45"/>
      <x:c r="M136" s="45"/>
      <x:c r="N136" s="2"/>
      <x:c r="O136" s="2"/>
      <x:c r="P136" s="2"/>
    </x:row>
    <x:row r="137" ht="19" customHeight="1">
      <x:c r="A137" s="2"/>
      <x:c r="B137" s="2"/>
      <x:c r="C137" s="21" t="str">
        <x:v>Bear input</x:v>
      </x:c>
      <x:c r="D137" s="22"/>
      <x:c r="E137" s="22"/>
      <x:c r="F137" s="22"/>
      <x:c r="G137" s="22"/>
      <x:c r="H137" s="22"/>
      <x:c r="I137" s="45"/>
      <x:c r="J137" s="45"/>
      <x:c r="K137" s="45"/>
      <x:c r="L137" s="45"/>
      <x:c r="M137" s="45"/>
      <x:c r="N137" s="2"/>
      <x:c r="O137" s="2"/>
      <x:c r="P137" s="2"/>
    </x:row>
    <x:row r="138" ht="19" customHeight="1">
      <x:c r="A138" s="2"/>
      <x:c r="B138" s="2"/>
      <x:c r="C138" s="2"/>
      <x:c r="D138" s="2"/>
      <x:c r="E138" s="2"/>
      <x:c r="F138" s="2"/>
      <x:c r="G138" s="2"/>
      <x:c r="H138" s="2"/>
      <x:c r="I138" s="34"/>
      <x:c r="J138" s="34"/>
      <x:c r="K138" s="34"/>
      <x:c r="L138" s="34"/>
      <x:c r="M138" s="34"/>
      <x:c r="N138" s="2"/>
      <x:c r="O138" s="2"/>
      <x:c r="P138" s="2"/>
    </x:row>
    <x:row r="139" ht="19" customHeight="1">
      <x:c r="A139" s="2"/>
      <x:c r="B139" s="2"/>
      <x:c r="C139" s="42" t="str">
        <x:v>NCI profit / continuing PAT — active</x:v>
      </x:c>
      <x:c r="D139" s="46" t="n">
        <x:f>'02_Historical_FS'!D61/'02_Historical_FS'!D57</x:f>
        <x:v>0.010301325909721722</x:v>
      </x:c>
      <x:c r="E139" s="46" t="n">
        <x:f>'02_Historical_FS'!E61/'02_Historical_FS'!E57</x:f>
        <x:v>0.009588601231717904</x:v>
      </x:c>
      <x:c r="F139" s="46" t="n">
        <x:f>'02_Historical_FS'!F61/'02_Historical_FS'!F57</x:f>
        <x:v>0.010467481309455733</x:v>
      </x:c>
      <x:c r="G139" s="46" t="n">
        <x:f>'02_Historical_FS'!G61/'02_Historical_FS'!G57</x:f>
        <x:v>0.012489140993294182</x:v>
      </x:c>
      <x:c r="H139" s="46" t="n">
        <x:f>'02_Historical_FS'!H61/'02_Historical_FS'!H57</x:f>
        <x:v>0.013437319890844391</x:v>
      </x:c>
      <x:c r="I139" s="46" t="str">
        <x:f>IF(CHOOSE('00_Cover'!$D$10,ISNUMBER(I140),ISNUMBER(I141),ISNUMBER(I142)),CHOOSE('00_Cover'!$D$10,I140,I141,I142),"")</x:f>
      </x:c>
      <x:c r="J139" s="46" t="str">
        <x:f>IF(CHOOSE('00_Cover'!$D$10,ISNUMBER(J140),ISNUMBER(J141),ISNUMBER(J142)),CHOOSE('00_Cover'!$D$10,J140,J141,J142),"")</x:f>
      </x:c>
      <x:c r="K139" s="46" t="str">
        <x:f>IF(CHOOSE('00_Cover'!$D$10,ISNUMBER(K140),ISNUMBER(K141),ISNUMBER(K142)),CHOOSE('00_Cover'!$D$10,K140,K141,K142),"")</x:f>
      </x:c>
      <x:c r="L139" s="46" t="str">
        <x:f>IF(CHOOSE('00_Cover'!$D$10,ISNUMBER(L140),ISNUMBER(L141),ISNUMBER(L142)),CHOOSE('00_Cover'!$D$10,L140,L141,L142),"")</x:f>
      </x:c>
      <x:c r="M139" s="46" t="str">
        <x:f>IF(CHOOSE('00_Cover'!$D$10,ISNUMBER(M140),ISNUMBER(M141),ISNUMBER(M142)),CHOOSE('00_Cover'!$D$10,M140,M141,M142),"")</x:f>
      </x:c>
      <x:c r="N139" s="2"/>
      <x:c r="O139" s="13" t="str">
        <x:v>Ownership and subsidiary profit outlook.</x:v>
      </x:c>
      <x:c r="P139" s="2"/>
    </x:row>
    <x:row r="140" ht="19" customHeight="1">
      <x:c r="A140" s="2"/>
      <x:c r="B140" s="2"/>
      <x:c r="C140" s="21" t="str">
        <x:v>Base input</x:v>
      </x:c>
      <x:c r="D140" s="22"/>
      <x:c r="E140" s="22"/>
      <x:c r="F140" s="22"/>
      <x:c r="G140" s="22"/>
      <x:c r="H140" s="22"/>
      <x:c r="I140" s="45"/>
      <x:c r="J140" s="45"/>
      <x:c r="K140" s="45"/>
      <x:c r="L140" s="45"/>
      <x:c r="M140" s="45"/>
      <x:c r="N140" s="2"/>
      <x:c r="O140" s="2"/>
      <x:c r="P140" s="2"/>
    </x:row>
    <x:row r="141" ht="19" customHeight="1">
      <x:c r="A141" s="2"/>
      <x:c r="B141" s="2"/>
      <x:c r="C141" s="21" t="str">
        <x:v>Bull input</x:v>
      </x:c>
      <x:c r="D141" s="22"/>
      <x:c r="E141" s="22"/>
      <x:c r="F141" s="22"/>
      <x:c r="G141" s="22"/>
      <x:c r="H141" s="22"/>
      <x:c r="I141" s="45"/>
      <x:c r="J141" s="45"/>
      <x:c r="K141" s="45"/>
      <x:c r="L141" s="45"/>
      <x:c r="M141" s="45"/>
      <x:c r="N141" s="2"/>
      <x:c r="O141" s="2"/>
      <x:c r="P141" s="2"/>
    </x:row>
    <x:row r="142" ht="19" customHeight="1">
      <x:c r="A142" s="2"/>
      <x:c r="B142" s="2"/>
      <x:c r="C142" s="21" t="str">
        <x:v>Bear input</x:v>
      </x:c>
      <x:c r="D142" s="22"/>
      <x:c r="E142" s="22"/>
      <x:c r="F142" s="22"/>
      <x:c r="G142" s="22"/>
      <x:c r="H142" s="22"/>
      <x:c r="I142" s="45"/>
      <x:c r="J142" s="45"/>
      <x:c r="K142" s="45"/>
      <x:c r="L142" s="45"/>
      <x:c r="M142" s="45"/>
      <x:c r="N142" s="2"/>
      <x:c r="O142" s="2"/>
      <x:c r="P142" s="2"/>
    </x:row>
    <x:row r="143" ht="19" customHeight="1">
      <x:c r="A143" s="2"/>
      <x:c r="B143" s="2"/>
      <x:c r="C143" s="2"/>
      <x:c r="D143" s="2"/>
      <x:c r="E143" s="2"/>
      <x:c r="F143" s="2"/>
      <x:c r="G143" s="2"/>
      <x:c r="H143" s="2"/>
      <x:c r="I143" s="34"/>
      <x:c r="J143" s="34"/>
      <x:c r="K143" s="34"/>
      <x:c r="L143" s="34"/>
      <x:c r="M143" s="34"/>
      <x:c r="N143" s="2"/>
      <x:c r="O143" s="2"/>
      <x:c r="P143" s="2"/>
    </x:row>
    <x:row r="144" ht="19" customHeight="1">
      <x:c r="A144" s="2"/>
      <x:c r="B144" s="2"/>
      <x:c r="C144" s="42" t="str">
        <x:v>Cash taxes / PBT — active</x:v>
      </x:c>
      <x:c r="D144" s="46" t="n">
        <x:f>-'02_Historical_FS'!D124/'02_Historical_FS'!D54</x:f>
        <x:v>0.29928180825875694</x:v>
      </x:c>
      <x:c r="E144" s="46" t="n">
        <x:f>-'02_Historical_FS'!E124/'02_Historical_FS'!E54</x:f>
        <x:v>0.21697273285318663</x:v>
      </x:c>
      <x:c r="F144" s="46" t="n">
        <x:f>-'02_Historical_FS'!F124/'02_Historical_FS'!F54</x:f>
        <x:v>0.2434268639003094</x:v>
      </x:c>
      <x:c r="G144" s="46" t="n">
        <x:f>-'02_Historical_FS'!G124/'02_Historical_FS'!G54</x:f>
        <x:v>0.23442589263730423</x:v>
      </x:c>
      <x:c r="H144" s="46" t="n">
        <x:f>-'02_Historical_FS'!H124/'02_Historical_FS'!H54</x:f>
        <x:v>0.2443799256865689</x:v>
      </x:c>
      <x:c r="I144" s="46" t="str">
        <x:f>IF(CHOOSE('00_Cover'!$D$10,ISNUMBER(I145),ISNUMBER(I146),ISNUMBER(I147)),CHOOSE('00_Cover'!$D$10,I145,I146,I147),"")</x:f>
      </x:c>
      <x:c r="J144" s="46" t="str">
        <x:f>IF(CHOOSE('00_Cover'!$D$10,ISNUMBER(J145),ISNUMBER(J146),ISNUMBER(J147)),CHOOSE('00_Cover'!$D$10,J145,J146,J147),"")</x:f>
      </x:c>
      <x:c r="K144" s="46" t="str">
        <x:f>IF(CHOOSE('00_Cover'!$D$10,ISNUMBER(K145),ISNUMBER(K146),ISNUMBER(K147)),CHOOSE('00_Cover'!$D$10,K145,K146,K147),"")</x:f>
      </x:c>
      <x:c r="L144" s="46" t="str">
        <x:f>IF(CHOOSE('00_Cover'!$D$10,ISNUMBER(L145),ISNUMBER(L146),ISNUMBER(L147)),CHOOSE('00_Cover'!$D$10,L145,L146,L147),"")</x:f>
      </x:c>
      <x:c r="M144" s="46" t="str">
        <x:f>IF(CHOOSE('00_Cover'!$D$10,ISNUMBER(M145),ISNUMBER(M146),ISNUMBER(M147)),CHOOSE('00_Cover'!$D$10,M145,M146,M147),"")</x:f>
      </x:c>
      <x:c r="N144" s="2"/>
      <x:c r="O144" s="13" t="str">
        <x:v>Actual cash-tax denominator; separate from P&amp;L tax rate.</x:v>
      </x:c>
      <x:c r="P144" s="2"/>
    </x:row>
    <x:row r="145" ht="19" customHeight="1">
      <x:c r="A145" s="2"/>
      <x:c r="B145" s="2"/>
      <x:c r="C145" s="21" t="str">
        <x:v>Base input</x:v>
      </x:c>
      <x:c r="D145" s="22"/>
      <x:c r="E145" s="22"/>
      <x:c r="F145" s="22"/>
      <x:c r="G145" s="22"/>
      <x:c r="H145" s="22"/>
      <x:c r="I145" s="45"/>
      <x:c r="J145" s="45"/>
      <x:c r="K145" s="45"/>
      <x:c r="L145" s="45"/>
      <x:c r="M145" s="45"/>
      <x:c r="N145" s="2"/>
      <x:c r="O145" s="2"/>
      <x:c r="P145" s="2"/>
    </x:row>
    <x:row r="146" ht="19" customHeight="1">
      <x:c r="A146" s="2"/>
      <x:c r="B146" s="2"/>
      <x:c r="C146" s="21" t="str">
        <x:v>Bull input</x:v>
      </x:c>
      <x:c r="D146" s="22"/>
      <x:c r="E146" s="22"/>
      <x:c r="F146" s="22"/>
      <x:c r="G146" s="22"/>
      <x:c r="H146" s="22"/>
      <x:c r="I146" s="45"/>
      <x:c r="J146" s="45"/>
      <x:c r="K146" s="45"/>
      <x:c r="L146" s="45"/>
      <x:c r="M146" s="45"/>
      <x:c r="N146" s="2"/>
      <x:c r="O146" s="2"/>
      <x:c r="P146" s="2"/>
    </x:row>
    <x:row r="147" ht="19" customHeight="1">
      <x:c r="A147" s="2"/>
      <x:c r="B147" s="2"/>
      <x:c r="C147" s="21" t="str">
        <x:v>Bear input</x:v>
      </x:c>
      <x:c r="D147" s="22"/>
      <x:c r="E147" s="22"/>
      <x:c r="F147" s="22"/>
      <x:c r="G147" s="22"/>
      <x:c r="H147" s="22"/>
      <x:c r="I147" s="45"/>
      <x:c r="J147" s="45"/>
      <x:c r="K147" s="45"/>
      <x:c r="L147" s="45"/>
      <x:c r="M147" s="45"/>
      <x:c r="N147" s="2"/>
      <x:c r="O147" s="2"/>
      <x:c r="P147" s="2"/>
    </x:row>
    <x:row r="148" ht="19" customHeight="1">
      <x:c r="A148" s="2"/>
      <x:c r="B148" s="2"/>
      <x:c r="C148" s="2"/>
      <x:c r="D148" s="2"/>
      <x:c r="E148" s="2"/>
      <x:c r="F148" s="2"/>
      <x:c r="G148" s="2"/>
      <x:c r="H148" s="2"/>
      <x:c r="I148" s="34"/>
      <x:c r="J148" s="34"/>
      <x:c r="K148" s="34"/>
      <x:c r="L148" s="34"/>
      <x:c r="M148" s="34"/>
      <x:c r="N148" s="2"/>
      <x:c r="O148" s="2"/>
      <x:c r="P148" s="2"/>
    </x:row>
    <x:row r="149" ht="19" customHeight="1">
      <x:c r="A149" s="2"/>
      <x:c r="B149" s="2"/>
      <x:c r="C149" s="18" t="str">
        <x:v>Other operating cash-flow adjustments — active</x:v>
      </x:c>
      <x:c r="D149" s="19"/>
      <x:c r="E149" s="49" t="n">
        <x:f>'06_3Statement_Model'!E60+'06_3Statement_Model'!E59+'07_Working_Capital'!E20</x:f>
        <x:v>-896.3299999999849</x:v>
      </x:c>
      <x:c r="F149" s="49" t="n">
        <x:f>'06_3Statement_Model'!F60+'06_3Statement_Model'!F59+'07_Working_Capital'!F20</x:f>
        <x:v>2219.589999999981</x:v>
      </x:c>
      <x:c r="G149" s="49" t="n">
        <x:f>'06_3Statement_Model'!G60+'06_3Statement_Model'!G59+'07_Working_Capital'!G20</x:f>
        <x:v>910.3800000000156</x:v>
      </x:c>
      <x:c r="H149" s="49" t="n">
        <x:f>'06_3Statement_Model'!H60+'06_3Statement_Model'!H59+'07_Working_Capital'!H20</x:f>
        <x:v>102.49999999998545</x:v>
      </x:c>
      <x:c r="I149" s="49" t="str">
        <x:f>IF(CHOOSE('00_Cover'!$D$10,ISNUMBER(I150),ISNUMBER(I151),ISNUMBER(I152)),CHOOSE('00_Cover'!$D$10,I150,I151,I152),"")</x:f>
      </x:c>
      <x:c r="J149" s="49" t="str">
        <x:f>IF(CHOOSE('00_Cover'!$D$10,ISNUMBER(J150),ISNUMBER(J151),ISNUMBER(J152)),CHOOSE('00_Cover'!$D$10,J150,J151,J152),"")</x:f>
      </x:c>
      <x:c r="K149" s="49" t="str">
        <x:f>IF(CHOOSE('00_Cover'!$D$10,ISNUMBER(K150),ISNUMBER(K151),ISNUMBER(K152)),CHOOSE('00_Cover'!$D$10,K150,K151,K152),"")</x:f>
      </x:c>
      <x:c r="L149" s="49" t="str">
        <x:f>IF(CHOOSE('00_Cover'!$D$10,ISNUMBER(L150),ISNUMBER(L151),ISNUMBER(L152)),CHOOSE('00_Cover'!$D$10,L150,L151,L152),"")</x:f>
      </x:c>
      <x:c r="M149" s="49" t="str">
        <x:f>IF(CHOOSE('00_Cover'!$D$10,ISNUMBER(M150),ISNUMBER(M151),ISNUMBER(M152)),CHOOSE('00_Cover'!$D$10,M150,M151,M152),"")</x:f>
      </x:c>
      <x:c r="N149" s="2"/>
      <x:c r="O149" s="13" t="str">
        <x:v>Non-cash and classification adjustments beyond PBT + D&amp;A + finance cost - other income.</x:v>
      </x:c>
      <x:c r="P149" s="2"/>
    </x:row>
    <x:row r="150" ht="19" customHeight="1">
      <x:c r="A150" s="2"/>
      <x:c r="B150" s="2"/>
      <x:c r="C150" s="2" t="str">
        <x:v>Base input</x:v>
      </x:c>
      <x:c r="D150" s="11"/>
      <x:c r="E150" s="11"/>
      <x:c r="F150" s="11"/>
      <x:c r="G150" s="11"/>
      <x:c r="H150" s="11"/>
      <x:c r="I150" s="48"/>
      <x:c r="J150" s="48"/>
      <x:c r="K150" s="48"/>
      <x:c r="L150" s="48"/>
      <x:c r="M150" s="48"/>
      <x:c r="N150" s="2"/>
      <x:c r="O150" s="2"/>
      <x:c r="P150" s="2"/>
    </x:row>
    <x:row r="151" ht="19" customHeight="1">
      <x:c r="A151" s="2"/>
      <x:c r="B151" s="2"/>
      <x:c r="C151" s="2" t="str">
        <x:v>Bull input</x:v>
      </x:c>
      <x:c r="D151" s="11"/>
      <x:c r="E151" s="11"/>
      <x:c r="F151" s="11"/>
      <x:c r="G151" s="11"/>
      <x:c r="H151" s="11"/>
      <x:c r="I151" s="48"/>
      <x:c r="J151" s="48"/>
      <x:c r="K151" s="48"/>
      <x:c r="L151" s="48"/>
      <x:c r="M151" s="48"/>
      <x:c r="N151" s="2"/>
      <x:c r="O151" s="2"/>
      <x:c r="P151" s="2"/>
    </x:row>
    <x:row r="152" ht="19" customHeight="1">
      <x:c r="A152" s="2"/>
      <x:c r="B152" s="2"/>
      <x:c r="C152" s="2" t="str">
        <x:v>Bear input</x:v>
      </x:c>
      <x:c r="D152" s="11"/>
      <x:c r="E152" s="11"/>
      <x:c r="F152" s="11"/>
      <x:c r="G152" s="11"/>
      <x:c r="H152" s="11"/>
      <x:c r="I152" s="48"/>
      <x:c r="J152" s="48"/>
      <x:c r="K152" s="48"/>
      <x:c r="L152" s="48"/>
      <x:c r="M152" s="48"/>
      <x:c r="N152" s="2"/>
      <x:c r="O152" s="2"/>
      <x:c r="P152" s="2"/>
    </x:row>
    <x:row r="153" ht="19" customHeight="1">
      <x:c r="A153" s="2"/>
      <x:c r="B153" s="2"/>
      <x:c r="C153" s="2"/>
      <x:c r="D153" s="2"/>
      <x:c r="E153" s="2"/>
      <x:c r="F153" s="2"/>
      <x:c r="G153" s="2"/>
      <x:c r="H153" s="2"/>
      <x:c r="I153" s="34"/>
      <x:c r="J153" s="34"/>
      <x:c r="K153" s="34"/>
      <x:c r="L153" s="34"/>
      <x:c r="M153" s="34"/>
      <x:c r="N153" s="2"/>
      <x:c r="O153" s="2"/>
      <x:c r="P153" s="2"/>
    </x:row>
    <x:row r="154" ht="19" customHeight="1">
      <x:c r="A154" s="2"/>
      <x:c r="B154" s="2"/>
      <x:c r="C154" s="42" t="str">
        <x:v>Cash interest / finance costs — active</x:v>
      </x:c>
      <x:c r="D154" s="46" t="n">
        <x:f>-('02_Historical_FS'!D147+'02_Historical_FS'!D143)/'02_Historical_FS'!D52</x:f>
        <x:v>0.9728616084114805</x:v>
      </x:c>
      <x:c r="E154" s="46" t="n">
        <x:f>-('02_Historical_FS'!E147+'02_Historical_FS'!E143)/'02_Historical_FS'!E52</x:f>
        <x:v>0.8512977559114413</x:v>
      </x:c>
      <x:c r="F154" s="46" t="n">
        <x:f>-('02_Historical_FS'!F147+'02_Historical_FS'!F143)/'02_Historical_FS'!F52</x:f>
        <x:v>0.9774783090271367</x:v>
      </x:c>
      <x:c r="G154" s="46" t="n">
        <x:f>-('02_Historical_FS'!G147+'02_Historical_FS'!G143)/'02_Historical_FS'!G52</x:f>
        <x:v>1.0383240197007009</x:v>
      </x:c>
      <x:c r="H154" s="46" t="n">
        <x:f>-('02_Historical_FS'!H147+'02_Historical_FS'!H143)/'02_Historical_FS'!H52</x:f>
        <x:v>1.0065669283562928</x:v>
      </x:c>
      <x:c r="I154" s="46" t="str">
        <x:f>IF(CHOOSE('00_Cover'!$D$10,ISNUMBER(I155),ISNUMBER(I156),ISNUMBER(I157)),CHOOSE('00_Cover'!$D$10,I155,I156,I157),"")</x:f>
      </x:c>
      <x:c r="J154" s="46" t="str">
        <x:f>IF(CHOOSE('00_Cover'!$D$10,ISNUMBER(J155),ISNUMBER(J156),ISNUMBER(J157)),CHOOSE('00_Cover'!$D$10,J155,J156,J157),"")</x:f>
      </x:c>
      <x:c r="K154" s="46" t="str">
        <x:f>IF(CHOOSE('00_Cover'!$D$10,ISNUMBER(K155),ISNUMBER(K156),ISNUMBER(K157)),CHOOSE('00_Cover'!$D$10,K155,K156,K157),"")</x:f>
      </x:c>
      <x:c r="L154" s="46" t="str">
        <x:f>IF(CHOOSE('00_Cover'!$D$10,ISNUMBER(L155),ISNUMBER(L156),ISNUMBER(L157)),CHOOSE('00_Cover'!$D$10,L155,L156,L157),"")</x:f>
      </x:c>
      <x:c r="M154" s="46" t="str">
        <x:f>IF(CHOOSE('00_Cover'!$D$10,ISNUMBER(M155),ISNUMBER(M156),ISNUMBER(M157)),CHOOSE('00_Cover'!$D$10,M155,M156,M157),"")</x:f>
      </x:c>
      <x:c r="N154" s="2"/>
      <x:c r="O154" s="13" t="str">
        <x:v>Cash payment of finance costs, excluding separately scheduled lease principal.</x:v>
      </x:c>
      <x:c r="P154" s="2"/>
    </x:row>
    <x:row r="155" ht="19" customHeight="1">
      <x:c r="A155" s="2"/>
      <x:c r="B155" s="2"/>
      <x:c r="C155" s="21" t="str">
        <x:v>Base input</x:v>
      </x:c>
      <x:c r="D155" s="22"/>
      <x:c r="E155" s="22"/>
      <x:c r="F155" s="22"/>
      <x:c r="G155" s="22"/>
      <x:c r="H155" s="22"/>
      <x:c r="I155" s="45"/>
      <x:c r="J155" s="45"/>
      <x:c r="K155" s="45"/>
      <x:c r="L155" s="45"/>
      <x:c r="M155" s="45"/>
      <x:c r="N155" s="2"/>
      <x:c r="O155" s="2"/>
      <x:c r="P155" s="2"/>
    </x:row>
    <x:row r="156" ht="19" customHeight="1">
      <x:c r="A156" s="2"/>
      <x:c r="B156" s="2"/>
      <x:c r="C156" s="21" t="str">
        <x:v>Bull input</x:v>
      </x:c>
      <x:c r="D156" s="22"/>
      <x:c r="E156" s="22"/>
      <x:c r="F156" s="22"/>
      <x:c r="G156" s="22"/>
      <x:c r="H156" s="22"/>
      <x:c r="I156" s="45"/>
      <x:c r="J156" s="45"/>
      <x:c r="K156" s="45"/>
      <x:c r="L156" s="45"/>
      <x:c r="M156" s="45"/>
      <x:c r="N156" s="2"/>
      <x:c r="O156" s="2"/>
      <x:c r="P156" s="2"/>
    </x:row>
    <x:row r="157" ht="19" customHeight="1">
      <x:c r="A157" s="2"/>
      <x:c r="B157" s="2"/>
      <x:c r="C157" s="21" t="str">
        <x:v>Bear input</x:v>
      </x:c>
      <x:c r="D157" s="22"/>
      <x:c r="E157" s="22"/>
      <x:c r="F157" s="22"/>
      <x:c r="G157" s="22"/>
      <x:c r="H157" s="22"/>
      <x:c r="I157" s="45"/>
      <x:c r="J157" s="45"/>
      <x:c r="K157" s="45"/>
      <x:c r="L157" s="45"/>
      <x:c r="M157" s="45"/>
      <x:c r="N157" s="2"/>
      <x:c r="O157" s="2"/>
      <x:c r="P157" s="2"/>
    </x:row>
    <x:row r="158" ht="19" customHeight="1">
      <x:c r="A158" s="2"/>
      <x:c r="B158" s="2"/>
      <x:c r="C158" s="2"/>
      <x:c r="D158" s="2"/>
      <x:c r="E158" s="2"/>
      <x:c r="F158" s="2"/>
      <x:c r="G158" s="2"/>
      <x:c r="H158" s="2"/>
      <x:c r="I158" s="34"/>
      <x:c r="J158" s="34"/>
      <x:c r="K158" s="34"/>
      <x:c r="L158" s="34"/>
      <x:c r="M158" s="34"/>
      <x:c r="N158" s="2"/>
      <x:c r="O158" s="2"/>
      <x:c r="P158" s="2"/>
    </x:row>
    <x:row r="159" ht="19" customHeight="1">
      <x:c r="A159" s="2"/>
      <x:c r="B159" s="2"/>
      <x:c r="C159" s="18" t="str">
        <x:v>Cash investment income received — active</x:v>
      </x:c>
      <x:c r="D159" s="49" t="n">
        <x:f>IF(ISNUMBER('02_Historical_FS'!D139),'02_Historical_FS'!D139,"")</x:f>
        <x:v>232.19</x:v>
      </x:c>
      <x:c r="E159" s="49" t="n">
        <x:f>IF(ISNUMBER('02_Historical_FS'!E139),'02_Historical_FS'!E139,"")</x:f>
        <x:v>199.83</x:v>
      </x:c>
      <x:c r="F159" s="49" t="n">
        <x:f>IF(ISNUMBER('02_Historical_FS'!F139),'02_Historical_FS'!F139,"")</x:f>
        <x:v>447.4</x:v>
      </x:c>
      <x:c r="G159" s="49" t="n">
        <x:f>IF(ISNUMBER('02_Historical_FS'!G139),'02_Historical_FS'!G139,"")</x:f>
        <x:v>223.99</x:v>
      </x:c>
      <x:c r="H159" s="49" t="n">
        <x:f>IF(ISNUMBER('02_Historical_FS'!H139),'02_Historical_FS'!H139,"")</x:f>
        <x:v>645.68</x:v>
      </x:c>
      <x:c r="I159" s="49" t="str">
        <x:f>IF(CHOOSE('00_Cover'!$D$10,ISNUMBER(I160),ISNUMBER(I161),ISNUMBER(I162)),CHOOSE('00_Cover'!$D$10,I160,I161,I162),"")</x:f>
      </x:c>
      <x:c r="J159" s="49" t="str">
        <x:f>IF(CHOOSE('00_Cover'!$D$10,ISNUMBER(J160),ISNUMBER(J161),ISNUMBER(J162)),CHOOSE('00_Cover'!$D$10,J160,J161,J162),"")</x:f>
      </x:c>
      <x:c r="K159" s="49" t="str">
        <x:f>IF(CHOOSE('00_Cover'!$D$10,ISNUMBER(K160),ISNUMBER(K161),ISNUMBER(K162)),CHOOSE('00_Cover'!$D$10,K160,K161,K162),"")</x:f>
      </x:c>
      <x:c r="L159" s="49" t="str">
        <x:f>IF(CHOOSE('00_Cover'!$D$10,ISNUMBER(L160),ISNUMBER(L161),ISNUMBER(L162)),CHOOSE('00_Cover'!$D$10,L160,L161,L162),"")</x:f>
      </x:c>
      <x:c r="M159" s="49" t="str">
        <x:f>IF(CHOOSE('00_Cover'!$D$10,ISNUMBER(M160),ISNUMBER(M161),ISNUMBER(M162)),CHOOSE('00_Cover'!$D$10,M160,M161,M162),"")</x:f>
      </x:c>
      <x:c r="N159" s="2"/>
      <x:c r="O159" s="13" t="str">
        <x:v>Cash interest and investment distributions only; non-cash gains need separate adjustment.</x:v>
      </x:c>
      <x:c r="P159" s="2"/>
    </x:row>
    <x:row r="160" ht="19" customHeight="1">
      <x:c r="A160" s="2"/>
      <x:c r="B160" s="2"/>
      <x:c r="C160" s="2" t="str">
        <x:v>Base input</x:v>
      </x:c>
      <x:c r="D160" s="11"/>
      <x:c r="E160" s="11"/>
      <x:c r="F160" s="11"/>
      <x:c r="G160" s="11"/>
      <x:c r="H160" s="11"/>
      <x:c r="I160" s="48"/>
      <x:c r="J160" s="48"/>
      <x:c r="K160" s="48"/>
      <x:c r="L160" s="48"/>
      <x:c r="M160" s="48"/>
      <x:c r="N160" s="2"/>
      <x:c r="O160" s="2"/>
      <x:c r="P160" s="2"/>
    </x:row>
    <x:row r="161" ht="19" customHeight="1">
      <x:c r="A161" s="2"/>
      <x:c r="B161" s="2"/>
      <x:c r="C161" s="2" t="str">
        <x:v>Bull input</x:v>
      </x:c>
      <x:c r="D161" s="11"/>
      <x:c r="E161" s="11"/>
      <x:c r="F161" s="11"/>
      <x:c r="G161" s="11"/>
      <x:c r="H161" s="11"/>
      <x:c r="I161" s="48"/>
      <x:c r="J161" s="48"/>
      <x:c r="K161" s="48"/>
      <x:c r="L161" s="48"/>
      <x:c r="M161" s="48"/>
      <x:c r="N161" s="2"/>
      <x:c r="O161" s="2"/>
      <x:c r="P161" s="2"/>
    </x:row>
    <x:row r="162" ht="19" customHeight="1">
      <x:c r="A162" s="2"/>
      <x:c r="B162" s="2"/>
      <x:c r="C162" s="2" t="str">
        <x:v>Bear input</x:v>
      </x:c>
      <x:c r="D162" s="11"/>
      <x:c r="E162" s="11"/>
      <x:c r="F162" s="11"/>
      <x:c r="G162" s="11"/>
      <x:c r="H162" s="11"/>
      <x:c r="I162" s="48"/>
      <x:c r="J162" s="48"/>
      <x:c r="K162" s="48"/>
      <x:c r="L162" s="48"/>
      <x:c r="M162" s="48"/>
      <x:c r="N162" s="2"/>
      <x:c r="O162" s="2"/>
      <x:c r="P162" s="2"/>
    </x:row>
    <x:row r="163" ht="19" customHeight="1">
      <x:c r="A163" s="2"/>
      <x:c r="B163" s="2"/>
      <x:c r="C163" s="2"/>
      <x:c r="D163" s="2"/>
      <x:c r="E163" s="2"/>
      <x:c r="F163" s="2"/>
      <x:c r="G163" s="2"/>
      <x:c r="H163" s="2"/>
      <x:c r="I163" s="34"/>
      <x:c r="J163" s="34"/>
      <x:c r="K163" s="34"/>
      <x:c r="L163" s="34"/>
      <x:c r="M163" s="34"/>
      <x:c r="N163" s="2"/>
      <x:c r="O163" s="2"/>
      <x:c r="P163" s="2"/>
    </x:row>
    <x:row r="164" ht="19" customHeight="1">
      <x:c r="A164" s="2"/>
      <x:c r="B164" s="2"/>
      <x:c r="C164" s="18" t="str">
        <x:v>Closing current investments — active</x:v>
      </x:c>
      <x:c r="D164" s="49" t="n">
        <x:f>IF(ISNUMBER('02_Historical_FS'!D82),'02_Historical_FS'!D82,"")</x:f>
        <x:v>7640.51</x:v>
      </x:c>
      <x:c r="E164" s="49" t="n">
        <x:f>IF(ISNUMBER('02_Historical_FS'!E82),'02_Historical_FS'!E82,"")</x:f>
        <x:v>13504.95</x:v>
      </x:c>
      <x:c r="F164" s="49" t="n">
        <x:f>IF(ISNUMBER('02_Historical_FS'!F82),'02_Historical_FS'!F82,"")</x:f>
        <x:v>18224.17</x:v>
      </x:c>
      <x:c r="G164" s="49" t="n">
        <x:f>IF(ISNUMBER('02_Historical_FS'!G82),'02_Historical_FS'!G82,"")</x:f>
        <x:v>17490.42</x:v>
      </x:c>
      <x:c r="H164" s="49" t="n">
        <x:f>IF(ISNUMBER('02_Historical_FS'!H82),'02_Historical_FS'!H82,"")</x:f>
        <x:v>34048.23</x:v>
      </x:c>
      <x:c r="I164" s="49" t="str">
        <x:f>IF(CHOOSE('00_Cover'!$D$10,ISNUMBER(I165),ISNUMBER(I166),ISNUMBER(I167)),CHOOSE('00_Cover'!$D$10,I165,I166,I167),"")</x:f>
      </x:c>
      <x:c r="J164" s="49" t="str">
        <x:f>IF(CHOOSE('00_Cover'!$D$10,ISNUMBER(J165),ISNUMBER(J166),ISNUMBER(J167)),CHOOSE('00_Cover'!$D$10,J165,J166,J167),"")</x:f>
      </x:c>
      <x:c r="K164" s="49" t="str">
        <x:f>IF(CHOOSE('00_Cover'!$D$10,ISNUMBER(K165),ISNUMBER(K166),ISNUMBER(K167)),CHOOSE('00_Cover'!$D$10,K165,K166,K167),"")</x:f>
      </x:c>
      <x:c r="L164" s="49" t="str">
        <x:f>IF(CHOOSE('00_Cover'!$D$10,ISNUMBER(L165),ISNUMBER(L166),ISNUMBER(L167)),CHOOSE('00_Cover'!$D$10,L165,L166,L167),"")</x:f>
      </x:c>
      <x:c r="M164" s="49" t="str">
        <x:f>IF(CHOOSE('00_Cover'!$D$10,ISNUMBER(M165),ISNUMBER(M166),ISNUMBER(M167)),CHOOSE('00_Cover'!$D$10,M165,M166,M167),"")</x:f>
      </x:c>
      <x:c r="N164" s="2"/>
      <x:c r="O164" s="13" t="str">
        <x:v>Treasury allocation decision.</x:v>
      </x:c>
      <x:c r="P164" s="2"/>
    </x:row>
    <x:row r="165" ht="19" customHeight="1">
      <x:c r="A165" s="2"/>
      <x:c r="B165" s="2"/>
      <x:c r="C165" s="2" t="str">
        <x:v>Base input</x:v>
      </x:c>
      <x:c r="D165" s="11"/>
      <x:c r="E165" s="11"/>
      <x:c r="F165" s="11"/>
      <x:c r="G165" s="11"/>
      <x:c r="H165" s="11"/>
      <x:c r="I165" s="48"/>
      <x:c r="J165" s="48"/>
      <x:c r="K165" s="48"/>
      <x:c r="L165" s="48"/>
      <x:c r="M165" s="48"/>
      <x:c r="N165" s="2"/>
      <x:c r="O165" s="2"/>
      <x:c r="P165" s="2"/>
    </x:row>
    <x:row r="166" ht="19" customHeight="1">
      <x:c r="A166" s="2"/>
      <x:c r="B166" s="2"/>
      <x:c r="C166" s="2" t="str">
        <x:v>Bull input</x:v>
      </x:c>
      <x:c r="D166" s="11"/>
      <x:c r="E166" s="11"/>
      <x:c r="F166" s="11"/>
      <x:c r="G166" s="11"/>
      <x:c r="H166" s="11"/>
      <x:c r="I166" s="48"/>
      <x:c r="J166" s="48"/>
      <x:c r="K166" s="48"/>
      <x:c r="L166" s="48"/>
      <x:c r="M166" s="48"/>
      <x:c r="N166" s="2"/>
      <x:c r="O166" s="2"/>
      <x:c r="P166" s="2"/>
    </x:row>
    <x:row r="167" ht="19" customHeight="1">
      <x:c r="A167" s="2"/>
      <x:c r="B167" s="2"/>
      <x:c r="C167" s="2" t="str">
        <x:v>Bear input</x:v>
      </x:c>
      <x:c r="D167" s="11"/>
      <x:c r="E167" s="11"/>
      <x:c r="F167" s="11"/>
      <x:c r="G167" s="11"/>
      <x:c r="H167" s="11"/>
      <x:c r="I167" s="48"/>
      <x:c r="J167" s="48"/>
      <x:c r="K167" s="48"/>
      <x:c r="L167" s="48"/>
      <x:c r="M167" s="48"/>
      <x:c r="N167" s="2"/>
      <x:c r="O167" s="2"/>
      <x:c r="P167" s="2"/>
    </x:row>
    <x:row r="168" ht="19" customHeight="1">
      <x:c r="A168" s="2"/>
      <x:c r="B168" s="2"/>
      <x:c r="C168" s="2"/>
      <x:c r="D168" s="2"/>
      <x:c r="E168" s="2"/>
      <x:c r="F168" s="2"/>
      <x:c r="G168" s="2"/>
      <x:c r="H168" s="2"/>
      <x:c r="I168" s="34"/>
      <x:c r="J168" s="34"/>
      <x:c r="K168" s="34"/>
      <x:c r="L168" s="34"/>
      <x:c r="M168" s="34"/>
      <x:c r="N168" s="2"/>
      <x:c r="O168" s="2"/>
      <x:c r="P168" s="2"/>
    </x:row>
    <x:row r="169" ht="19" customHeight="1">
      <x:c r="A169" s="2"/>
      <x:c r="B169" s="2"/>
      <x:c r="C169" s="18" t="str">
        <x:v>Closing other bank balances — active</x:v>
      </x:c>
      <x:c r="D169" s="49" t="n">
        <x:f>IF(ISNUMBER('02_Historical_FS'!D85),'02_Historical_FS'!D85,"")</x:f>
        <x:v>2854.27</x:v>
      </x:c>
      <x:c r="E169" s="49" t="n">
        <x:f>IF(ISNUMBER('02_Historical_FS'!E85),'02_Historical_FS'!E85,"")</x:f>
        <x:v>5424.91</x:v>
      </x:c>
      <x:c r="F169" s="49" t="n">
        <x:f>IF(ISNUMBER('02_Historical_FS'!F85),'02_Historical_FS'!F85,"")</x:f>
        <x:v>953.27</x:v>
      </x:c>
      <x:c r="G169" s="49" t="n">
        <x:f>IF(ISNUMBER('02_Historical_FS'!G85),'02_Historical_FS'!G85,"")</x:f>
        <x:v>5532.49</x:v>
      </x:c>
      <x:c r="H169" s="49" t="n">
        <x:f>IF(ISNUMBER('02_Historical_FS'!H85),'02_Historical_FS'!H85,"")</x:f>
        <x:v>4921.27</x:v>
      </x:c>
      <x:c r="I169" s="49" t="str">
        <x:f>IF(CHOOSE('00_Cover'!$D$10,ISNUMBER(I170),ISNUMBER(I171),ISNUMBER(I172)),CHOOSE('00_Cover'!$D$10,I170,I171,I172),"")</x:f>
      </x:c>
      <x:c r="J169" s="49" t="str">
        <x:f>IF(CHOOSE('00_Cover'!$D$10,ISNUMBER(J170),ISNUMBER(J171),ISNUMBER(J172)),CHOOSE('00_Cover'!$D$10,J170,J171,J172),"")</x:f>
      </x:c>
      <x:c r="K169" s="49" t="str">
        <x:f>IF(CHOOSE('00_Cover'!$D$10,ISNUMBER(K170),ISNUMBER(K171),ISNUMBER(K172)),CHOOSE('00_Cover'!$D$10,K170,K171,K172),"")</x:f>
      </x:c>
      <x:c r="L169" s="49" t="str">
        <x:f>IF(CHOOSE('00_Cover'!$D$10,ISNUMBER(L170),ISNUMBER(L171),ISNUMBER(L172)),CHOOSE('00_Cover'!$D$10,L170,L171,L172),"")</x:f>
      </x:c>
      <x:c r="M169" s="49" t="str">
        <x:f>IF(CHOOSE('00_Cover'!$D$10,ISNUMBER(M170),ISNUMBER(M171),ISNUMBER(M172)),CHOOSE('00_Cover'!$D$10,M170,M171,M172),"")</x:f>
      </x:c>
      <x:c r="N169" s="2"/>
      <x:c r="O169" s="13" t="str">
        <x:v>Deposits, including restricted balances.</x:v>
      </x:c>
      <x:c r="P169" s="2"/>
    </x:row>
    <x:row r="170" ht="19" customHeight="1">
      <x:c r="A170" s="2"/>
      <x:c r="B170" s="2"/>
      <x:c r="C170" s="2" t="str">
        <x:v>Base input</x:v>
      </x:c>
      <x:c r="D170" s="11"/>
      <x:c r="E170" s="11"/>
      <x:c r="F170" s="11"/>
      <x:c r="G170" s="11"/>
      <x:c r="H170" s="11"/>
      <x:c r="I170" s="48"/>
      <x:c r="J170" s="48"/>
      <x:c r="K170" s="48"/>
      <x:c r="L170" s="48"/>
      <x:c r="M170" s="48"/>
      <x:c r="N170" s="2"/>
      <x:c r="O170" s="2"/>
      <x:c r="P170" s="2"/>
    </x:row>
    <x:row r="171" ht="19" customHeight="1">
      <x:c r="A171" s="2"/>
      <x:c r="B171" s="2"/>
      <x:c r="C171" s="2" t="str">
        <x:v>Bull input</x:v>
      </x:c>
      <x:c r="D171" s="11"/>
      <x:c r="E171" s="11"/>
      <x:c r="F171" s="11"/>
      <x:c r="G171" s="11"/>
      <x:c r="H171" s="11"/>
      <x:c r="I171" s="48"/>
      <x:c r="J171" s="48"/>
      <x:c r="K171" s="48"/>
      <x:c r="L171" s="48"/>
      <x:c r="M171" s="48"/>
      <x:c r="N171" s="2"/>
      <x:c r="O171" s="2"/>
      <x:c r="P171" s="2"/>
    </x:row>
    <x:row r="172" ht="19" customHeight="1">
      <x:c r="A172" s="2"/>
      <x:c r="B172" s="2"/>
      <x:c r="C172" s="2" t="str">
        <x:v>Bear input</x:v>
      </x:c>
      <x:c r="D172" s="11"/>
      <x:c r="E172" s="11"/>
      <x:c r="F172" s="11"/>
      <x:c r="G172" s="11"/>
      <x:c r="H172" s="11"/>
      <x:c r="I172" s="48"/>
      <x:c r="J172" s="48"/>
      <x:c r="K172" s="48"/>
      <x:c r="L172" s="48"/>
      <x:c r="M172" s="48"/>
      <x:c r="N172" s="2"/>
      <x:c r="O172" s="2"/>
      <x:c r="P172" s="2"/>
    </x:row>
    <x:row r="173" ht="19" customHeight="1">
      <x:c r="A173" s="2"/>
      <x:c r="B173" s="2"/>
      <x:c r="C173" s="2"/>
      <x:c r="D173" s="2"/>
      <x:c r="E173" s="2"/>
      <x:c r="F173" s="2"/>
      <x:c r="G173" s="2"/>
      <x:c r="H173" s="2"/>
      <x:c r="I173" s="34"/>
      <x:c r="J173" s="34"/>
      <x:c r="K173" s="34"/>
      <x:c r="L173" s="34"/>
      <x:c r="M173" s="34"/>
      <x:c r="N173" s="2"/>
      <x:c r="O173" s="2"/>
      <x:c r="P173" s="2"/>
    </x:row>
    <x:row r="174" ht="19" customHeight="1">
      <x:c r="A174" s="2"/>
      <x:c r="B174" s="2"/>
      <x:c r="C174" s="18" t="str">
        <x:v>Other investing cash flow — active</x:v>
      </x:c>
      <x:c r="D174" s="49" t="n">
        <x:f>'06_3Statement_Model'!D70</x:f>
        <x:v>1343.599999999995</x:v>
      </x:c>
      <x:c r="E174" s="49" t="n">
        <x:f>'06_3Statement_Model'!E70</x:f>
        <x:v>23.32999999999447</x:v>
      </x:c>
      <x:c r="F174" s="49" t="n">
        <x:f>'06_3Statement_Model'!F70</x:f>
        <x:v>-2.789999999995416</x:v>
      </x:c>
      <x:c r="G174" s="49" t="n">
        <x:f>'06_3Statement_Model'!G70</x:f>
        <x:v>-4.739999999999782</x:v>
      </x:c>
      <x:c r="H174" s="49" t="n">
        <x:f>'06_3Statement_Model'!H70</x:f>
        <x:v>-1.3100000000013097</x:v>
      </x:c>
      <x:c r="I174" s="49" t="str">
        <x:f>IF(CHOOSE('00_Cover'!$D$10,ISNUMBER(I175),ISNUMBER(I176),ISNUMBER(I177)),CHOOSE('00_Cover'!$D$10,I175,I176,I177),"")</x:f>
      </x:c>
      <x:c r="J174" s="49" t="str">
        <x:f>IF(CHOOSE('00_Cover'!$D$10,ISNUMBER(J175),ISNUMBER(J176),ISNUMBER(J177)),CHOOSE('00_Cover'!$D$10,J175,J176,J177),"")</x:f>
      </x:c>
      <x:c r="K174" s="49" t="str">
        <x:f>IF(CHOOSE('00_Cover'!$D$10,ISNUMBER(K175),ISNUMBER(K176),ISNUMBER(K177)),CHOOSE('00_Cover'!$D$10,K175,K176,K177),"")</x:f>
      </x:c>
      <x:c r="L174" s="49" t="str">
        <x:f>IF(CHOOSE('00_Cover'!$D$10,ISNUMBER(L175),ISNUMBER(L176),ISNUMBER(L177)),CHOOSE('00_Cover'!$D$10,L175,L176,L177),"")</x:f>
      </x:c>
      <x:c r="M174" s="49" t="str">
        <x:f>IF(CHOOSE('00_Cover'!$D$10,ISNUMBER(M175),ISNUMBER(M176),ISNUMBER(M177)),CHOOSE('00_Cover'!$D$10,M175,M176,M177),"")</x:f>
      </x:c>
      <x:c r="N174" s="2"/>
      <x:c r="O174" s="13" t="str">
        <x:v>Acquisitions, fair-value effects and loan transactions; not a balancing plug.</x:v>
      </x:c>
      <x:c r="P174" s="2"/>
    </x:row>
    <x:row r="175" ht="19" customHeight="1">
      <x:c r="A175" s="2"/>
      <x:c r="B175" s="2"/>
      <x:c r="C175" s="2" t="str">
        <x:v>Base input</x:v>
      </x:c>
      <x:c r="D175" s="11"/>
      <x:c r="E175" s="11"/>
      <x:c r="F175" s="11"/>
      <x:c r="G175" s="11"/>
      <x:c r="H175" s="11"/>
      <x:c r="I175" s="48"/>
      <x:c r="J175" s="48"/>
      <x:c r="K175" s="48"/>
      <x:c r="L175" s="48"/>
      <x:c r="M175" s="48"/>
      <x:c r="N175" s="2"/>
      <x:c r="O175" s="2"/>
      <x:c r="P175" s="2"/>
    </x:row>
    <x:row r="176" ht="19" customHeight="1">
      <x:c r="A176" s="2"/>
      <x:c r="B176" s="2"/>
      <x:c r="C176" s="2" t="str">
        <x:v>Bull input</x:v>
      </x:c>
      <x:c r="D176" s="11"/>
      <x:c r="E176" s="11"/>
      <x:c r="F176" s="11"/>
      <x:c r="G176" s="11"/>
      <x:c r="H176" s="11"/>
      <x:c r="I176" s="48"/>
      <x:c r="J176" s="48"/>
      <x:c r="K176" s="48"/>
      <x:c r="L176" s="48"/>
      <x:c r="M176" s="48"/>
      <x:c r="N176" s="2"/>
      <x:c r="O176" s="2"/>
      <x:c r="P176" s="2"/>
    </x:row>
    <x:row r="177" ht="19" customHeight="1">
      <x:c r="A177" s="2"/>
      <x:c r="B177" s="2"/>
      <x:c r="C177" s="2" t="str">
        <x:v>Bear input</x:v>
      </x:c>
      <x:c r="D177" s="11"/>
      <x:c r="E177" s="11"/>
      <x:c r="F177" s="11"/>
      <x:c r="G177" s="11"/>
      <x:c r="H177" s="11"/>
      <x:c r="I177" s="48"/>
      <x:c r="J177" s="48"/>
      <x:c r="K177" s="48"/>
      <x:c r="L177" s="48"/>
      <x:c r="M177" s="48"/>
      <x:c r="N177" s="2"/>
      <x:c r="O177" s="2"/>
      <x:c r="P177" s="2"/>
    </x:row>
    <x:row r="178" ht="19" customHeight="1">
      <x:c r="A178" s="2"/>
      <x:c r="B178" s="2"/>
      <x:c r="C178" s="2"/>
      <x:c r="D178" s="2"/>
      <x:c r="E178" s="2"/>
      <x:c r="F178" s="2"/>
      <x:c r="G178" s="2"/>
      <x:c r="H178" s="2"/>
      <x:c r="I178" s="34"/>
      <x:c r="J178" s="34"/>
      <x:c r="K178" s="34"/>
      <x:c r="L178" s="34"/>
      <x:c r="M178" s="34"/>
      <x:c r="N178" s="2"/>
      <x:c r="O178" s="2"/>
      <x:c r="P178" s="2"/>
    </x:row>
    <x:row r="179" ht="19" customHeight="1">
      <x:c r="A179" s="2"/>
      <x:c r="B179" s="2"/>
      <x:c r="C179" s="18" t="str">
        <x:v>Net change in borrowings — active</x:v>
      </x:c>
      <x:c r="D179" s="19"/>
      <x:c r="E179" s="19"/>
      <x:c r="F179" s="19"/>
      <x:c r="G179" s="19"/>
      <x:c r="H179" s="19"/>
      <x:c r="I179" s="49" t="str">
        <x:f>IF(CHOOSE('00_Cover'!$D$10,ISNUMBER(I180),ISNUMBER(I181),ISNUMBER(I182)),CHOOSE('00_Cover'!$D$10,I180,I181,I182),"")</x:f>
      </x:c>
      <x:c r="J179" s="49" t="str">
        <x:f>IF(CHOOSE('00_Cover'!$D$10,ISNUMBER(J180),ISNUMBER(J181),ISNUMBER(J182)),CHOOSE('00_Cover'!$D$10,J180,J181,J182),"")</x:f>
      </x:c>
      <x:c r="K179" s="49" t="str">
        <x:f>IF(CHOOSE('00_Cover'!$D$10,ISNUMBER(K180),ISNUMBER(K181),ISNUMBER(K182)),CHOOSE('00_Cover'!$D$10,K180,K181,K182),"")</x:f>
      </x:c>
      <x:c r="L179" s="49" t="str">
        <x:f>IF(CHOOSE('00_Cover'!$D$10,ISNUMBER(L180),ISNUMBER(L181),ISNUMBER(L182)),CHOOSE('00_Cover'!$D$10,L180,L181,L182),"")</x:f>
      </x:c>
      <x:c r="M179" s="49" t="str">
        <x:f>IF(CHOOSE('00_Cover'!$D$10,ISNUMBER(M180),ISNUMBER(M181),ISNUMBER(M182)),CHOOSE('00_Cover'!$D$10,M180,M181,M182),"")</x:f>
      </x:c>
      <x:c r="N179" s="2"/>
      <x:c r="O179" s="13" t="str">
        <x:v>Includes cash credit on a gross cash basis.</x:v>
      </x:c>
      <x:c r="P179" s="2"/>
    </x:row>
    <x:row r="180" ht="19" customHeight="1">
      <x:c r="A180" s="2"/>
      <x:c r="B180" s="2"/>
      <x:c r="C180" s="2" t="str">
        <x:v>Base input</x:v>
      </x:c>
      <x:c r="D180" s="11"/>
      <x:c r="E180" s="11"/>
      <x:c r="F180" s="11"/>
      <x:c r="G180" s="11"/>
      <x:c r="H180" s="11"/>
      <x:c r="I180" s="48"/>
      <x:c r="J180" s="48"/>
      <x:c r="K180" s="48"/>
      <x:c r="L180" s="48"/>
      <x:c r="M180" s="48"/>
      <x:c r="N180" s="2"/>
      <x:c r="O180" s="2"/>
      <x:c r="P180" s="2"/>
    </x:row>
    <x:row r="181" ht="19" customHeight="1">
      <x:c r="A181" s="2"/>
      <x:c r="B181" s="2"/>
      <x:c r="C181" s="2" t="str">
        <x:v>Bull input</x:v>
      </x:c>
      <x:c r="D181" s="11"/>
      <x:c r="E181" s="11"/>
      <x:c r="F181" s="11"/>
      <x:c r="G181" s="11"/>
      <x:c r="H181" s="11"/>
      <x:c r="I181" s="48"/>
      <x:c r="J181" s="48"/>
      <x:c r="K181" s="48"/>
      <x:c r="L181" s="48"/>
      <x:c r="M181" s="48"/>
      <x:c r="N181" s="2"/>
      <x:c r="O181" s="2"/>
      <x:c r="P181" s="2"/>
    </x:row>
    <x:row r="182" ht="19" customHeight="1">
      <x:c r="A182" s="2"/>
      <x:c r="B182" s="2"/>
      <x:c r="C182" s="2" t="str">
        <x:v>Bear input</x:v>
      </x:c>
      <x:c r="D182" s="11"/>
      <x:c r="E182" s="11"/>
      <x:c r="F182" s="11"/>
      <x:c r="G182" s="11"/>
      <x:c r="H182" s="11"/>
      <x:c r="I182" s="48"/>
      <x:c r="J182" s="48"/>
      <x:c r="K182" s="48"/>
      <x:c r="L182" s="48"/>
      <x:c r="M182" s="48"/>
      <x:c r="N182" s="2"/>
      <x:c r="O182" s="2"/>
      <x:c r="P182" s="2"/>
    </x:row>
    <x:row r="183" ht="19" customHeight="1">
      <x:c r="A183" s="2"/>
      <x:c r="B183" s="2"/>
      <x:c r="C183" s="2"/>
      <x:c r="D183" s="2"/>
      <x:c r="E183" s="2"/>
      <x:c r="F183" s="2"/>
      <x:c r="G183" s="2"/>
      <x:c r="H183" s="2"/>
      <x:c r="I183" s="34"/>
      <x:c r="J183" s="34"/>
      <x:c r="K183" s="34"/>
      <x:c r="L183" s="34"/>
      <x:c r="M183" s="34"/>
      <x:c r="N183" s="2"/>
      <x:c r="O183" s="2"/>
      <x:c r="P183" s="2"/>
    </x:row>
    <x:row r="184" ht="19" customHeight="1">
      <x:c r="A184" s="2"/>
      <x:c r="B184" s="2"/>
      <x:c r="C184" s="18" t="str">
        <x:v>Lease principal cash payment — active</x:v>
      </x:c>
      <x:c r="D184" s="49" t="n">
        <x:f>-'02_Historical_FS'!D142</x:f>
        <x:v>137.66</x:v>
      </x:c>
      <x:c r="E184" s="49" t="n">
        <x:f>-'02_Historical_FS'!E142</x:f>
        <x:v>126.84</x:v>
      </x:c>
      <x:c r="F184" s="49" t="n">
        <x:f>-'02_Historical_FS'!F142</x:f>
        <x:v>206.04</x:v>
      </x:c>
      <x:c r="G184" s="49" t="n">
        <x:f>-'02_Historical_FS'!G142</x:f>
        <x:v>588.78</x:v>
      </x:c>
      <x:c r="H184" s="49" t="n">
        <x:f>-'02_Historical_FS'!H142</x:f>
        <x:v>248.42</x:v>
      </x:c>
      <x:c r="I184" s="49" t="str">
        <x:f>IF(CHOOSE('00_Cover'!$D$10,ISNUMBER(I185),ISNUMBER(I186),ISNUMBER(I187)),CHOOSE('00_Cover'!$D$10,I185,I186,I187),"")</x:f>
      </x:c>
      <x:c r="J184" s="49" t="str">
        <x:f>IF(CHOOSE('00_Cover'!$D$10,ISNUMBER(J185),ISNUMBER(J186),ISNUMBER(J187)),CHOOSE('00_Cover'!$D$10,J185,J186,J187),"")</x:f>
      </x:c>
      <x:c r="K184" s="49" t="str">
        <x:f>IF(CHOOSE('00_Cover'!$D$10,ISNUMBER(K185),ISNUMBER(K186),ISNUMBER(K187)),CHOOSE('00_Cover'!$D$10,K185,K186,K187),"")</x:f>
      </x:c>
      <x:c r="L184" s="49" t="str">
        <x:f>IF(CHOOSE('00_Cover'!$D$10,ISNUMBER(L185),ISNUMBER(L186),ISNUMBER(L187)),CHOOSE('00_Cover'!$D$10,L185,L186,L187),"")</x:f>
      </x:c>
      <x:c r="M184" s="49" t="str">
        <x:f>IF(CHOOSE('00_Cover'!$D$10,ISNUMBER(M185),ISNUMBER(M186),ISNUMBER(M187)),CHOOSE('00_Cover'!$D$10,M185,M186,M187),"")</x:f>
      </x:c>
      <x:c r="N184" s="2"/>
      <x:c r="O184" s="13" t="str">
        <x:v>Positive cash use.</x:v>
      </x:c>
      <x:c r="P184" s="2"/>
    </x:row>
    <x:row r="185" ht="19" customHeight="1">
      <x:c r="A185" s="2"/>
      <x:c r="B185" s="2"/>
      <x:c r="C185" s="2" t="str">
        <x:v>Base input</x:v>
      </x:c>
      <x:c r="D185" s="11"/>
      <x:c r="E185" s="11"/>
      <x:c r="F185" s="11"/>
      <x:c r="G185" s="11"/>
      <x:c r="H185" s="11"/>
      <x:c r="I185" s="48"/>
      <x:c r="J185" s="48"/>
      <x:c r="K185" s="48"/>
      <x:c r="L185" s="48"/>
      <x:c r="M185" s="48"/>
      <x:c r="N185" s="2"/>
      <x:c r="O185" s="2"/>
      <x:c r="P185" s="2"/>
    </x:row>
    <x:row r="186" ht="19" customHeight="1">
      <x:c r="A186" s="2"/>
      <x:c r="B186" s="2"/>
      <x:c r="C186" s="2" t="str">
        <x:v>Bull input</x:v>
      </x:c>
      <x:c r="D186" s="11"/>
      <x:c r="E186" s="11"/>
      <x:c r="F186" s="11"/>
      <x:c r="G186" s="11"/>
      <x:c r="H186" s="11"/>
      <x:c r="I186" s="48"/>
      <x:c r="J186" s="48"/>
      <x:c r="K186" s="48"/>
      <x:c r="L186" s="48"/>
      <x:c r="M186" s="48"/>
      <x:c r="N186" s="2"/>
      <x:c r="O186" s="2"/>
      <x:c r="P186" s="2"/>
    </x:row>
    <x:row r="187" ht="19" customHeight="1">
      <x:c r="A187" s="2"/>
      <x:c r="B187" s="2"/>
      <x:c r="C187" s="2" t="str">
        <x:v>Bear input</x:v>
      </x:c>
      <x:c r="D187" s="11"/>
      <x:c r="E187" s="11"/>
      <x:c r="F187" s="11"/>
      <x:c r="G187" s="11"/>
      <x:c r="H187" s="11"/>
      <x:c r="I187" s="48"/>
      <x:c r="J187" s="48"/>
      <x:c r="K187" s="48"/>
      <x:c r="L187" s="48"/>
      <x:c r="M187" s="48"/>
      <x:c r="N187" s="2"/>
      <x:c r="O187" s="2"/>
      <x:c r="P187" s="2"/>
    </x:row>
    <x:row r="188" ht="19" customHeight="1">
      <x:c r="A188" s="2"/>
      <x:c r="B188" s="2"/>
      <x:c r="C188" s="2"/>
      <x:c r="D188" s="2"/>
      <x:c r="E188" s="2"/>
      <x:c r="F188" s="2"/>
      <x:c r="G188" s="2"/>
      <x:c r="H188" s="2"/>
      <x:c r="I188" s="34"/>
      <x:c r="J188" s="34"/>
      <x:c r="K188" s="34"/>
      <x:c r="L188" s="34"/>
      <x:c r="M188" s="34"/>
      <x:c r="N188" s="2"/>
      <x:c r="O188" s="2"/>
      <x:c r="P188" s="2"/>
    </x:row>
    <x:row r="189" ht="19" customHeight="1">
      <x:c r="A189" s="2"/>
      <x:c r="B189" s="2"/>
      <x:c r="C189" s="18" t="str">
        <x:v>Net non-cash lease-liability additions — active</x:v>
      </x:c>
      <x:c r="D189" s="19"/>
      <x:c r="E189" s="19"/>
      <x:c r="F189" s="19"/>
      <x:c r="G189" s="19"/>
      <x:c r="H189" s="19"/>
      <x:c r="I189" s="49" t="str">
        <x:f>IF(CHOOSE('00_Cover'!$D$10,ISNUMBER(I190),ISNUMBER(I191),ISNUMBER(I192)),CHOOSE('00_Cover'!$D$10,I190,I191,I192),"")</x:f>
      </x:c>
      <x:c r="J189" s="49" t="str">
        <x:f>IF(CHOOSE('00_Cover'!$D$10,ISNUMBER(J190),ISNUMBER(J191),ISNUMBER(J192)),CHOOSE('00_Cover'!$D$10,J190,J191,J192),"")</x:f>
      </x:c>
      <x:c r="K189" s="49" t="str">
        <x:f>IF(CHOOSE('00_Cover'!$D$10,ISNUMBER(K190),ISNUMBER(K191),ISNUMBER(K192)),CHOOSE('00_Cover'!$D$10,K190,K191,K192),"")</x:f>
      </x:c>
      <x:c r="L189" s="49" t="str">
        <x:f>IF(CHOOSE('00_Cover'!$D$10,ISNUMBER(L190),ISNUMBER(L191),ISNUMBER(L192)),CHOOSE('00_Cover'!$D$10,L190,L191,L192),"")</x:f>
      </x:c>
      <x:c r="M189" s="49" t="str">
        <x:f>IF(CHOOSE('00_Cover'!$D$10,ISNUMBER(M190),ISNUMBER(M191),ISNUMBER(M192)),CHOOSE('00_Cover'!$D$10,M190,M191,M192),"")</x:f>
      </x:c>
      <x:c r="N189" s="2"/>
      <x:c r="O189" s="13" t="str">
        <x:v>New leases and terminations.</x:v>
      </x:c>
      <x:c r="P189" s="2"/>
    </x:row>
    <x:row r="190" ht="19" customHeight="1">
      <x:c r="A190" s="2"/>
      <x:c r="B190" s="2"/>
      <x:c r="C190" s="2" t="str">
        <x:v>Base input</x:v>
      </x:c>
      <x:c r="D190" s="11"/>
      <x:c r="E190" s="11"/>
      <x:c r="F190" s="11"/>
      <x:c r="G190" s="11"/>
      <x:c r="H190" s="11"/>
      <x:c r="I190" s="48"/>
      <x:c r="J190" s="48"/>
      <x:c r="K190" s="48"/>
      <x:c r="L190" s="48"/>
      <x:c r="M190" s="48"/>
      <x:c r="N190" s="2"/>
      <x:c r="O190" s="2"/>
      <x:c r="P190" s="2"/>
    </x:row>
    <x:row r="191" ht="19" customHeight="1">
      <x:c r="A191" s="2"/>
      <x:c r="B191" s="2"/>
      <x:c r="C191" s="2" t="str">
        <x:v>Bull input</x:v>
      </x:c>
      <x:c r="D191" s="11"/>
      <x:c r="E191" s="11"/>
      <x:c r="F191" s="11"/>
      <x:c r="G191" s="11"/>
      <x:c r="H191" s="11"/>
      <x:c r="I191" s="48"/>
      <x:c r="J191" s="48"/>
      <x:c r="K191" s="48"/>
      <x:c r="L191" s="48"/>
      <x:c r="M191" s="48"/>
      <x:c r="N191" s="2"/>
      <x:c r="O191" s="2"/>
      <x:c r="P191" s="2"/>
    </x:row>
    <x:row r="192" ht="19" customHeight="1">
      <x:c r="A192" s="2"/>
      <x:c r="B192" s="2"/>
      <x:c r="C192" s="2" t="str">
        <x:v>Bear input</x:v>
      </x:c>
      <x:c r="D192" s="11"/>
      <x:c r="E192" s="11"/>
      <x:c r="F192" s="11"/>
      <x:c r="G192" s="11"/>
      <x:c r="H192" s="11"/>
      <x:c r="I192" s="48"/>
      <x:c r="J192" s="48"/>
      <x:c r="K192" s="48"/>
      <x:c r="L192" s="48"/>
      <x:c r="M192" s="48"/>
      <x:c r="N192" s="2"/>
      <x:c r="O192" s="2"/>
      <x:c r="P192" s="2"/>
    </x:row>
    <x:row r="193" ht="19" customHeight="1">
      <x:c r="A193" s="2"/>
      <x:c r="B193" s="2"/>
      <x:c r="C193" s="2"/>
      <x:c r="D193" s="2"/>
      <x:c r="E193" s="2"/>
      <x:c r="F193" s="2"/>
      <x:c r="G193" s="2"/>
      <x:c r="H193" s="2"/>
      <x:c r="I193" s="34"/>
      <x:c r="J193" s="34"/>
      <x:c r="K193" s="34"/>
      <x:c r="L193" s="34"/>
      <x:c r="M193" s="34"/>
      <x:c r="N193" s="2"/>
      <x:c r="O193" s="2"/>
      <x:c r="P193" s="2"/>
    </x:row>
    <x:row r="194" ht="19" customHeight="1">
      <x:c r="A194" s="2"/>
      <x:c r="B194" s="2"/>
      <x:c r="C194" s="42" t="str">
        <x:v>Cash dividends / parent earnings — active</x:v>
      </x:c>
      <x:c r="D194" s="46" t="n">
        <x:f>-'02_Historical_FS'!D148/'02_Historical_FS'!D60</x:f>
        <x:v>0.16416880462525463</x:v>
      </x:c>
      <x:c r="E194" s="46" t="n">
        <x:f>-'02_Historical_FS'!E148/'02_Historical_FS'!E60</x:f>
        <x:v>0.16481885577632058</x:v>
      </x:c>
      <x:c r="F194" s="46" t="n">
        <x:f>-'02_Historical_FS'!F148/'02_Historical_FS'!F60</x:f>
        <x:v>0.16800585187032838</x:v>
      </x:c>
      <x:c r="G194" s="46" t="n">
        <x:f>-'02_Historical_FS'!G148/'02_Historical_FS'!G60</x:f>
        <x:v>0.22331001638621972</x:v>
      </x:c>
      <x:c r="H194" s="46" t="n">
        <x:f>-'02_Historical_FS'!H148/'02_Historical_FS'!H60</x:f>
        <x:v>0.20481446149804286</x:v>
      </x:c>
      <x:c r="I194" s="46" t="str">
        <x:f>IF(CHOOSE('00_Cover'!$D$10,ISNUMBER(I195),ISNUMBER(I196),ISNUMBER(I197)),CHOOSE('00_Cover'!$D$10,I195,I196,I197),"")</x:f>
      </x:c>
      <x:c r="J194" s="46" t="str">
        <x:f>IF(CHOOSE('00_Cover'!$D$10,ISNUMBER(J195),ISNUMBER(J196),ISNUMBER(J197)),CHOOSE('00_Cover'!$D$10,J195,J196,J197),"")</x:f>
      </x:c>
      <x:c r="K194" s="46" t="str">
        <x:f>IF(CHOOSE('00_Cover'!$D$10,ISNUMBER(K195),ISNUMBER(K196),ISNUMBER(K197)),CHOOSE('00_Cover'!$D$10,K195,K196,K197),"")</x:f>
      </x:c>
      <x:c r="L194" s="46" t="str">
        <x:f>IF(CHOOSE('00_Cover'!$D$10,ISNUMBER(L195),ISNUMBER(L196),ISNUMBER(L197)),CHOOSE('00_Cover'!$D$10,L195,L196,L197),"")</x:f>
      </x:c>
      <x:c r="M194" s="46" t="str">
        <x:f>IF(CHOOSE('00_Cover'!$D$10,ISNUMBER(M195),ISNUMBER(M196),ISNUMBER(M197)),CHOOSE('00_Cover'!$D$10,M195,M196,M197),"")</x:f>
      </x:c>
      <x:c r="N194" s="2"/>
      <x:c r="O194" s="13" t="str">
        <x:v>Cash timing differs from dividend declared for the financial year.</x:v>
      </x:c>
      <x:c r="P194" s="2"/>
    </x:row>
    <x:row r="195" ht="19" customHeight="1">
      <x:c r="A195" s="2"/>
      <x:c r="B195" s="2"/>
      <x:c r="C195" s="21" t="str">
        <x:v>Base input</x:v>
      </x:c>
      <x:c r="D195" s="22"/>
      <x:c r="E195" s="22"/>
      <x:c r="F195" s="22"/>
      <x:c r="G195" s="22"/>
      <x:c r="H195" s="22"/>
      <x:c r="I195" s="45"/>
      <x:c r="J195" s="45"/>
      <x:c r="K195" s="45"/>
      <x:c r="L195" s="45"/>
      <x:c r="M195" s="45"/>
      <x:c r="N195" s="2"/>
      <x:c r="O195" s="2"/>
      <x:c r="P195" s="2"/>
    </x:row>
    <x:row r="196" ht="19" customHeight="1">
      <x:c r="A196" s="2"/>
      <x:c r="B196" s="2"/>
      <x:c r="C196" s="21" t="str">
        <x:v>Bull input</x:v>
      </x:c>
      <x:c r="D196" s="22"/>
      <x:c r="E196" s="22"/>
      <x:c r="F196" s="22"/>
      <x:c r="G196" s="22"/>
      <x:c r="H196" s="22"/>
      <x:c r="I196" s="45"/>
      <x:c r="J196" s="45"/>
      <x:c r="K196" s="45"/>
      <x:c r="L196" s="45"/>
      <x:c r="M196" s="45"/>
      <x:c r="N196" s="2"/>
      <x:c r="O196" s="2"/>
      <x:c r="P196" s="2"/>
    </x:row>
    <x:row r="197" ht="19" customHeight="1">
      <x:c r="A197" s="2"/>
      <x:c r="B197" s="2"/>
      <x:c r="C197" s="21" t="str">
        <x:v>Bear input</x:v>
      </x:c>
      <x:c r="D197" s="22"/>
      <x:c r="E197" s="22"/>
      <x:c r="F197" s="22"/>
      <x:c r="G197" s="22"/>
      <x:c r="H197" s="22"/>
      <x:c r="I197" s="45"/>
      <x:c r="J197" s="45"/>
      <x:c r="K197" s="45"/>
      <x:c r="L197" s="45"/>
      <x:c r="M197" s="45"/>
      <x:c r="N197" s="2"/>
      <x:c r="O197" s="2"/>
      <x:c r="P197" s="2"/>
    </x:row>
    <x:row r="198" ht="19" customHeight="1">
      <x:c r="A198" s="2"/>
      <x:c r="B198" s="2"/>
      <x:c r="C198" s="2"/>
      <x:c r="D198" s="2"/>
      <x:c r="E198" s="2"/>
      <x:c r="F198" s="2"/>
      <x:c r="G198" s="2"/>
      <x:c r="H198" s="2"/>
      <x:c r="I198" s="34"/>
      <x:c r="J198" s="34"/>
      <x:c r="K198" s="34"/>
      <x:c r="L198" s="34"/>
      <x:c r="M198" s="34"/>
      <x:c r="N198" s="2"/>
      <x:c r="O198" s="2"/>
      <x:c r="P198" s="2"/>
    </x:row>
    <x:row r="199" ht="19" customHeight="1">
      <x:c r="A199" s="2"/>
      <x:c r="B199" s="2"/>
      <x:c r="C199" s="18" t="str">
        <x:v>Cash equity issuance — active</x:v>
      </x:c>
      <x:c r="D199" s="49" t="n">
        <x:f>IF(ISNUMBER('02_Historical_FS'!D141),'02_Historical_FS'!D141,"")</x:f>
        <x:v>132.88</x:v>
      </x:c>
      <x:c r="E199" s="49" t="n">
        <x:f>IF(ISNUMBER('02_Historical_FS'!E141),'02_Historical_FS'!E141,"")</x:f>
        <x:v>127.65</x:v>
      </x:c>
      <x:c r="F199" s="49" t="n">
        <x:f>IF(ISNUMBER('02_Historical_FS'!F141),'02_Historical_FS'!F141,"")</x:f>
        <x:v>193.95</x:v>
      </x:c>
      <x:c r="G199" s="49" t="n">
        <x:f>IF(ISNUMBER('02_Historical_FS'!G141),'02_Historical_FS'!G141,"")</x:f>
        <x:v>72.7</x:v>
      </x:c>
      <x:c r="H199" s="49" t="n">
        <x:f>IF(ISNUMBER('02_Historical_FS'!H141),'02_Historical_FS'!H141,"")</x:f>
        <x:v>52.56</x:v>
      </x:c>
      <x:c r="I199" s="49" t="str">
        <x:f>IF(CHOOSE('00_Cover'!$D$10,ISNUMBER(I200),ISNUMBER(I201),ISNUMBER(I202)),CHOOSE('00_Cover'!$D$10,I200,I201,I202),"")</x:f>
      </x:c>
      <x:c r="J199" s="49" t="str">
        <x:f>IF(CHOOSE('00_Cover'!$D$10,ISNUMBER(J200),ISNUMBER(J201),ISNUMBER(J202)),CHOOSE('00_Cover'!$D$10,J200,J201,J202),"")</x:f>
      </x:c>
      <x:c r="K199" s="49" t="str">
        <x:f>IF(CHOOSE('00_Cover'!$D$10,ISNUMBER(K200),ISNUMBER(K201),ISNUMBER(K202)),CHOOSE('00_Cover'!$D$10,K200,K201,K202),"")</x:f>
      </x:c>
      <x:c r="L199" s="49" t="str">
        <x:f>IF(CHOOSE('00_Cover'!$D$10,ISNUMBER(L200),ISNUMBER(L201),ISNUMBER(L202)),CHOOSE('00_Cover'!$D$10,L200,L201,L202),"")</x:f>
      </x:c>
      <x:c r="M199" s="49" t="str">
        <x:f>IF(CHOOSE('00_Cover'!$D$10,ISNUMBER(M200),ISNUMBER(M201),ISNUMBER(M202)),CHOOSE('00_Cover'!$D$10,M200,M201,M202),"")</x:f>
      </x:c>
      <x:c r="N199" s="2"/>
      <x:c r="O199" s="13" t="str">
        <x:v>Employee exercises and other issuance.</x:v>
      </x:c>
      <x:c r="P199" s="2"/>
    </x:row>
    <x:row r="200" ht="19" customHeight="1">
      <x:c r="A200" s="2"/>
      <x:c r="B200" s="2"/>
      <x:c r="C200" s="2" t="str">
        <x:v>Base input</x:v>
      </x:c>
      <x:c r="D200" s="11"/>
      <x:c r="E200" s="11"/>
      <x:c r="F200" s="11"/>
      <x:c r="G200" s="11"/>
      <x:c r="H200" s="11"/>
      <x:c r="I200" s="48"/>
      <x:c r="J200" s="48"/>
      <x:c r="K200" s="48"/>
      <x:c r="L200" s="48"/>
      <x:c r="M200" s="48"/>
      <x:c r="N200" s="2"/>
      <x:c r="O200" s="2"/>
      <x:c r="P200" s="2"/>
    </x:row>
    <x:row r="201" ht="19" customHeight="1">
      <x:c r="A201" s="2"/>
      <x:c r="B201" s="2"/>
      <x:c r="C201" s="2" t="str">
        <x:v>Bull input</x:v>
      </x:c>
      <x:c r="D201" s="11"/>
      <x:c r="E201" s="11"/>
      <x:c r="F201" s="11"/>
      <x:c r="G201" s="11"/>
      <x:c r="H201" s="11"/>
      <x:c r="I201" s="48"/>
      <x:c r="J201" s="48"/>
      <x:c r="K201" s="48"/>
      <x:c r="L201" s="48"/>
      <x:c r="M201" s="48"/>
      <x:c r="N201" s="2"/>
      <x:c r="O201" s="2"/>
      <x:c r="P201" s="2"/>
    </x:row>
    <x:row r="202" ht="19" customHeight="1">
      <x:c r="A202" s="2"/>
      <x:c r="B202" s="2"/>
      <x:c r="C202" s="2" t="str">
        <x:v>Bear input</x:v>
      </x:c>
      <x:c r="D202" s="11"/>
      <x:c r="E202" s="11"/>
      <x:c r="F202" s="11"/>
      <x:c r="G202" s="11"/>
      <x:c r="H202" s="11"/>
      <x:c r="I202" s="48"/>
      <x:c r="J202" s="48"/>
      <x:c r="K202" s="48"/>
      <x:c r="L202" s="48"/>
      <x:c r="M202" s="48"/>
      <x:c r="N202" s="2"/>
      <x:c r="O202" s="2"/>
      <x:c r="P202" s="2"/>
    </x:row>
    <x:row r="203" ht="19" customHeight="1">
      <x:c r="A203" s="2"/>
      <x:c r="B203" s="2"/>
      <x:c r="C203" s="2"/>
      <x:c r="D203" s="2"/>
      <x:c r="E203" s="2"/>
      <x:c r="F203" s="2"/>
      <x:c r="G203" s="2"/>
      <x:c r="H203" s="2"/>
      <x:c r="I203" s="34"/>
      <x:c r="J203" s="34"/>
      <x:c r="K203" s="34"/>
      <x:c r="L203" s="34"/>
      <x:c r="M203" s="34"/>
      <x:c r="N203" s="2"/>
      <x:c r="O203" s="2"/>
      <x:c r="P203" s="2"/>
    </x:row>
    <x:row r="204" ht="19" customHeight="1">
      <x:c r="A204" s="2"/>
      <x:c r="B204" s="2"/>
      <x:c r="C204" s="18" t="str">
        <x:v>Other parent-equity changes — active</x:v>
      </x:c>
      <x:c r="D204" s="19"/>
      <x:c r="E204" s="19"/>
      <x:c r="F204" s="19"/>
      <x:c r="G204" s="19"/>
      <x:c r="H204" s="19"/>
      <x:c r="I204" s="49" t="str">
        <x:f>IF(CHOOSE('00_Cover'!$D$10,ISNUMBER(I205),ISNUMBER(I206),ISNUMBER(I207)),CHOOSE('00_Cover'!$D$10,I205,I206,I207),"")</x:f>
      </x:c>
      <x:c r="J204" s="49" t="str">
        <x:f>IF(CHOOSE('00_Cover'!$D$10,ISNUMBER(J205),ISNUMBER(J206),ISNUMBER(J207)),CHOOSE('00_Cover'!$D$10,J205,J206,J207),"")</x:f>
      </x:c>
      <x:c r="K204" s="49" t="str">
        <x:f>IF(CHOOSE('00_Cover'!$D$10,ISNUMBER(K205),ISNUMBER(K206),ISNUMBER(K207)),CHOOSE('00_Cover'!$D$10,K205,K206,K207),"")</x:f>
      </x:c>
      <x:c r="L204" s="49" t="str">
        <x:f>IF(CHOOSE('00_Cover'!$D$10,ISNUMBER(L205),ISNUMBER(L206),ISNUMBER(L207)),CHOOSE('00_Cover'!$D$10,L205,L206,L207),"")</x:f>
      </x:c>
      <x:c r="M204" s="49" t="str">
        <x:f>IF(CHOOSE('00_Cover'!$D$10,ISNUMBER(M205),ISNUMBER(M206),ISNUMBER(M207)),CHOOSE('00_Cover'!$D$10,M205,M206,M207),"")</x:f>
      </x:c>
      <x:c r="N204" s="2"/>
      <x:c r="O204" s="13" t="str">
        <x:v>OCI, SBC and other non-cash equity changes; separate from cash issuance.</x:v>
      </x:c>
      <x:c r="P204" s="2"/>
    </x:row>
    <x:row r="205" ht="19" customHeight="1">
      <x:c r="A205" s="2"/>
      <x:c r="B205" s="2"/>
      <x:c r="C205" s="2" t="str">
        <x:v>Base input</x:v>
      </x:c>
      <x:c r="D205" s="11"/>
      <x:c r="E205" s="11"/>
      <x:c r="F205" s="11"/>
      <x:c r="G205" s="11"/>
      <x:c r="H205" s="11"/>
      <x:c r="I205" s="48"/>
      <x:c r="J205" s="48"/>
      <x:c r="K205" s="48"/>
      <x:c r="L205" s="48"/>
      <x:c r="M205" s="48"/>
      <x:c r="N205" s="2"/>
      <x:c r="O205" s="2"/>
      <x:c r="P205" s="2"/>
    </x:row>
    <x:row r="206" ht="19" customHeight="1">
      <x:c r="A206" s="2"/>
      <x:c r="B206" s="2"/>
      <x:c r="C206" s="2" t="str">
        <x:v>Bull input</x:v>
      </x:c>
      <x:c r="D206" s="11"/>
      <x:c r="E206" s="11"/>
      <x:c r="F206" s="11"/>
      <x:c r="G206" s="11"/>
      <x:c r="H206" s="11"/>
      <x:c r="I206" s="48"/>
      <x:c r="J206" s="48"/>
      <x:c r="K206" s="48"/>
      <x:c r="L206" s="48"/>
      <x:c r="M206" s="48"/>
      <x:c r="N206" s="2"/>
      <x:c r="O206" s="2"/>
      <x:c r="P206" s="2"/>
    </x:row>
    <x:row r="207" ht="19" customHeight="1">
      <x:c r="A207" s="2"/>
      <x:c r="B207" s="2"/>
      <x:c r="C207" s="2" t="str">
        <x:v>Bear input</x:v>
      </x:c>
      <x:c r="D207" s="11"/>
      <x:c r="E207" s="11"/>
      <x:c r="F207" s="11"/>
      <x:c r="G207" s="11"/>
      <x:c r="H207" s="11"/>
      <x:c r="I207" s="48"/>
      <x:c r="J207" s="48"/>
      <x:c r="K207" s="48"/>
      <x:c r="L207" s="48"/>
      <x:c r="M207" s="48"/>
      <x:c r="N207" s="2"/>
      <x:c r="O207" s="2"/>
      <x:c r="P207" s="2"/>
    </x:row>
    <x:row r="208" ht="19" customHeight="1">
      <x:c r="A208" s="2"/>
      <x:c r="B208" s="2"/>
      <x:c r="C208" s="2"/>
      <x:c r="D208" s="2"/>
      <x:c r="E208" s="2"/>
      <x:c r="F208" s="2"/>
      <x:c r="G208" s="2"/>
      <x:c r="H208" s="2"/>
      <x:c r="I208" s="34"/>
      <x:c r="J208" s="34"/>
      <x:c r="K208" s="34"/>
      <x:c r="L208" s="34"/>
      <x:c r="M208" s="34"/>
      <x:c r="N208" s="2"/>
      <x:c r="O208" s="2"/>
      <x:c r="P208" s="2"/>
    </x:row>
    <x:row r="209" ht="19" customHeight="1">
      <x:c r="A209" s="2"/>
      <x:c r="B209" s="2"/>
      <x:c r="C209" s="18" t="str">
        <x:v>Other changes in NCI equity — active</x:v>
      </x:c>
      <x:c r="D209" s="19"/>
      <x:c r="E209" s="19"/>
      <x:c r="F209" s="19"/>
      <x:c r="G209" s="19"/>
      <x:c r="H209" s="19"/>
      <x:c r="I209" s="49" t="str">
        <x:f>IF(CHOOSE('00_Cover'!$D$10,ISNUMBER(I210),ISNUMBER(I211),ISNUMBER(I212)),CHOOSE('00_Cover'!$D$10,I210,I211,I212),"")</x:f>
      </x:c>
      <x:c r="J209" s="49" t="str">
        <x:f>IF(CHOOSE('00_Cover'!$D$10,ISNUMBER(J210),ISNUMBER(J211),ISNUMBER(J212)),CHOOSE('00_Cover'!$D$10,J210,J211,J212),"")</x:f>
      </x:c>
      <x:c r="K209" s="49" t="str">
        <x:f>IF(CHOOSE('00_Cover'!$D$10,ISNUMBER(K210),ISNUMBER(K211),ISNUMBER(K212)),CHOOSE('00_Cover'!$D$10,K210,K211,K212),"")</x:f>
      </x:c>
      <x:c r="L209" s="49" t="str">
        <x:f>IF(CHOOSE('00_Cover'!$D$10,ISNUMBER(L210),ISNUMBER(L211),ISNUMBER(L212)),CHOOSE('00_Cover'!$D$10,L210,L211,L212),"")</x:f>
      </x:c>
      <x:c r="M209" s="49" t="str">
        <x:f>IF(CHOOSE('00_Cover'!$D$10,ISNUMBER(M210),ISNUMBER(M211),ISNUMBER(M212)),CHOOSE('00_Cover'!$D$10,M210,M211,M212),"")</x:f>
      </x:c>
      <x:c r="N209" s="2"/>
      <x:c r="O209" s="13" t="str">
        <x:v>NCI dividends, capital contributions and OCI.</x:v>
      </x:c>
      <x:c r="P209" s="2"/>
    </x:row>
    <x:row r="210" ht="19" customHeight="1">
      <x:c r="A210" s="2"/>
      <x:c r="B210" s="2"/>
      <x:c r="C210" s="2" t="str">
        <x:v>Base input</x:v>
      </x:c>
      <x:c r="D210" s="11"/>
      <x:c r="E210" s="11"/>
      <x:c r="F210" s="11"/>
      <x:c r="G210" s="11"/>
      <x:c r="H210" s="11"/>
      <x:c r="I210" s="48"/>
      <x:c r="J210" s="48"/>
      <x:c r="K210" s="48"/>
      <x:c r="L210" s="48"/>
      <x:c r="M210" s="48"/>
      <x:c r="N210" s="2"/>
      <x:c r="O210" s="2"/>
      <x:c r="P210" s="2"/>
    </x:row>
    <x:row r="211" ht="19" customHeight="1">
      <x:c r="A211" s="2"/>
      <x:c r="B211" s="2"/>
      <x:c r="C211" s="2" t="str">
        <x:v>Bull input</x:v>
      </x:c>
      <x:c r="D211" s="11"/>
      <x:c r="E211" s="11"/>
      <x:c r="F211" s="11"/>
      <x:c r="G211" s="11"/>
      <x:c r="H211" s="11"/>
      <x:c r="I211" s="48"/>
      <x:c r="J211" s="48"/>
      <x:c r="K211" s="48"/>
      <x:c r="L211" s="48"/>
      <x:c r="M211" s="48"/>
      <x:c r="N211" s="2"/>
      <x:c r="O211" s="2"/>
      <x:c r="P211" s="2"/>
    </x:row>
    <x:row r="212" ht="19" customHeight="1">
      <x:c r="A212" s="2"/>
      <x:c r="B212" s="2"/>
      <x:c r="C212" s="2" t="str">
        <x:v>Bear input</x:v>
      </x:c>
      <x:c r="D212" s="11"/>
      <x:c r="E212" s="11"/>
      <x:c r="F212" s="11"/>
      <x:c r="G212" s="11"/>
      <x:c r="H212" s="11"/>
      <x:c r="I212" s="48"/>
      <x:c r="J212" s="48"/>
      <x:c r="K212" s="48"/>
      <x:c r="L212" s="48"/>
      <x:c r="M212" s="48"/>
      <x:c r="N212" s="2"/>
      <x:c r="O212" s="2"/>
      <x:c r="P212" s="2"/>
    </x:row>
    <x:row r="213" ht="19" customHeight="1">
      <x:c r="A213" s="2"/>
      <x:c r="B213" s="2"/>
      <x:c r="C213" s="2"/>
      <x:c r="D213" s="2"/>
      <x:c r="E213" s="2"/>
      <x:c r="F213" s="2"/>
      <x:c r="G213" s="2"/>
      <x:c r="H213" s="2"/>
      <x:c r="I213" s="34"/>
      <x:c r="J213" s="34"/>
      <x:c r="K213" s="34"/>
      <x:c r="L213" s="34"/>
      <x:c r="M213" s="34"/>
      <x:c r="N213" s="2"/>
      <x:c r="O213" s="2"/>
      <x:c r="P213" s="2"/>
    </x:row>
    <x:row r="214" ht="19" customHeight="1">
      <x:c r="A214" s="2"/>
      <x:c r="B214" s="2"/>
      <x:c r="C214" s="18" t="str">
        <x:v>Diluted share count (million) — active</x:v>
      </x:c>
      <x:c r="D214" s="49" t="n">
        <x:f>IF(ISNUMBER('02_Historical_FS'!D66),'02_Historical_FS'!D66,"")</x:f>
        <x:v>149.923144</x:v>
      </x:c>
      <x:c r="E214" s="49" t="n">
        <x:f>IF(ISNUMBER('02_Historical_FS'!E66),'02_Historical_FS'!E66,"")</x:f>
        <x:v>150.099705</x:v>
      </x:c>
      <x:c r="F214" s="49" t="n">
        <x:f>IF(ISNUMBER('02_Historical_FS'!F66),'02_Historical_FS'!F66,"")</x:f>
        <x:v>150.566475</x:v>
      </x:c>
      <x:c r="G214" s="49" t="n">
        <x:f>IF(ISNUMBER('02_Historical_FS'!G66),'02_Historical_FS'!G66,"")</x:f>
        <x:v>150.974137</x:v>
      </x:c>
      <x:c r="H214" s="49" t="n">
        <x:f>IF(ISNUMBER('02_Historical_FS'!H66),'02_Historical_FS'!H66,"")</x:f>
        <x:v>151.001427</x:v>
      </x:c>
      <x:c r="I214" s="49" t="str">
        <x:f>IF(CHOOSE('00_Cover'!$D$10,ISNUMBER(I215),ISNUMBER(I216),ISNUMBER(I217)),CHOOSE('00_Cover'!$D$10,I215,I216,I217),"")</x:f>
      </x:c>
      <x:c r="J214" s="49" t="str">
        <x:f>IF(CHOOSE('00_Cover'!$D$10,ISNUMBER(J215),ISNUMBER(J216),ISNUMBER(J217)),CHOOSE('00_Cover'!$D$10,J215,J216,J217),"")</x:f>
      </x:c>
      <x:c r="K214" s="49" t="str">
        <x:f>IF(CHOOSE('00_Cover'!$D$10,ISNUMBER(K215),ISNUMBER(K216),ISNUMBER(K217)),CHOOSE('00_Cover'!$D$10,K215,K216,K217),"")</x:f>
      </x:c>
      <x:c r="L214" s="49" t="str">
        <x:f>IF(CHOOSE('00_Cover'!$D$10,ISNUMBER(L215),ISNUMBER(L216),ISNUMBER(L217)),CHOOSE('00_Cover'!$D$10,L215,L216,L217),"")</x:f>
      </x:c>
      <x:c r="M214" s="49" t="str">
        <x:f>IF(CHOOSE('00_Cover'!$D$10,ISNUMBER(M215),ISNUMBER(M216),ISNUMBER(M217)),CHOOSE('00_Cover'!$D$10,M215,M216,M217),"")</x:f>
      </x:c>
      <x:c r="N214" s="2"/>
      <x:c r="O214" s="13" t="str">
        <x:v>Forecast share base for EPS and valuation.</x:v>
      </x:c>
      <x:c r="P214" s="2"/>
    </x:row>
    <x:row r="215" ht="19" customHeight="1">
      <x:c r="A215" s="2"/>
      <x:c r="B215" s="2"/>
      <x:c r="C215" s="2" t="str">
        <x:v>Base input</x:v>
      </x:c>
      <x:c r="D215" s="11"/>
      <x:c r="E215" s="11"/>
      <x:c r="F215" s="11"/>
      <x:c r="G215" s="11"/>
      <x:c r="H215" s="11"/>
      <x:c r="I215" s="48"/>
      <x:c r="J215" s="48"/>
      <x:c r="K215" s="48"/>
      <x:c r="L215" s="48"/>
      <x:c r="M215" s="48"/>
      <x:c r="N215" s="2"/>
      <x:c r="O215" s="2"/>
      <x:c r="P215" s="2"/>
    </x:row>
    <x:row r="216" ht="19" customHeight="1">
      <x:c r="A216" s="2"/>
      <x:c r="B216" s="2"/>
      <x:c r="C216" s="2" t="str">
        <x:v>Bull input</x:v>
      </x:c>
      <x:c r="D216" s="11"/>
      <x:c r="E216" s="11"/>
      <x:c r="F216" s="11"/>
      <x:c r="G216" s="11"/>
      <x:c r="H216" s="11"/>
      <x:c r="I216" s="48"/>
      <x:c r="J216" s="48"/>
      <x:c r="K216" s="48"/>
      <x:c r="L216" s="48"/>
      <x:c r="M216" s="48"/>
      <x:c r="N216" s="2"/>
      <x:c r="O216" s="2"/>
      <x:c r="P216" s="2"/>
    </x:row>
    <x:row r="217" ht="19" customHeight="1">
      <x:c r="A217" s="2"/>
      <x:c r="B217" s="2"/>
      <x:c r="C217" s="2" t="str">
        <x:v>Bear input</x:v>
      </x:c>
      <x:c r="D217" s="11"/>
      <x:c r="E217" s="11"/>
      <x:c r="F217" s="11"/>
      <x:c r="G217" s="11"/>
      <x:c r="H217" s="11"/>
      <x:c r="I217" s="48"/>
      <x:c r="J217" s="48"/>
      <x:c r="K217" s="48"/>
      <x:c r="L217" s="48"/>
      <x:c r="M217" s="48"/>
      <x:c r="N217" s="2"/>
      <x:c r="O217" s="2"/>
      <x:c r="P217" s="2"/>
    </x:row>
    <x:row r="218" ht="19" customHeight="1">
      <x:c r="A218" s="2"/>
      <x:c r="B218" s="2"/>
      <x:c r="C218" s="2"/>
      <x:c r="D218" s="2"/>
      <x:c r="E218" s="2"/>
      <x:c r="F218" s="2"/>
      <x:c r="G218" s="2"/>
      <x:c r="H218" s="2"/>
      <x:c r="I218" s="34"/>
      <x:c r="J218" s="34"/>
      <x:c r="K218" s="34"/>
      <x:c r="L218" s="34"/>
      <x:c r="M218" s="34"/>
      <x:c r="N218" s="2"/>
      <x:c r="O218" s="2"/>
      <x:c r="P218" s="2"/>
    </x:row>
    <x:row r="219" ht="19" customHeight="1">
      <x:c r="A219" s="2"/>
      <x:c r="B219" s="2"/>
      <x:c r="C219" s="42" t="str">
        <x:v>Domestic W&amp;C nominal growth, calculated</x:v>
      </x:c>
      <x:c r="D219" s="46" t="str">
        <x:f>IF(ISNUMBER('03_Segment_History'!D28),'03_Segment_History'!D28,"")</x:f>
      </x:c>
      <x:c r="E219" s="46" t="n">
        <x:f>IF(ISNUMBER('03_Segment_History'!E28),'03_Segment_History'!E28,"")</x:f>
        <x:v>0.14131272100498493</x:v>
      </x:c>
      <x:c r="F219" s="46" t="n">
        <x:f>IF(ISNUMBER('03_Segment_History'!F28),'03_Segment_History'!F28,"")</x:f>
        <x:v>0.2961329442251932</x:v>
      </x:c>
      <x:c r="G219" s="46" t="n">
        <x:f>IF(ISNUMBER('03_Segment_History'!G28),'03_Segment_History'!G28,"")</x:f>
        <x:v>0.21351790495584289</x:v>
      </x:c>
      <x:c r="H219" s="46" t="n">
        <x:f>IF(ISNUMBER('03_Segment_History'!H28),'03_Segment_History'!H28,"")</x:f>
        <x:v>0.3458089666615878</x:v>
      </x:c>
      <x:c r="I219" s="50" t="str">
        <x:f>IF(AND(ISNUMBER(I9),ISNUMBER(I14),ISNUMBER(I19)),(1+I9)*(1+I14)*(1+I19)-1,"")</x:f>
      </x:c>
      <x:c r="J219" s="50" t="str">
        <x:f>IF(AND(ISNUMBER(J9),ISNUMBER(J14),ISNUMBER(J19)),(1+J9)*(1+J14)*(1+J19)-1,"")</x:f>
      </x:c>
      <x:c r="K219" s="50" t="str">
        <x:f>IF(AND(ISNUMBER(K9),ISNUMBER(K14),ISNUMBER(K19)),(1+K9)*(1+K14)*(1+K19)-1,"")</x:f>
      </x:c>
      <x:c r="L219" s="50" t="str">
        <x:f>IF(AND(ISNUMBER(L9),ISNUMBER(L14),ISNUMBER(L19)),(1+L9)*(1+L14)*(1+L19)-1,"")</x:f>
      </x:c>
      <x:c r="M219" s="50" t="str">
        <x:f>IF(AND(ISNUMBER(M9),ISNUMBER(M14),ISNUMBER(M19)),(1+M9)*(1+M14)*(1+M19)-1,"")</x:f>
      </x:c>
      <x:c r="N219" s="2"/>
      <x:c r="O219" s="2"/>
      <x:c r="P219" s="2"/>
    </x:row>
    <x:row r="220" ht="19" customHeight="1">
      <x:c r="A220" s="2"/>
      <x:c r="B220" s="2"/>
      <x:c r="C220" s="2"/>
      <x:c r="D220" s="2"/>
      <x:c r="E220" s="2"/>
      <x:c r="F220" s="2"/>
      <x:c r="G220" s="2"/>
      <x:c r="H220" s="2"/>
      <x:c r="I220" s="34"/>
      <x:c r="J220" s="34"/>
      <x:c r="K220" s="34"/>
      <x:c r="L220" s="34"/>
      <x:c r="M220" s="34"/>
      <x:c r="N220" s="2"/>
      <x:c r="O220" s="2"/>
      <x:c r="P220" s="2"/>
    </x:row>
    <x:row r="221" ht="19" customHeight="1">
      <x:c r="A221" s="2"/>
      <x:c r="B221" s="2"/>
      <x:c r="C221" s="2"/>
      <x:c r="D221" s="2"/>
      <x:c r="E221" s="2"/>
      <x:c r="F221" s="2"/>
      <x:c r="G221" s="2"/>
      <x:c r="H221" s="2"/>
      <x:c r="I221" s="34"/>
      <x:c r="J221" s="34"/>
      <x:c r="K221" s="34"/>
      <x:c r="L221" s="34"/>
      <x:c r="M221" s="34"/>
      <x:c r="N221" s="2"/>
      <x:c r="O221" s="2"/>
      <x:c r="P221" s="2"/>
    </x:row>
    <x:row r="222" ht="19" customHeight="1">
      <x:c r="A222" s="2"/>
      <x:c r="B222" s="2"/>
      <x:c r="C222" s="2"/>
      <x:c r="D222" s="2"/>
      <x:c r="E222" s="2"/>
      <x:c r="F222" s="2"/>
      <x:c r="G222" s="2"/>
      <x:c r="H222" s="2"/>
      <x:c r="I222" s="34"/>
      <x:c r="J222" s="34"/>
      <x:c r="K222" s="34"/>
      <x:c r="L222" s="34"/>
      <x:c r="M222" s="34"/>
      <x:c r="N222" s="2"/>
      <x:c r="O222" s="2"/>
      <x:c r="P222" s="2"/>
    </x:row>
    <x:row r="223" ht="19" customHeight="1">
      <x:c r="A223" s="2"/>
      <x:c r="B223" s="2"/>
      <x:c r="C223" s="2"/>
      <x:c r="D223" s="2"/>
      <x:c r="E223" s="2"/>
      <x:c r="F223" s="2"/>
      <x:c r="G223" s="2"/>
      <x:c r="H223" s="2"/>
      <x:c r="I223" s="34"/>
      <x:c r="J223" s="34"/>
      <x:c r="K223" s="34"/>
      <x:c r="L223" s="34"/>
      <x:c r="M223" s="34"/>
      <x:c r="N223" s="2"/>
      <x:c r="O223" s="2"/>
      <x:c r="P223" s="2"/>
    </x:row>
    <x:row r="224" ht="19" customHeight="1">
      <x:c r="A224" s="2"/>
      <x:c r="B224" s="2"/>
      <x:c r="C224" s="2"/>
      <x:c r="D224" s="2"/>
      <x:c r="E224" s="2"/>
      <x:c r="F224" s="2"/>
      <x:c r="G224" s="2"/>
      <x:c r="H224" s="2"/>
      <x:c r="I224" s="34"/>
      <x:c r="J224" s="34"/>
      <x:c r="K224" s="34"/>
      <x:c r="L224" s="34"/>
      <x:c r="M224" s="34"/>
      <x:c r="N224" s="2"/>
      <x:c r="O224" s="2"/>
      <x:c r="P224" s="2"/>
    </x:row>
    <x:row r="225" ht="19" customHeight="1">
      <x:c r="A225" s="2"/>
      <x:c r="B225" s="2"/>
      <x:c r="C225" s="2"/>
      <x:c r="D225" s="2"/>
      <x:c r="E225" s="2"/>
      <x:c r="F225" s="2"/>
      <x:c r="G225" s="2"/>
      <x:c r="H225" s="2"/>
      <x:c r="I225" s="34"/>
      <x:c r="J225" s="34"/>
      <x:c r="K225" s="34"/>
      <x:c r="L225" s="34"/>
      <x:c r="M225" s="34"/>
      <x:c r="N225" s="2"/>
      <x:c r="O225" s="2"/>
      <x:c r="P225" s="2"/>
    </x:row>
    <x:row r="226" ht="19" customHeight="1">
      <x:c r="A226" s="2"/>
      <x:c r="B226" s="2"/>
      <x:c r="C226" s="2"/>
      <x:c r="D226" s="2"/>
      <x:c r="E226" s="2"/>
      <x:c r="F226" s="2"/>
      <x:c r="G226" s="2"/>
      <x:c r="H226" s="2"/>
      <x:c r="I226" s="34"/>
      <x:c r="J226" s="34"/>
      <x:c r="K226" s="34"/>
      <x:c r="L226" s="34"/>
      <x:c r="M226" s="34"/>
      <x:c r="N226" s="2"/>
      <x:c r="O226" s="2"/>
      <x:c r="P226" s="2"/>
    </x:row>
    <x:row r="227" ht="19" customHeight="1">
      <x:c r="A227" s="2"/>
      <x:c r="B227" s="2"/>
      <x:c r="C227" s="2"/>
      <x:c r="D227" s="2"/>
      <x:c r="E227" s="2"/>
      <x:c r="F227" s="2"/>
      <x:c r="G227" s="2"/>
      <x:c r="H227" s="2"/>
      <x:c r="I227" s="34"/>
      <x:c r="J227" s="34"/>
      <x:c r="K227" s="34"/>
      <x:c r="L227" s="34"/>
      <x:c r="M227" s="34"/>
      <x:c r="N227" s="2"/>
      <x:c r="O227" s="2"/>
      <x:c r="P227" s="2"/>
    </x:row>
    <x:row r="228" ht="19" customHeight="1">
      <x:c r="A228" s="2"/>
      <x:c r="B228" s="2"/>
      <x:c r="C228" s="2"/>
      <x:c r="D228" s="2"/>
      <x:c r="E228" s="2"/>
      <x:c r="F228" s="2"/>
      <x:c r="G228" s="2"/>
      <x:c r="H228" s="2"/>
      <x:c r="I228" s="34"/>
      <x:c r="J228" s="34"/>
      <x:c r="K228" s="34"/>
      <x:c r="L228" s="34"/>
      <x:c r="M228" s="34"/>
      <x:c r="N228" s="2"/>
      <x:c r="O228" s="2"/>
      <x:c r="P228" s="2"/>
    </x:row>
    <x:row r="229" ht="19" customHeight="1">
      <x:c r="A229" s="2"/>
      <x:c r="B229" s="2"/>
      <x:c r="C229" s="2"/>
      <x:c r="D229" s="2"/>
      <x:c r="E229" s="2"/>
      <x:c r="F229" s="2"/>
      <x:c r="G229" s="2"/>
      <x:c r="H229" s="2"/>
      <x:c r="I229" s="34"/>
      <x:c r="J229" s="34"/>
      <x:c r="K229" s="34"/>
      <x:c r="L229" s="34"/>
      <x:c r="M229" s="34"/>
      <x:c r="N229" s="2"/>
      <x:c r="O229" s="2"/>
      <x:c r="P229" s="2"/>
    </x:row>
    <x:row r="230" ht="19" customHeight="1">
      <x:c r="A230" s="2"/>
      <x:c r="B230" s="2"/>
      <x:c r="C230" s="2"/>
      <x:c r="D230" s="2"/>
      <x:c r="E230" s="2"/>
      <x:c r="F230" s="2"/>
      <x:c r="G230" s="2"/>
      <x:c r="H230" s="2"/>
      <x:c r="I230" s="34"/>
      <x:c r="J230" s="34"/>
      <x:c r="K230" s="34"/>
      <x:c r="L230" s="34"/>
      <x:c r="M230" s="34"/>
      <x:c r="N230" s="2"/>
      <x:c r="O230" s="2"/>
      <x:c r="P230" s="2"/>
    </x:row>
    <x:row r="231" ht="19" customHeight="1">
      <x:c r="A231" s="2"/>
      <x:c r="B231" s="2"/>
      <x:c r="C231" s="2"/>
      <x:c r="D231" s="2"/>
      <x:c r="E231" s="2"/>
      <x:c r="F231" s="2"/>
      <x:c r="G231" s="2"/>
      <x:c r="H231" s="2"/>
      <x:c r="I231" s="34"/>
      <x:c r="J231" s="34"/>
      <x:c r="K231" s="34"/>
      <x:c r="L231" s="34"/>
      <x:c r="M231" s="34"/>
      <x:c r="N231" s="2"/>
      <x:c r="O231" s="2"/>
      <x:c r="P231" s="2"/>
    </x:row>
    <x:row r="232" ht="19" customHeight="1">
      <x:c r="A232" s="2"/>
      <x:c r="B232" s="2"/>
      <x:c r="C232" s="2"/>
      <x:c r="D232" s="2"/>
      <x:c r="E232" s="2"/>
      <x:c r="F232" s="2"/>
      <x:c r="G232" s="2"/>
      <x:c r="H232" s="2"/>
      <x:c r="I232" s="34"/>
      <x:c r="J232" s="34"/>
      <x:c r="K232" s="34"/>
      <x:c r="L232" s="34"/>
      <x:c r="M232" s="34"/>
      <x:c r="N232" s="2"/>
      <x:c r="O232" s="2"/>
      <x:c r="P232" s="2"/>
    </x:row>
    <x:row r="233" ht="19" customHeight="1">
      <x:c r="A233" s="2"/>
      <x:c r="B233" s="2"/>
      <x:c r="C233" s="2"/>
      <x:c r="D233" s="2"/>
      <x:c r="E233" s="2"/>
      <x:c r="F233" s="2"/>
      <x:c r="G233" s="2"/>
      <x:c r="H233" s="2"/>
      <x:c r="I233" s="34"/>
      <x:c r="J233" s="34"/>
      <x:c r="K233" s="34"/>
      <x:c r="L233" s="34"/>
      <x:c r="M233" s="34"/>
      <x:c r="N233" s="2"/>
      <x:c r="O233" s="2"/>
      <x:c r="P233" s="2"/>
    </x:row>
    <x:row r="234" ht="19" customHeight="1">
      <x:c r="A234" s="2"/>
      <x:c r="B234" s="2"/>
      <x:c r="C234" s="2"/>
      <x:c r="D234" s="2"/>
      <x:c r="E234" s="2"/>
      <x:c r="F234" s="2"/>
      <x:c r="G234" s="2"/>
      <x:c r="H234" s="2"/>
      <x:c r="I234" s="34"/>
      <x:c r="J234" s="34"/>
      <x:c r="K234" s="34"/>
      <x:c r="L234" s="34"/>
      <x:c r="M234" s="34"/>
      <x:c r="N234" s="2"/>
      <x:c r="O234" s="2"/>
      <x:c r="P234" s="2"/>
    </x:row>
    <x:row r="235" ht="19" customHeight="1">
      <x:c r="A235" s="2"/>
      <x:c r="B235" s="2"/>
      <x:c r="C235" s="2"/>
      <x:c r="D235" s="2"/>
      <x:c r="E235" s="2"/>
      <x:c r="F235" s="2"/>
      <x:c r="G235" s="2"/>
      <x:c r="H235" s="2"/>
      <x:c r="I235" s="34"/>
      <x:c r="J235" s="34"/>
      <x:c r="K235" s="34"/>
      <x:c r="L235" s="34"/>
      <x:c r="M235" s="34"/>
      <x:c r="N235" s="2"/>
      <x:c r="O235" s="2"/>
      <x:c r="P235" s="2"/>
    </x:row>
    <x:row r="236" ht="19" customHeight="1">
      <x:c r="A236" s="2"/>
      <x:c r="B236" s="2"/>
      <x:c r="C236" s="2"/>
      <x:c r="D236" s="2"/>
      <x:c r="E236" s="2"/>
      <x:c r="F236" s="2"/>
      <x:c r="G236" s="2"/>
      <x:c r="H236" s="2"/>
      <x:c r="I236" s="34"/>
      <x:c r="J236" s="34"/>
      <x:c r="K236" s="34"/>
      <x:c r="L236" s="34"/>
      <x:c r="M236" s="34"/>
      <x:c r="N236" s="2"/>
      <x:c r="O236" s="2"/>
      <x:c r="P236" s="2"/>
    </x:row>
    <x:row r="237" ht="19" customHeight="1">
      <x:c r="A237" s="2"/>
      <x:c r="B237" s="2"/>
      <x:c r="C237" s="2"/>
      <x:c r="D237" s="2"/>
      <x:c r="E237" s="2"/>
      <x:c r="F237" s="2"/>
      <x:c r="G237" s="2"/>
      <x:c r="H237" s="2"/>
      <x:c r="I237" s="34"/>
      <x:c r="J237" s="34"/>
      <x:c r="K237" s="34"/>
      <x:c r="L237" s="34"/>
      <x:c r="M237" s="34"/>
      <x:c r="N237" s="2"/>
      <x:c r="O237" s="2"/>
      <x:c r="P237" s="2"/>
    </x:row>
    <x:row r="238" ht="19" customHeight="1">
      <x:c r="A238" s="2"/>
      <x:c r="B238" s="2"/>
      <x:c r="C238" s="2"/>
      <x:c r="D238" s="2"/>
      <x:c r="E238" s="2"/>
      <x:c r="F238" s="2"/>
      <x:c r="G238" s="2"/>
      <x:c r="H238" s="2"/>
      <x:c r="I238" s="34"/>
      <x:c r="J238" s="34"/>
      <x:c r="K238" s="34"/>
      <x:c r="L238" s="34"/>
      <x:c r="M238" s="34"/>
      <x:c r="N238" s="2"/>
      <x:c r="O238" s="2"/>
      <x:c r="P238" s="2"/>
    </x:row>
    <x:row r="239" ht="19" customHeight="1">
      <x:c r="A239" s="2"/>
      <x:c r="B239" s="2"/>
      <x:c r="C239" s="2"/>
      <x:c r="D239" s="2"/>
      <x:c r="E239" s="2"/>
      <x:c r="F239" s="2"/>
      <x:c r="G239" s="2"/>
      <x:c r="H239" s="2"/>
      <x:c r="I239" s="34"/>
      <x:c r="J239" s="34"/>
      <x:c r="K239" s="34"/>
      <x:c r="L239" s="34"/>
      <x:c r="M239" s="34"/>
      <x:c r="N239" s="2"/>
      <x:c r="O239" s="2"/>
      <x:c r="P239" s="2"/>
    </x:row>
    <x:row r="240" ht="19" customHeight="1">
      <x:c r="A240" s="2"/>
      <x:c r="B240" s="2"/>
      <x:c r="C240" s="2"/>
      <x:c r="D240" s="2"/>
      <x:c r="E240" s="2"/>
      <x:c r="F240" s="2"/>
      <x:c r="G240" s="2"/>
      <x:c r="H240" s="2"/>
      <x:c r="I240" s="34"/>
      <x:c r="J240" s="34"/>
      <x:c r="K240" s="34"/>
      <x:c r="L240" s="34"/>
      <x:c r="M240" s="34"/>
      <x:c r="N240" s="2"/>
      <x:c r="O240" s="2"/>
      <x:c r="P240" s="2"/>
    </x:row>
    <x:row r="241" ht="19" customHeight="1">
      <x:c r="A241" s="2"/>
      <x:c r="B241" s="2"/>
      <x:c r="C241" s="2"/>
      <x:c r="D241" s="2"/>
      <x:c r="E241" s="2"/>
      <x:c r="F241" s="2"/>
      <x:c r="G241" s="2"/>
      <x:c r="H241" s="2"/>
      <x:c r="I241" s="34"/>
      <x:c r="J241" s="34"/>
      <x:c r="K241" s="34"/>
      <x:c r="L241" s="34"/>
      <x:c r="M241" s="34"/>
      <x:c r="N241" s="2"/>
      <x:c r="O241" s="2"/>
      <x:c r="P241" s="2"/>
    </x:row>
    <x:row r="242" ht="19" customHeight="1">
      <x:c r="A242" s="2"/>
      <x:c r="B242" s="2"/>
      <x:c r="C242" s="2"/>
      <x:c r="D242" s="2"/>
      <x:c r="E242" s="2"/>
      <x:c r="F242" s="2"/>
      <x:c r="G242" s="2"/>
      <x:c r="H242" s="2"/>
      <x:c r="I242" s="34"/>
      <x:c r="J242" s="34"/>
      <x:c r="K242" s="34"/>
      <x:c r="L242" s="34"/>
      <x:c r="M242" s="34"/>
      <x:c r="N242" s="2"/>
      <x:c r="O242" s="2"/>
      <x:c r="P242" s="2"/>
    </x:row>
    <x:row r="243" ht="19" customHeight="1">
      <x:c r="A243" s="2"/>
      <x:c r="B243" s="2"/>
      <x:c r="C243" s="2"/>
      <x:c r="D243" s="2"/>
      <x:c r="E243" s="2"/>
      <x:c r="F243" s="2"/>
      <x:c r="G243" s="2"/>
      <x:c r="H243" s="2"/>
      <x:c r="I243" s="34"/>
      <x:c r="J243" s="34"/>
      <x:c r="K243" s="34"/>
      <x:c r="L243" s="34"/>
      <x:c r="M243" s="34"/>
      <x:c r="N243" s="2"/>
      <x:c r="O243" s="2"/>
      <x:c r="P243" s="2"/>
    </x:row>
    <x:row r="244" ht="19" customHeight="1">
      <x:c r="A244" s="2"/>
      <x:c r="B244" s="2"/>
      <x:c r="C244" s="2"/>
      <x:c r="D244" s="2"/>
      <x:c r="E244" s="2"/>
      <x:c r="F244" s="2"/>
      <x:c r="G244" s="2"/>
      <x:c r="H244" s="2"/>
      <x:c r="I244" s="34"/>
      <x:c r="J244" s="34"/>
      <x:c r="K244" s="34"/>
      <x:c r="L244" s="34"/>
      <x:c r="M244" s="34"/>
      <x:c r="N244" s="2"/>
      <x:c r="O244" s="2"/>
      <x:c r="P244" s="2"/>
    </x:row>
    <x:row r="245" ht="19" customHeight="1">
      <x:c r="A245" s="2"/>
      <x:c r="B245" s="2"/>
      <x:c r="C245" s="2"/>
      <x:c r="D245" s="2"/>
      <x:c r="E245" s="2"/>
      <x:c r="F245" s="2"/>
      <x:c r="G245" s="2"/>
      <x:c r="H245" s="2"/>
      <x:c r="I245" s="34"/>
      <x:c r="J245" s="34"/>
      <x:c r="K245" s="34"/>
      <x:c r="L245" s="34"/>
      <x:c r="M245" s="34"/>
      <x:c r="N245" s="2"/>
      <x:c r="O245" s="2"/>
      <x:c r="P245" s="2"/>
    </x:row>
  </x:sheetData>
  <x:mergeCells>
    <x:mergeCell ref="C4:M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791AA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5" hidden="0" customWidth="1"/>
    <x:col min="16" max="16" width="3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9" customHeight="1">
      <x:c r="A2" s="2"/>
      <x:c r="B2" s="2"/>
      <x:c r="C2" s="3" t="str">
        <x:v>Segment forecast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</x:row>
    <x:row r="4" ht="30" customHeight="1">
      <x:c r="A4" s="2"/>
      <x:c r="B4" s="2"/>
      <x:c r="C4" s="84" t="str">
        <x:v>One active forecast. Historical domestic W&amp;C is a derived income proxy.</x:v>
      </x:c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2"/>
      <x:c r="O4" s="2" t="str">
        <x:v>Active case</x:v>
      </x:c>
      <x:c r="P4" s="2"/>
    </x:row>
    <x:row r="5" ht="1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70" t="str">
        <x:f>CHOOSE('00_Cover'!D10,"Base","Bull","Bear")</x:f>
        <x:v>Base</x:v>
      </x:c>
      <x:c r="P5" s="2"/>
    </x:row>
    <x:row r="6" ht="19" customHeight="1">
      <x:c r="A6" s="2"/>
      <x:c r="B6" s="2"/>
      <x:c r="C6" s="2" t="str">
        <x:v>INR million, unless specified</x:v>
      </x:c>
      <x:c r="D6" s="8" t="str">
        <x:v>FY22A</x:v>
      </x:c>
      <x:c r="E6" s="8" t="str">
        <x:v>FY23A</x:v>
      </x:c>
      <x:c r="F6" s="8" t="str">
        <x:v>FY24A</x:v>
      </x:c>
      <x:c r="G6" s="8" t="str">
        <x:v>FY25A</x:v>
      </x:c>
      <x:c r="H6" s="8" t="str">
        <x:v>FY26A</x:v>
      </x:c>
      <x:c r="I6" s="33" t="str">
        <x:v>FY27E</x:v>
      </x:c>
      <x:c r="J6" s="33" t="str">
        <x:v>FY28E</x:v>
      </x:c>
      <x:c r="K6" s="33" t="str">
        <x:v>FY29E</x:v>
      </x:c>
      <x:c r="L6" s="33" t="str">
        <x:v>FY30E</x:v>
      </x:c>
      <x:c r="M6" s="33" t="str">
        <x:v>FY31E</x:v>
      </x:c>
      <x:c r="N6" s="2"/>
      <x:c r="O6" s="2"/>
      <x:c r="P6" s="2"/>
    </x:row>
    <x:row r="7" ht="19" customHeight="1">
      <x:c r="A7" s="2"/>
      <x:c r="B7" s="2"/>
      <x:c r="C7" s="2"/>
      <x:c r="D7" s="2"/>
      <x:c r="E7" s="2"/>
      <x:c r="F7" s="2"/>
      <x:c r="G7" s="2"/>
      <x:c r="H7" s="2"/>
      <x:c r="I7" s="34"/>
      <x:c r="J7" s="34"/>
      <x:c r="K7" s="34"/>
      <x:c r="L7" s="34"/>
      <x:c r="M7" s="34"/>
      <x:c r="N7" s="2"/>
      <x:c r="O7" s="2"/>
      <x:c r="P7" s="2"/>
    </x:row>
    <x:row r="8" ht="19" customHeight="1">
      <x:c r="A8" s="2"/>
      <x:c r="B8" s="2"/>
      <x:c r="C8" s="21" t="str">
        <x:v>Domestic W&amp;C nominal growth</x:v>
      </x:c>
      <x:c r="D8" s="32" t="str">
        <x:f>IF(ISNUMBER('03_Segment_History'!D28),'03_Segment_History'!D28,"")</x:f>
      </x:c>
      <x:c r="E8" s="32" t="n">
        <x:f>IF(ISNUMBER('03_Segment_History'!E28),'03_Segment_History'!E28,"")</x:f>
        <x:v>0.14131272100498493</x:v>
      </x:c>
      <x:c r="F8" s="32" t="n">
        <x:f>IF(ISNUMBER('03_Segment_History'!F28),'03_Segment_History'!F28,"")</x:f>
        <x:v>0.2961329442251932</x:v>
      </x:c>
      <x:c r="G8" s="32" t="n">
        <x:f>IF(ISNUMBER('03_Segment_History'!G28),'03_Segment_History'!G28,"")</x:f>
        <x:v>0.21351790495584289</x:v>
      </x:c>
      <x:c r="H8" s="32" t="n">
        <x:f>IF(ISNUMBER('03_Segment_History'!H28),'03_Segment_History'!H28,"")</x:f>
        <x:v>0.3458089666615878</x:v>
      </x:c>
      <x:c r="I8" s="51" t="str">
        <x:f>IF(ISNUMBER('04_Drivers'!I219),'04_Drivers'!I219,"")</x:f>
      </x:c>
      <x:c r="J8" s="51" t="str">
        <x:f>IF(ISNUMBER('04_Drivers'!J219),'04_Drivers'!J219,"")</x:f>
      </x:c>
      <x:c r="K8" s="51" t="str">
        <x:f>IF(ISNUMBER('04_Drivers'!K219),'04_Drivers'!K219,"")</x:f>
      </x:c>
      <x:c r="L8" s="51" t="str">
        <x:f>IF(ISNUMBER('04_Drivers'!L219),'04_Drivers'!L219,"")</x:f>
      </x:c>
      <x:c r="M8" s="51" t="str">
        <x:f>IF(ISNUMBER('04_Drivers'!M219),'04_Drivers'!M219,"")</x:f>
      </x:c>
      <x:c r="N8" s="2"/>
      <x:c r="O8" s="2"/>
      <x:c r="P8" s="2"/>
    </x:row>
    <x:row r="9" ht="19" customHeight="1">
      <x:c r="A9" s="2"/>
      <x:c r="B9" s="2"/>
      <x:c r="C9" s="2" t="str">
        <x:v>Domestic W&amp;C income proxy</x:v>
      </x:c>
      <x:c r="D9" s="31" t="n">
        <x:f>IF(ISNUMBER('03_Segment_History'!D13),'03_Segment_History'!D13,"")</x:f>
        <x:v>97724.04000000001</x:v>
      </x:c>
      <x:c r="E9" s="31" t="n">
        <x:f>IF(ISNUMBER('03_Segment_History'!E13),'03_Segment_History'!E13,"")</x:f>
        <x:v>111533.69</x:v>
      </x:c>
      <x:c r="F9" s="31" t="n">
        <x:f>IF(ISNUMBER('03_Segment_History'!F13),'03_Segment_History'!F13,"")</x:f>
        <x:v>144562.49</x:v>
      </x:c>
      <x:c r="G9" s="31" t="n">
        <x:f>IF(ISNUMBER('03_Segment_History'!G13),'03_Segment_History'!G13,"")</x:f>
        <x:v>175429.16999999998</x:v>
      </x:c>
      <x:c r="H9" s="31" t="n">
        <x:f>IF(ISNUMBER('03_Segment_History'!H13),'03_Segment_History'!H13,"")</x:f>
        <x:v>236094.15</x:v>
      </x:c>
      <x:c r="I9" s="52" t="str">
        <x:f>IF(AND(ISNUMBER(H9),ISNUMBER(I8)),H9*(1+I8),"")</x:f>
      </x:c>
      <x:c r="J9" s="52" t="str">
        <x:f>IF(AND(ISNUMBER(I9),ISNUMBER(J8)),I9*(1+J8),"")</x:f>
      </x:c>
      <x:c r="K9" s="52" t="str">
        <x:f>IF(AND(ISNUMBER(J9),ISNUMBER(K8)),J9*(1+K8),"")</x:f>
      </x:c>
      <x:c r="L9" s="52" t="str">
        <x:f>IF(AND(ISNUMBER(K9),ISNUMBER(L8)),K9*(1+L8),"")</x:f>
      </x:c>
      <x:c r="M9" s="52" t="str">
        <x:f>IF(AND(ISNUMBER(L9),ISNUMBER(M8)),L9*(1+M8),"")</x:f>
      </x:c>
      <x:c r="N9" s="2"/>
      <x:c r="O9" s="2"/>
      <x:c r="P9" s="2"/>
    </x:row>
    <x:row r="10" ht="19" customHeight="1">
      <x:c r="A10" s="2"/>
      <x:c r="B10" s="2"/>
      <x:c r="C10" s="2"/>
      <x:c r="D10" s="2"/>
      <x:c r="E10" s="2"/>
      <x:c r="F10" s="2"/>
      <x:c r="G10" s="2"/>
      <x:c r="H10" s="2"/>
      <x:c r="I10" s="34"/>
      <x:c r="J10" s="34"/>
      <x:c r="K10" s="34"/>
      <x:c r="L10" s="34"/>
      <x:c r="M10" s="34"/>
      <x:c r="N10" s="2"/>
      <x:c r="O10" s="2"/>
      <x:c r="P10" s="2"/>
    </x:row>
    <x:row r="11" ht="19" customHeight="1">
      <x:c r="A11" s="2"/>
      <x:c r="B11" s="2"/>
      <x:c r="C11" s="21" t="str">
        <x:v>Export income growth</x:v>
      </x:c>
      <x:c r="D11" s="32" t="str">
        <x:f>IF(ISNUMBER('03_Segment_History'!D27),'03_Segment_History'!D27,"")</x:f>
      </x:c>
      <x:c r="E11" s="32" t="n">
        <x:f>IF(ISNUMBER('03_Segment_History'!E27),'03_Segment_History'!E27,"")</x:f>
        <x:v>0.4990616799179999</x:v>
      </x:c>
      <x:c r="F11" s="32" t="n">
        <x:f>IF(ISNUMBER('03_Segment_History'!F27),'03_Segment_History'!F27,"")</x:f>
        <x:v>0.0379017912965669</x:v>
      </x:c>
      <x:c r="G11" s="32" t="n">
        <x:f>IF(ISNUMBER('03_Segment_History'!G27),'03_Segment_History'!G27,"")</x:f>
        <x:v>-0.06321550515647711</x:v>
      </x:c>
      <x:c r="H11" s="32" t="n">
        <x:f>IF(ISNUMBER('03_Segment_History'!H27),'03_Segment_History'!H27,"")</x:f>
        <x:v>0.16672787257672916</x:v>
      </x:c>
      <x:c r="I11" s="51" t="str">
        <x:f>IF(ISNUMBER('04_Drivers'!I24),'04_Drivers'!I24,"")</x:f>
      </x:c>
      <x:c r="J11" s="51" t="str">
        <x:f>IF(ISNUMBER('04_Drivers'!J24),'04_Drivers'!J24,"")</x:f>
      </x:c>
      <x:c r="K11" s="51" t="str">
        <x:f>IF(ISNUMBER('04_Drivers'!K24),'04_Drivers'!K24,"")</x:f>
      </x:c>
      <x:c r="L11" s="51" t="str">
        <x:f>IF(ISNUMBER('04_Drivers'!L24),'04_Drivers'!L24,"")</x:f>
      </x:c>
      <x:c r="M11" s="51" t="str">
        <x:f>IF(ISNUMBER('04_Drivers'!M24),'04_Drivers'!M24,"")</x:f>
      </x:c>
      <x:c r="N11" s="2"/>
      <x:c r="O11" s="2"/>
      <x:c r="P11" s="2"/>
    </x:row>
    <x:row r="12" ht="19" customHeight="1">
      <x:c r="A12" s="2"/>
      <x:c r="B12" s="2"/>
      <x:c r="C12" s="2" t="str">
        <x:v>Export income</x:v>
      </x:c>
      <x:c r="D12" s="31" t="n">
        <x:f>IF(ISNUMBER('03_Segment_History'!D62),'03_Segment_History'!D62,"")</x:f>
        <x:v>9229.26</x:v>
      </x:c>
      <x:c r="E12" s="31" t="n">
        <x:f>IF(ISNUMBER('03_Segment_History'!E62),'03_Segment_History'!E62,"")</x:f>
        <x:v>13835.23</x:v>
      </x:c>
      <x:c r="F12" s="31" t="n">
        <x:f>IF(ISNUMBER('03_Segment_History'!F62),'03_Segment_History'!F62,"")</x:f>
        <x:v>14359.61</x:v>
      </x:c>
      <x:c r="G12" s="31" t="n">
        <x:f>IF(ISNUMBER('03_Segment_History'!G62),'03_Segment_History'!G62,"")</x:f>
        <x:v>13451.86</x:v>
      </x:c>
      <x:c r="H12" s="31" t="n">
        <x:f>IF(ISNUMBER('03_Segment_History'!H62),'03_Segment_History'!H62,"")</x:f>
        <x:v>15694.66</x:v>
      </x:c>
      <x:c r="I12" s="52" t="str">
        <x:f>IF(AND(ISNUMBER(H12),ISNUMBER(I11)),H12*(1+I11),"")</x:f>
      </x:c>
      <x:c r="J12" s="52" t="str">
        <x:f>IF(AND(ISNUMBER(I12),ISNUMBER(J11)),I12*(1+J11),"")</x:f>
      </x:c>
      <x:c r="K12" s="52" t="str">
        <x:f>IF(AND(ISNUMBER(J12),ISNUMBER(K11)),J12*(1+K11),"")</x:f>
      </x:c>
      <x:c r="L12" s="52" t="str">
        <x:f>IF(AND(ISNUMBER(K12),ISNUMBER(L11)),K12*(1+L11),"")</x:f>
      </x:c>
      <x:c r="M12" s="52" t="str">
        <x:f>IF(AND(ISNUMBER(L12),ISNUMBER(M11)),L12*(1+M11),"")</x:f>
      </x:c>
      <x:c r="N12" s="2"/>
      <x:c r="O12" s="2"/>
      <x:c r="P12" s="2"/>
    </x:row>
    <x:row r="13" ht="19" customHeight="1">
      <x:c r="A13" s="2"/>
      <x:c r="B13" s="2"/>
      <x:c r="C13" s="2"/>
      <x:c r="D13" s="2"/>
      <x:c r="E13" s="2"/>
      <x:c r="F13" s="2"/>
      <x:c r="G13" s="2"/>
      <x:c r="H13" s="2"/>
      <x:c r="I13" s="34"/>
      <x:c r="J13" s="34"/>
      <x:c r="K13" s="34"/>
      <x:c r="L13" s="34"/>
      <x:c r="M13" s="34"/>
      <x:c r="N13" s="2"/>
      <x:c r="O13" s="2"/>
      <x:c r="P13" s="2"/>
    </x:row>
    <x:row r="14" ht="19" customHeight="1">
      <x:c r="A14" s="2"/>
      <x:c r="B14" s="2"/>
      <x:c r="C14" s="18" t="str">
        <x:v>Total W&amp;C external income</x:v>
      </x:c>
      <x:c r="D14" s="49" t="n">
        <x:f>IF(ISNUMBER('03_Segment_History'!D41),'03_Segment_History'!D41,"")</x:f>
        <x:v>106953.3</x:v>
      </x:c>
      <x:c r="E14" s="49" t="n">
        <x:f>IF(ISNUMBER('03_Segment_History'!E41),'03_Segment_History'!E41,"")</x:f>
        <x:v>125368.92</x:v>
      </x:c>
      <x:c r="F14" s="49" t="n">
        <x:f>IF(ISNUMBER('03_Segment_History'!F41),'03_Segment_History'!F41,"")</x:f>
        <x:v>158922.1</x:v>
      </x:c>
      <x:c r="G14" s="49" t="n">
        <x:f>IF(ISNUMBER('03_Segment_History'!G41),'03_Segment_History'!G41,"")</x:f>
        <x:v>188881.03</x:v>
      </x:c>
      <x:c r="H14" s="49" t="n">
        <x:f>IF(ISNUMBER('03_Segment_History'!H41),'03_Segment_History'!H41,"")</x:f>
        <x:v>251788.81</x:v>
      </x:c>
      <x:c r="I14" s="23" t="str">
        <x:f>IF(AND(ISNUMBER(I9),ISNUMBER(I12)),I9+I12,"")</x:f>
      </x:c>
      <x:c r="J14" s="23" t="str">
        <x:f>IF(AND(ISNUMBER(J9),ISNUMBER(J12)),J9+J12,"")</x:f>
      </x:c>
      <x:c r="K14" s="23" t="str">
        <x:f>IF(AND(ISNUMBER(K9),ISNUMBER(K12)),K9+K12,"")</x:f>
      </x:c>
      <x:c r="L14" s="23" t="str">
        <x:f>IF(AND(ISNUMBER(L9),ISNUMBER(L12)),L9+L12,"")</x:f>
      </x:c>
      <x:c r="M14" s="23" t="str">
        <x:f>IF(AND(ISNUMBER(M9),ISNUMBER(M12)),M9+M12,"")</x:f>
      </x:c>
      <x:c r="N14" s="2"/>
      <x:c r="O14" s="2"/>
      <x:c r="P14" s="2"/>
    </x:row>
    <x:row r="15" ht="19" customHeight="1">
      <x:c r="A15" s="2"/>
      <x:c r="B15" s="2"/>
      <x:c r="C15" s="2"/>
      <x:c r="D15" s="2"/>
      <x:c r="E15" s="2"/>
      <x:c r="F15" s="2"/>
      <x:c r="G15" s="2"/>
      <x:c r="H15" s="2"/>
      <x:c r="I15" s="34"/>
      <x:c r="J15" s="34"/>
      <x:c r="K15" s="34"/>
      <x:c r="L15" s="34"/>
      <x:c r="M15" s="34"/>
      <x:c r="N15" s="2"/>
      <x:c r="O15" s="2"/>
      <x:c r="P15" s="2"/>
    </x:row>
    <x:row r="16" ht="19" customHeight="1">
      <x:c r="A16" s="2"/>
      <x:c r="B16" s="2"/>
      <x:c r="C16" s="21" t="str">
        <x:v>FMEG income growth</x:v>
      </x:c>
      <x:c r="D16" s="32" t="str">
        <x:f>IF(ISNUMBER('03_Segment_History'!D25),'03_Segment_History'!D25,"")</x:f>
      </x:c>
      <x:c r="E16" s="32" t="n">
        <x:f>IF(ISNUMBER('03_Segment_History'!E25),'03_Segment_History'!E25,"")</x:f>
        <x:v>-0.002571782302534409</x:v>
      </x:c>
      <x:c r="F16" s="32" t="n">
        <x:f>IF(ISNUMBER('03_Segment_History'!F25),'03_Segment_History'!F25,"")</x:f>
        <x:v>0.025257421730446428</x:v>
      </x:c>
      <x:c r="G16" s="32" t="n">
        <x:f>IF(ISNUMBER('03_Segment_History'!G25),'03_Segment_History'!G25,"")</x:f>
        <x:v>0.2890521828747119</x:v>
      </x:c>
      <x:c r="H16" s="32" t="n">
        <x:f>IF(ISNUMBER('03_Segment_History'!H25),'03_Segment_History'!H25,"")</x:f>
        <x:v>0.25145173209994076</x:v>
      </x:c>
      <x:c r="I16" s="51" t="str">
        <x:f>IF(ISNUMBER('04_Drivers'!I29),'04_Drivers'!I29,"")</x:f>
      </x:c>
      <x:c r="J16" s="51" t="str">
        <x:f>IF(ISNUMBER('04_Drivers'!J29),'04_Drivers'!J29,"")</x:f>
      </x:c>
      <x:c r="K16" s="51" t="str">
        <x:f>IF(ISNUMBER('04_Drivers'!K29),'04_Drivers'!K29,"")</x:f>
      </x:c>
      <x:c r="L16" s="51" t="str">
        <x:f>IF(ISNUMBER('04_Drivers'!L29),'04_Drivers'!L29,"")</x:f>
      </x:c>
      <x:c r="M16" s="51" t="str">
        <x:f>IF(ISNUMBER('04_Drivers'!M29),'04_Drivers'!M29,"")</x:f>
      </x:c>
      <x:c r="N16" s="2"/>
      <x:c r="O16" s="2"/>
      <x:c r="P16" s="2"/>
    </x:row>
    <x:row r="17" ht="19" customHeight="1">
      <x:c r="A17" s="2"/>
      <x:c r="B17" s="2"/>
      <x:c r="C17" s="2" t="str">
        <x:v>FMEG external income</x:v>
      </x:c>
      <x:c r="D17" s="31" t="n">
        <x:f>IF(ISNUMBER('03_Segment_History'!D42),'03_Segment_History'!D42,"")</x:f>
        <x:v>12543.83</x:v>
      </x:c>
      <x:c r="E17" s="31" t="n">
        <x:f>IF(ISNUMBER('03_Segment_History'!E42),'03_Segment_History'!E42,"")</x:f>
        <x:v>12511.57</x:v>
      </x:c>
      <x:c r="F17" s="31" t="n">
        <x:f>IF(ISNUMBER('03_Segment_History'!F42),'03_Segment_History'!F42,"")</x:f>
        <x:v>12827.58</x:v>
      </x:c>
      <x:c r="G17" s="31" t="n">
        <x:f>IF(ISNUMBER('03_Segment_History'!G42),'03_Segment_History'!G42,"")</x:f>
        <x:v>16535.42</x:v>
      </x:c>
      <x:c r="H17" s="31" t="n">
        <x:f>IF(ISNUMBER('03_Segment_History'!H42),'03_Segment_History'!H42,"")</x:f>
        <x:v>20693.28</x:v>
      </x:c>
      <x:c r="I17" s="52" t="str">
        <x:f>IF(AND(ISNUMBER(H17),ISNUMBER(I16)),H17*(1+I16),"")</x:f>
      </x:c>
      <x:c r="J17" s="52" t="str">
        <x:f>IF(AND(ISNUMBER(I17),ISNUMBER(J16)),I17*(1+J16),"")</x:f>
      </x:c>
      <x:c r="K17" s="52" t="str">
        <x:f>IF(AND(ISNUMBER(J17),ISNUMBER(K16)),J17*(1+K16),"")</x:f>
      </x:c>
      <x:c r="L17" s="52" t="str">
        <x:f>IF(AND(ISNUMBER(K17),ISNUMBER(L16)),K17*(1+L16),"")</x:f>
      </x:c>
      <x:c r="M17" s="52" t="str">
        <x:f>IF(AND(ISNUMBER(L17),ISNUMBER(M16)),L17*(1+M16),"")</x:f>
      </x:c>
      <x:c r="N17" s="2"/>
      <x:c r="O17" s="2"/>
      <x:c r="P17" s="2"/>
    </x:row>
    <x:row r="18" ht="19" customHeight="1">
      <x:c r="A18" s="2"/>
      <x:c r="B18" s="2"/>
      <x:c r="C18" s="2"/>
      <x:c r="D18" s="2"/>
      <x:c r="E18" s="2"/>
      <x:c r="F18" s="2"/>
      <x:c r="G18" s="2"/>
      <x:c r="H18" s="2"/>
      <x:c r="I18" s="34"/>
      <x:c r="J18" s="34"/>
      <x:c r="K18" s="34"/>
      <x:c r="L18" s="34"/>
      <x:c r="M18" s="34"/>
      <x:c r="N18" s="2"/>
      <x:c r="O18" s="2"/>
      <x:c r="P18" s="2"/>
    </x:row>
    <x:row r="19" ht="19" customHeight="1">
      <x:c r="A19" s="2"/>
      <x:c r="B19" s="2"/>
      <x:c r="C19" s="21" t="str">
        <x:v>EPC income growth</x:v>
      </x:c>
      <x:c r="D19" s="32" t="str">
        <x:f>IF(ISNUMBER('03_Segment_History'!D26),'03_Segment_History'!D26,"")</x:f>
      </x:c>
      <x:c r="E19" s="32" t="n">
        <x:f>IF(ISNUMBER('03_Segment_History'!E26),'03_Segment_History'!E26,"")</x:f>
        <x:v>0.21800740113973482</x:v>
      </x:c>
      <x:c r="F19" s="32" t="n">
        <x:f>IF(ISNUMBER('03_Segment_History'!F26),'03_Segment_History'!F26,"")</x:f>
        <x:v>1.6901605316459936</x:v>
      </x:c>
      <x:c r="G19" s="32" t="n">
        <x:f>IF(ISNUMBER('03_Segment_History'!G26),'03_Segment_History'!G26,"")</x:f>
        <x:v>0.9904059652889046</x:v>
      </x:c>
      <x:c r="H19" s="32" t="n">
        <x:f>IF(ISNUMBER('03_Segment_History'!H26),'03_Segment_History'!H26,"")</x:f>
        <x:v>-0.1316891747197717</x:v>
      </x:c>
      <x:c r="I19" s="51" t="str">
        <x:f>IF(ISNUMBER('04_Drivers'!I34),'04_Drivers'!I34,"")</x:f>
      </x:c>
      <x:c r="J19" s="51" t="str">
        <x:f>IF(ISNUMBER('04_Drivers'!J34),'04_Drivers'!J34,"")</x:f>
      </x:c>
      <x:c r="K19" s="51" t="str">
        <x:f>IF(ISNUMBER('04_Drivers'!K34),'04_Drivers'!K34,"")</x:f>
      </x:c>
      <x:c r="L19" s="51" t="str">
        <x:f>IF(ISNUMBER('04_Drivers'!L34),'04_Drivers'!L34,"")</x:f>
      </x:c>
      <x:c r="M19" s="51" t="str">
        <x:f>IF(ISNUMBER('04_Drivers'!M34),'04_Drivers'!M34,"")</x:f>
      </x:c>
      <x:c r="N19" s="2"/>
      <x:c r="O19" s="2"/>
      <x:c r="P19" s="2"/>
    </x:row>
    <x:row r="20" ht="19" customHeight="1">
      <x:c r="A20" s="2"/>
      <x:c r="B20" s="2"/>
      <x:c r="C20" s="2" t="str">
        <x:v>EPC external income</x:v>
      </x:c>
      <x:c r="D20" s="31" t="n">
        <x:f>IF(ISNUMBER('03_Segment_History'!D43),'03_Segment_History'!D43,"")</x:f>
        <x:v>2942.79</x:v>
      </x:c>
      <x:c r="E20" s="31" t="n">
        <x:f>IF(ISNUMBER('03_Segment_History'!E43),'03_Segment_History'!E43,"")</x:f>
        <x:v>3584.34</x:v>
      </x:c>
      <x:c r="F20" s="31" t="n">
        <x:f>IF(ISNUMBER('03_Segment_History'!F43),'03_Segment_History'!F43,"")</x:f>
        <x:v>9642.45</x:v>
      </x:c>
      <x:c r="G20" s="31" t="n">
        <x:f>IF(ISNUMBER('03_Segment_History'!G43),'03_Segment_History'!G43,"")</x:f>
        <x:v>19192.39</x:v>
      </x:c>
      <x:c r="H20" s="31" t="n">
        <x:f>IF(ISNUMBER('03_Segment_History'!H43),'03_Segment_History'!H43,"")</x:f>
        <x:v>16664.96</x:v>
      </x:c>
      <x:c r="I20" s="52" t="str">
        <x:f>IF(AND(ISNUMBER(H20),ISNUMBER(I19)),H20*(1+I19),"")</x:f>
      </x:c>
      <x:c r="J20" s="52" t="str">
        <x:f>IF(AND(ISNUMBER(I20),ISNUMBER(J19)),I20*(1+J19),"")</x:f>
      </x:c>
      <x:c r="K20" s="52" t="str">
        <x:f>IF(AND(ISNUMBER(J20),ISNUMBER(K19)),J20*(1+K19),"")</x:f>
      </x:c>
      <x:c r="L20" s="52" t="str">
        <x:f>IF(AND(ISNUMBER(K20),ISNUMBER(L19)),K20*(1+L19),"")</x:f>
      </x:c>
      <x:c r="M20" s="52" t="str">
        <x:f>IF(AND(ISNUMBER(L20),ISNUMBER(M19)),L20*(1+M19),"")</x:f>
      </x:c>
      <x:c r="N20" s="2"/>
      <x:c r="O20" s="2"/>
      <x:c r="P20" s="2"/>
    </x:row>
    <x:row r="21" ht="19" customHeight="1">
      <x:c r="A21" s="2"/>
      <x:c r="B21" s="2"/>
      <x:c r="C21" s="2"/>
      <x:c r="D21" s="2"/>
      <x:c r="E21" s="2"/>
      <x:c r="F21" s="2"/>
      <x:c r="G21" s="2"/>
      <x:c r="H21" s="2"/>
      <x:c r="I21" s="34"/>
      <x:c r="J21" s="34"/>
      <x:c r="K21" s="34"/>
      <x:c r="L21" s="34"/>
      <x:c r="M21" s="34"/>
      <x:c r="N21" s="2"/>
      <x:c r="O21" s="2"/>
      <x:c r="P21" s="2"/>
    </x:row>
    <x:row r="22" ht="19" customHeight="1">
      <x:c r="A22" s="2"/>
      <x:c r="B22" s="2"/>
      <x:c r="C22" s="18" t="str">
        <x:v>Total external segment income</x:v>
      </x:c>
      <x:c r="D22" s="49" t="n">
        <x:f>IF(ISNUMBER('03_Segment_History'!D8),'03_Segment_History'!D8,"")</x:f>
        <x:v>122439.92</x:v>
      </x:c>
      <x:c r="E22" s="49" t="n">
        <x:f>IF(ISNUMBER('03_Segment_History'!E8),'03_Segment_History'!E8,"")</x:f>
        <x:v>141464.83</x:v>
      </x:c>
      <x:c r="F22" s="49" t="n">
        <x:f>IF(ISNUMBER('03_Segment_History'!F8),'03_Segment_History'!F8,"")</x:f>
        <x:v>181392.13</x:v>
      </x:c>
      <x:c r="G22" s="49" t="n">
        <x:f>IF(ISNUMBER('03_Segment_History'!G8),'03_Segment_History'!G8,"")</x:f>
        <x:v>224608.84000000003</x:v>
      </x:c>
      <x:c r="H22" s="49" t="n">
        <x:f>IF(ISNUMBER('03_Segment_History'!H8),'03_Segment_History'!H8,"")</x:f>
        <x:v>289147.05</x:v>
      </x:c>
      <x:c r="I22" s="23" t="str">
        <x:f>IF(AND(ISNUMBER(I14),ISNUMBER(I17),ISNUMBER(I20)),I14+I17+I20,"")</x:f>
      </x:c>
      <x:c r="J22" s="23" t="str">
        <x:f>IF(AND(ISNUMBER(J14),ISNUMBER(J17),ISNUMBER(J20)),J14+J17+J20,"")</x:f>
      </x:c>
      <x:c r="K22" s="23" t="str">
        <x:f>IF(AND(ISNUMBER(K14),ISNUMBER(K17),ISNUMBER(K20)),K14+K17+K20,"")</x:f>
      </x:c>
      <x:c r="L22" s="23" t="str">
        <x:f>IF(AND(ISNUMBER(L14),ISNUMBER(L17),ISNUMBER(L20)),L14+L17+L20,"")</x:f>
      </x:c>
      <x:c r="M22" s="23" t="str">
        <x:f>IF(AND(ISNUMBER(M14),ISNUMBER(M17),ISNUMBER(M20)),M14+M17+M20,"")</x:f>
      </x:c>
      <x:c r="N22" s="2"/>
      <x:c r="O22" s="2"/>
      <x:c r="P22" s="2"/>
    </x:row>
    <x:row r="23" ht="19" customHeight="1">
      <x:c r="A23" s="2"/>
      <x:c r="B23" s="2"/>
      <x:c r="C23" s="2" t="str">
        <x:v>Less: non-finance other income</x:v>
      </x:c>
      <x:c r="D23" s="31" t="n">
        <x:f>IF(ISNUMBER('03_Segment_History'!D9),'03_Segment_History'!D9,"")</x:f>
        <x:v>402.31</x:v>
      </x:c>
      <x:c r="E23" s="31" t="n">
        <x:f>IF(ISNUMBER('03_Segment_History'!E9),'03_Segment_History'!E9,"")</x:f>
        <x:v>387.04999999999995</x:v>
      </x:c>
      <x:c r="F23" s="31" t="n">
        <x:f>IF(ISNUMBER('03_Segment_History'!F9),'03_Segment_History'!F9,"")</x:f>
        <x:v>997.69</x:v>
      </x:c>
      <x:c r="G23" s="31" t="n">
        <x:f>IF(ISNUMBER('03_Segment_History'!G9),'03_Segment_History'!G9,"")</x:f>
        <x:v>525.71</x:v>
      </x:c>
      <x:c r="H23" s="31" t="n">
        <x:f>IF(ISNUMBER('03_Segment_History'!H9),'03_Segment_History'!H9,"")</x:f>
        <x:v>309.1300000000001</x:v>
      </x:c>
      <x:c r="I23" s="53" t="str">
        <x:f>IF(AND(ISNUMBER(I22),ISNUMBER('04_Drivers'!I54)),I22*'04_Drivers'!I54,"")</x:f>
      </x:c>
      <x:c r="J23" s="53" t="str">
        <x:f>IF(AND(ISNUMBER(J22),ISNUMBER('04_Drivers'!J54)),J22*'04_Drivers'!J54,"")</x:f>
      </x:c>
      <x:c r="K23" s="53" t="str">
        <x:f>IF(AND(ISNUMBER(K22),ISNUMBER('04_Drivers'!K54)),K22*'04_Drivers'!K54,"")</x:f>
      </x:c>
      <x:c r="L23" s="53" t="str">
        <x:f>IF(AND(ISNUMBER(L22),ISNUMBER('04_Drivers'!L54)),L22*'04_Drivers'!L54,"")</x:f>
      </x:c>
      <x:c r="M23" s="53" t="str">
        <x:f>IF(AND(ISNUMBER(M22),ISNUMBER('04_Drivers'!M54)),M22*'04_Drivers'!M54,"")</x:f>
      </x:c>
      <x:c r="N23" s="2"/>
      <x:c r="O23" s="2"/>
      <x:c r="P23" s="2"/>
    </x:row>
    <x:row r="24" ht="19" customHeight="1">
      <x:c r="A24" s="2"/>
      <x:c r="B24" s="2"/>
      <x:c r="C24" s="18" t="str">
        <x:v>Consolidated revenue from operations</x:v>
      </x:c>
      <x:c r="D24" s="49" t="n">
        <x:f>IF(ISNUMBER('03_Segment_History'!D10),'03_Segment_History'!D10,"")</x:f>
        <x:v>122037.61</x:v>
      </x:c>
      <x:c r="E24" s="49" t="n">
        <x:f>IF(ISNUMBER('03_Segment_History'!E10),'03_Segment_History'!E10,"")</x:f>
        <x:v>141077.78</x:v>
      </x:c>
      <x:c r="F24" s="49" t="n">
        <x:f>IF(ISNUMBER('03_Segment_History'!F10),'03_Segment_History'!F10,"")</x:f>
        <x:v>180394.44</x:v>
      </x:c>
      <x:c r="G24" s="49" t="n">
        <x:f>IF(ISNUMBER('03_Segment_History'!G10),'03_Segment_History'!G10,"")</x:f>
        <x:v>224083.13000000003</x:v>
      </x:c>
      <x:c r="H24" s="49" t="n">
        <x:f>IF(ISNUMBER('03_Segment_History'!H10),'03_Segment_History'!H10,"")</x:f>
        <x:v>288837.92</x:v>
      </x:c>
      <x:c r="I24" s="23" t="str">
        <x:f>IF(AND(ISNUMBER(I22),ISNUMBER(I23)),I22-I23,"")</x:f>
      </x:c>
      <x:c r="J24" s="23" t="str">
        <x:f>IF(AND(ISNUMBER(J22),ISNUMBER(J23)),J22-J23,"")</x:f>
      </x:c>
      <x:c r="K24" s="23" t="str">
        <x:f>IF(AND(ISNUMBER(K22),ISNUMBER(K23)),K22-K23,"")</x:f>
      </x:c>
      <x:c r="L24" s="23" t="str">
        <x:f>IF(AND(ISNUMBER(L22),ISNUMBER(L23)),L22-L23,"")</x:f>
      </x:c>
      <x:c r="M24" s="23" t="str">
        <x:f>IF(AND(ISNUMBER(M22),ISNUMBER(M23)),M22-M23,"")</x:f>
      </x:c>
      <x:c r="N24" s="2"/>
      <x:c r="O24" s="2"/>
      <x:c r="P24" s="2"/>
    </x:row>
    <x:row r="25" ht="19" customHeight="1">
      <x:c r="A25" s="2"/>
      <x:c r="B25" s="2"/>
      <x:c r="C25" s="2"/>
      <x:c r="D25" s="2"/>
      <x:c r="E25" s="2"/>
      <x:c r="F25" s="2"/>
      <x:c r="G25" s="2"/>
      <x:c r="H25" s="2"/>
      <x:c r="I25" s="34"/>
      <x:c r="J25" s="34"/>
      <x:c r="K25" s="34"/>
      <x:c r="L25" s="34"/>
      <x:c r="M25" s="34"/>
      <x:c r="N25" s="2"/>
      <x:c r="O25" s="2"/>
      <x:c r="P25" s="2"/>
    </x:row>
    <x:row r="26" ht="19" customHeight="1">
      <x:c r="A26" s="2"/>
      <x:c r="B26" s="2"/>
      <x:c r="C26" s="2"/>
      <x:c r="D26" s="2"/>
      <x:c r="E26" s="2"/>
      <x:c r="F26" s="2"/>
      <x:c r="G26" s="2"/>
      <x:c r="H26" s="2"/>
      <x:c r="I26" s="34"/>
      <x:c r="J26" s="34"/>
      <x:c r="K26" s="34"/>
      <x:c r="L26" s="34"/>
      <x:c r="M26" s="34"/>
      <x:c r="N26" s="2"/>
      <x:c r="O26" s="2"/>
      <x:c r="P26" s="2"/>
    </x:row>
    <x:row r="27" ht="19" customHeight="1">
      <x:c r="A27" s="2"/>
      <x:c r="B27" s="2"/>
      <x:c r="C27" s="21" t="str">
        <x:v>W&amp;C EBIT margin</x:v>
      </x:c>
      <x:c r="D27" s="32" t="n">
        <x:f>IF(ISNUMBER('03_Segment_History'!D20),'03_Segment_History'!D20,"")</x:f>
        <x:v>0.09728750772533432</x:v>
      </x:c>
      <x:c r="E27" s="32" t="n">
        <x:f>IF(ISNUMBER('03_Segment_History'!E20),'03_Segment_History'!E20,"")</x:f>
        <x:v>0.13118610258427688</x:v>
      </x:c>
      <x:c r="F27" s="32" t="n">
        <x:f>IF(ISNUMBER('03_Segment_History'!F20),'03_Segment_History'!F20,"")</x:f>
        <x:v>0.14660811806539178</x:v>
      </x:c>
      <x:c r="G27" s="32" t="n">
        <x:f>IF(ISNUMBER('03_Segment_History'!G20),'03_Segment_History'!G20,"")</x:f>
        <x:v>0.13618350132885235</x:v>
      </x:c>
      <x:c r="H27" s="32" t="n">
        <x:f>IF(ISNUMBER('03_Segment_History'!H20),'03_Segment_History'!H20,"")</x:f>
        <x:v>0.13624052633633718</x:v>
      </x:c>
      <x:c r="I27" s="51" t="str">
        <x:f>IF(ISNUMBER('04_Drivers'!I39),'04_Drivers'!I39,"")</x:f>
      </x:c>
      <x:c r="J27" s="51" t="str">
        <x:f>IF(ISNUMBER('04_Drivers'!J39),'04_Drivers'!J39,"")</x:f>
      </x:c>
      <x:c r="K27" s="51" t="str">
        <x:f>IF(ISNUMBER('04_Drivers'!K39),'04_Drivers'!K39,"")</x:f>
      </x:c>
      <x:c r="L27" s="51" t="str">
        <x:f>IF(ISNUMBER('04_Drivers'!L39),'04_Drivers'!L39,"")</x:f>
      </x:c>
      <x:c r="M27" s="51" t="str">
        <x:f>IF(ISNUMBER('04_Drivers'!M39),'04_Drivers'!M39,"")</x:f>
      </x:c>
      <x:c r="N27" s="2"/>
      <x:c r="O27" s="2"/>
      <x:c r="P27" s="2"/>
    </x:row>
    <x:row r="28" ht="19" customHeight="1">
      <x:c r="A28" s="2"/>
      <x:c r="B28" s="2"/>
      <x:c r="C28" s="2" t="str">
        <x:v>W&amp;C external EBIT</x:v>
      </x:c>
      <x:c r="D28" s="31" t="n">
        <x:f>IF(ISNUMBER('03_Segment_History'!D47),'03_Segment_History'!D47,"")</x:f>
        <x:v>10405.22</x:v>
      </x:c>
      <x:c r="E28" s="31" t="n">
        <x:f>IF(ISNUMBER('03_Segment_History'!E47),'03_Segment_History'!E47,"")</x:f>
        <x:v>16446.66</x:v>
      </x:c>
      <x:c r="F28" s="31" t="n">
        <x:f>IF(ISNUMBER('03_Segment_History'!F47),'03_Segment_History'!F47,"")</x:f>
        <x:v>23299.27</x:v>
      </x:c>
      <x:c r="G28" s="31" t="n">
        <x:f>IF(ISNUMBER('03_Segment_History'!G47),'03_Segment_History'!G47,"")</x:f>
        <x:v>25722.48</x:v>
      </x:c>
      <x:c r="H28" s="31" t="n">
        <x:f>IF(ISNUMBER('03_Segment_History'!H47),'03_Segment_History'!H47,"")</x:f>
        <x:v>34303.84</x:v>
      </x:c>
      <x:c r="I28" s="52" t="str">
        <x:f>IF(AND(ISNUMBER(I14),ISNUMBER(I27)),I14*I27,"")</x:f>
      </x:c>
      <x:c r="J28" s="52" t="str">
        <x:f>IF(AND(ISNUMBER(J14),ISNUMBER(J27)),J14*J27,"")</x:f>
      </x:c>
      <x:c r="K28" s="52" t="str">
        <x:f>IF(AND(ISNUMBER(K14),ISNUMBER(K27)),K14*K27,"")</x:f>
      </x:c>
      <x:c r="L28" s="52" t="str">
        <x:f>IF(AND(ISNUMBER(L14),ISNUMBER(L27)),L14*L27,"")</x:f>
      </x:c>
      <x:c r="M28" s="52" t="str">
        <x:f>IF(AND(ISNUMBER(M14),ISNUMBER(M27)),M14*M27,"")</x:f>
      </x:c>
      <x:c r="N28" s="2"/>
      <x:c r="O28" s="2"/>
      <x:c r="P28" s="2"/>
    </x:row>
    <x:row r="29" ht="19" customHeight="1">
      <x:c r="A29" s="2"/>
      <x:c r="B29" s="2"/>
      <x:c r="C29" s="2"/>
      <x:c r="D29" s="2"/>
      <x:c r="E29" s="2"/>
      <x:c r="F29" s="2"/>
      <x:c r="G29" s="2"/>
      <x:c r="H29" s="2"/>
      <x:c r="I29" s="34"/>
      <x:c r="J29" s="34"/>
      <x:c r="K29" s="34"/>
      <x:c r="L29" s="34"/>
      <x:c r="M29" s="34"/>
      <x:c r="N29" s="2"/>
      <x:c r="O29" s="2"/>
      <x:c r="P29" s="2"/>
    </x:row>
    <x:row r="30" ht="19" customHeight="1">
      <x:c r="A30" s="2"/>
      <x:c r="B30" s="2"/>
      <x:c r="C30" s="21" t="str">
        <x:v>FMEG EBIT margin</x:v>
      </x:c>
      <x:c r="D30" s="32" t="n">
        <x:f>IF(ISNUMBER('03_Segment_History'!D21),'03_Segment_History'!D21,"")</x:f>
        <x:v>0.01564275026048663</x:v>
      </x:c>
      <x:c r="E30" s="32" t="n">
        <x:f>IF(ISNUMBER('03_Segment_History'!E21),'03_Segment_History'!E21,"")</x:f>
        <x:v>-0.004984985897053687</x:v>
      </x:c>
      <x:c r="F30" s="32" t="n">
        <x:f>IF(ISNUMBER('03_Segment_History'!F21),'03_Segment_History'!F21,"")</x:f>
        <x:v>-0.07319073433960264</x:v>
      </x:c>
      <x:c r="G30" s="32" t="n">
        <x:f>IF(ISNUMBER('03_Segment_History'!G21),'03_Segment_History'!G21,"")</x:f>
        <x:v>-0.023089827775768627</x:v>
      </x:c>
      <x:c r="H30" s="32" t="n">
        <x:f>IF(ISNUMBER('03_Segment_History'!H21),'03_Segment_History'!H21,"")</x:f>
        <x:v>0.02650039046492388</x:v>
      </x:c>
      <x:c r="I30" s="51" t="str">
        <x:f>IF(ISNUMBER('04_Drivers'!I44),'04_Drivers'!I44,"")</x:f>
      </x:c>
      <x:c r="J30" s="51" t="str">
        <x:f>IF(ISNUMBER('04_Drivers'!J44),'04_Drivers'!J44,"")</x:f>
      </x:c>
      <x:c r="K30" s="51" t="str">
        <x:f>IF(ISNUMBER('04_Drivers'!K44),'04_Drivers'!K44,"")</x:f>
      </x:c>
      <x:c r="L30" s="51" t="str">
        <x:f>IF(ISNUMBER('04_Drivers'!L44),'04_Drivers'!L44,"")</x:f>
      </x:c>
      <x:c r="M30" s="51" t="str">
        <x:f>IF(ISNUMBER('04_Drivers'!M44),'04_Drivers'!M44,"")</x:f>
      </x:c>
      <x:c r="N30" s="2"/>
      <x:c r="O30" s="2"/>
      <x:c r="P30" s="2"/>
    </x:row>
    <x:row r="31" ht="19" customHeight="1">
      <x:c r="A31" s="2"/>
      <x:c r="B31" s="2"/>
      <x:c r="C31" s="2" t="str">
        <x:v>FMEG external EBIT</x:v>
      </x:c>
      <x:c r="D31" s="31" t="n">
        <x:f>IF(ISNUMBER('03_Segment_History'!D48),'03_Segment_History'!D48,"")</x:f>
        <x:v>196.22</x:v>
      </x:c>
      <x:c r="E31" s="31" t="n">
        <x:f>IF(ISNUMBER('03_Segment_History'!E48),'03_Segment_History'!E48,"")</x:f>
        <x:v>-62.37</x:v>
      </x:c>
      <x:c r="F31" s="31" t="n">
        <x:f>IF(ISNUMBER('03_Segment_History'!F48),'03_Segment_History'!F48,"")</x:f>
        <x:v>-938.86</x:v>
      </x:c>
      <x:c r="G31" s="31" t="n">
        <x:f>IF(ISNUMBER('03_Segment_History'!G48),'03_Segment_History'!G48,"")</x:f>
        <x:v>-381.8</x:v>
      </x:c>
      <x:c r="H31" s="31" t="n">
        <x:f>IF(ISNUMBER('03_Segment_History'!H48),'03_Segment_History'!H48,"")</x:f>
        <x:v>548.38</x:v>
      </x:c>
      <x:c r="I31" s="52" t="str">
        <x:f>IF(AND(ISNUMBER(I17),ISNUMBER(I30)),I17*I30,"")</x:f>
      </x:c>
      <x:c r="J31" s="52" t="str">
        <x:f>IF(AND(ISNUMBER(J17),ISNUMBER(J30)),J17*J30,"")</x:f>
      </x:c>
      <x:c r="K31" s="52" t="str">
        <x:f>IF(AND(ISNUMBER(K17),ISNUMBER(K30)),K17*K30,"")</x:f>
      </x:c>
      <x:c r="L31" s="52" t="str">
        <x:f>IF(AND(ISNUMBER(L17),ISNUMBER(L30)),L17*L30,"")</x:f>
      </x:c>
      <x:c r="M31" s="52" t="str">
        <x:f>IF(AND(ISNUMBER(M17),ISNUMBER(M30)),M17*M30,"")</x:f>
      </x:c>
      <x:c r="N31" s="2"/>
      <x:c r="O31" s="2"/>
      <x:c r="P31" s="2"/>
    </x:row>
    <x:row r="32" ht="19" customHeight="1">
      <x:c r="A32" s="2"/>
      <x:c r="B32" s="2"/>
      <x:c r="C32" s="2"/>
      <x:c r="D32" s="2"/>
      <x:c r="E32" s="2"/>
      <x:c r="F32" s="2"/>
      <x:c r="G32" s="2"/>
      <x:c r="H32" s="2"/>
      <x:c r="I32" s="34"/>
      <x:c r="J32" s="34"/>
      <x:c r="K32" s="34"/>
      <x:c r="L32" s="34"/>
      <x:c r="M32" s="34"/>
      <x:c r="N32" s="2"/>
      <x:c r="O32" s="2"/>
      <x:c r="P32" s="2"/>
    </x:row>
    <x:row r="33" ht="19" customHeight="1">
      <x:c r="A33" s="2"/>
      <x:c r="B33" s="2"/>
      <x:c r="C33" s="21" t="str">
        <x:v>EPC EBIT margin</x:v>
      </x:c>
      <x:c r="D33" s="32" t="n">
        <x:f>IF(ISNUMBER('03_Segment_History'!D22),'03_Segment_History'!D22,"")</x:f>
        <x:v>0.1487228106660686</x:v>
      </x:c>
      <x:c r="E33" s="32" t="n">
        <x:f>IF(ISNUMBER('03_Segment_History'!E22),'03_Segment_History'!E22,"")</x:f>
        <x:v>0.12059960829608797</x:v>
      </x:c>
      <x:c r="F33" s="32" t="n">
        <x:f>IF(ISNUMBER('03_Segment_History'!F22),'03_Segment_History'!F22,"")</x:f>
        <x:v>0.11459017158502248</x:v>
      </x:c>
      <x:c r="G33" s="32" t="n">
        <x:f>IF(ISNUMBER('03_Segment_History'!G22),'03_Segment_History'!G22,"")</x:f>
        <x:v>0.09412063844054858</x:v>
      </x:c>
      <x:c r="H33" s="32" t="n">
        <x:f>IF(ISNUMBER('03_Segment_History'!H22),'03_Segment_History'!H22,"")</x:f>
        <x:v>0.09934017243365721</x:v>
      </x:c>
      <x:c r="I33" s="51" t="str">
        <x:f>IF(ISNUMBER('04_Drivers'!I49),'04_Drivers'!I49,"")</x:f>
      </x:c>
      <x:c r="J33" s="51" t="str">
        <x:f>IF(ISNUMBER('04_Drivers'!J49),'04_Drivers'!J49,"")</x:f>
      </x:c>
      <x:c r="K33" s="51" t="str">
        <x:f>IF(ISNUMBER('04_Drivers'!K49),'04_Drivers'!K49,"")</x:f>
      </x:c>
      <x:c r="L33" s="51" t="str">
        <x:f>IF(ISNUMBER('04_Drivers'!L49),'04_Drivers'!L49,"")</x:f>
      </x:c>
      <x:c r="M33" s="51" t="str">
        <x:f>IF(ISNUMBER('04_Drivers'!M49),'04_Drivers'!M49,"")</x:f>
      </x:c>
      <x:c r="N33" s="2"/>
      <x:c r="O33" s="2"/>
      <x:c r="P33" s="2"/>
    </x:row>
    <x:row r="34" ht="19" customHeight="1">
      <x:c r="A34" s="2"/>
      <x:c r="B34" s="2"/>
      <x:c r="C34" s="2" t="str">
        <x:v>EPC external EBIT</x:v>
      </x:c>
      <x:c r="D34" s="31" t="n">
        <x:f>IF(ISNUMBER('03_Segment_History'!D49),'03_Segment_History'!D49,"")</x:f>
        <x:v>437.66</x:v>
      </x:c>
      <x:c r="E34" s="31" t="n">
        <x:f>IF(ISNUMBER('03_Segment_History'!E49),'03_Segment_History'!E49,"")</x:f>
        <x:v>432.27</x:v>
      </x:c>
      <x:c r="F34" s="31" t="n">
        <x:f>IF(ISNUMBER('03_Segment_History'!F49),'03_Segment_History'!F49,"")</x:f>
        <x:v>1104.93</x:v>
      </x:c>
      <x:c r="G34" s="31" t="n">
        <x:f>IF(ISNUMBER('03_Segment_History'!G49),'03_Segment_History'!G49,"")</x:f>
        <x:v>1806.4</x:v>
      </x:c>
      <x:c r="H34" s="31" t="n">
        <x:f>IF(ISNUMBER('03_Segment_History'!H49),'03_Segment_History'!H49,"")</x:f>
        <x:v>1655.5</x:v>
      </x:c>
      <x:c r="I34" s="52" t="str">
        <x:f>IF(AND(ISNUMBER(I20),ISNUMBER(I33)),I20*I33,"")</x:f>
      </x:c>
      <x:c r="J34" s="52" t="str">
        <x:f>IF(AND(ISNUMBER(J20),ISNUMBER(J33)),J20*J33,"")</x:f>
      </x:c>
      <x:c r="K34" s="52" t="str">
        <x:f>IF(AND(ISNUMBER(K20),ISNUMBER(K33)),K20*K33,"")</x:f>
      </x:c>
      <x:c r="L34" s="52" t="str">
        <x:f>IF(AND(ISNUMBER(L20),ISNUMBER(L33)),L20*L33,"")</x:f>
      </x:c>
      <x:c r="M34" s="52" t="str">
        <x:f>IF(AND(ISNUMBER(M20),ISNUMBER(M33)),M20*M33,"")</x:f>
      </x:c>
      <x:c r="N34" s="2"/>
      <x:c r="O34" s="2"/>
      <x:c r="P34" s="2"/>
    </x:row>
    <x:row r="35" ht="19" customHeight="1">
      <x:c r="A35" s="2"/>
      <x:c r="B35" s="2"/>
      <x:c r="C35" s="2"/>
      <x:c r="D35" s="2"/>
      <x:c r="E35" s="2"/>
      <x:c r="F35" s="2"/>
      <x:c r="G35" s="2"/>
      <x:c r="H35" s="2"/>
      <x:c r="I35" s="34"/>
      <x:c r="J35" s="34"/>
      <x:c r="K35" s="34"/>
      <x:c r="L35" s="34"/>
      <x:c r="M35" s="34"/>
      <x:c r="N35" s="2"/>
      <x:c r="O35" s="2"/>
      <x:c r="P35" s="2"/>
    </x:row>
    <x:row r="36" ht="19" customHeight="1">
      <x:c r="A36" s="2"/>
      <x:c r="B36" s="2"/>
      <x:c r="C36" s="18" t="str">
        <x:v>Total external segment EBIT</x:v>
      </x:c>
      <x:c r="D36" s="49" t="n">
        <x:f>IF(ISNUMBER('03_Segment_History'!D30),'03_Segment_History'!D30,"")</x:f>
        <x:v>11039.099999999999</x:v>
      </x:c>
      <x:c r="E36" s="49" t="n">
        <x:f>IF(ISNUMBER('03_Segment_History'!E30),'03_Segment_History'!E30,"")</x:f>
        <x:v>16816.56</x:v>
      </x:c>
      <x:c r="F36" s="49" t="n">
        <x:f>IF(ISNUMBER('03_Segment_History'!F30),'03_Segment_History'!F30,"")</x:f>
        <x:v>23465.34</x:v>
      </x:c>
      <x:c r="G36" s="49" t="n">
        <x:f>IF(ISNUMBER('03_Segment_History'!G30),'03_Segment_History'!G30,"")</x:f>
        <x:v>27147.08</x:v>
      </x:c>
      <x:c r="H36" s="49" t="n">
        <x:f>IF(ISNUMBER('03_Segment_History'!H30),'03_Segment_History'!H30,"")</x:f>
        <x:v>36507.719999999994</x:v>
      </x:c>
      <x:c r="I36" s="23" t="str">
        <x:f>IF(AND(ISNUMBER(I28),ISNUMBER(I31),ISNUMBER(I34)),I28+I31+I34,"")</x:f>
      </x:c>
      <x:c r="J36" s="23" t="str">
        <x:f>IF(AND(ISNUMBER(J28),ISNUMBER(J31),ISNUMBER(J34)),J28+J31+J34,"")</x:f>
      </x:c>
      <x:c r="K36" s="23" t="str">
        <x:f>IF(AND(ISNUMBER(K28),ISNUMBER(K31),ISNUMBER(K34)),K28+K31+K34,"")</x:f>
      </x:c>
      <x:c r="L36" s="23" t="str">
        <x:f>IF(AND(ISNUMBER(L28),ISNUMBER(L31),ISNUMBER(L34)),L28+L31+L34,"")</x:f>
      </x:c>
      <x:c r="M36" s="23" t="str">
        <x:f>IF(AND(ISNUMBER(M28),ISNUMBER(M31),ISNUMBER(M34)),M28+M31+M34,"")</x:f>
      </x:c>
      <x:c r="N36" s="2"/>
      <x:c r="O36" s="2"/>
      <x:c r="P36" s="2"/>
    </x:row>
    <x:row r="37" ht="19" customHeight="1">
      <x:c r="A37" s="2"/>
      <x:c r="B37" s="2"/>
      <x:c r="C37" s="18" t="str">
        <x:v>Operating EBIT, excluding other income / JV</x:v>
      </x:c>
      <x:c r="D37" s="49" t="n">
        <x:f>IF(ISNUMBER('03_Segment_History'!D31),'03_Segment_History'!D31,"")</x:f>
        <x:v>10636.789999999999</x:v>
      </x:c>
      <x:c r="E37" s="49" t="n">
        <x:f>IF(ISNUMBER('03_Segment_History'!E31),'03_Segment_History'!E31,"")</x:f>
        <x:v>16429.510000000002</x:v>
      </x:c>
      <x:c r="F37" s="49" t="n">
        <x:f>IF(ISNUMBER('03_Segment_History'!F31),'03_Segment_History'!F31,"")</x:f>
        <x:v>22467.65</x:v>
      </x:c>
      <x:c r="G37" s="49" t="n">
        <x:f>IF(ISNUMBER('03_Segment_History'!G31),'03_Segment_History'!G31,"")</x:f>
        <x:v>26621.370000000003</x:v>
      </x:c>
      <x:c r="H37" s="49" t="n">
        <x:f>IF(ISNUMBER('03_Segment_History'!H31),'03_Segment_History'!H31,"")</x:f>
        <x:v>36198.59</x:v>
      </x:c>
      <x:c r="I37" s="23" t="str">
        <x:f>IF(AND(ISNUMBER(I36),ISNUMBER(I23)),I36-I23,"")</x:f>
      </x:c>
      <x:c r="J37" s="23" t="str">
        <x:f>IF(AND(ISNUMBER(J36),ISNUMBER(J23)),J36-J23,"")</x:f>
      </x:c>
      <x:c r="K37" s="23" t="str">
        <x:f>IF(AND(ISNUMBER(K36),ISNUMBER(K23)),K36-K23,"")</x:f>
      </x:c>
      <x:c r="L37" s="23" t="str">
        <x:f>IF(AND(ISNUMBER(L36),ISNUMBER(L23)),L36-L23,"")</x:f>
      </x:c>
      <x:c r="M37" s="23" t="str">
        <x:f>IF(AND(ISNUMBER(M36),ISNUMBER(M23)),M36-M23,"")</x:f>
      </x:c>
      <x:c r="N37" s="2"/>
      <x:c r="O37" s="2"/>
      <x:c r="P37" s="2"/>
    </x:row>
    <x:row r="38" ht="19" customHeight="1">
      <x:c r="A38" s="2"/>
      <x:c r="B38" s="2"/>
      <x:c r="C38" s="2"/>
      <x:c r="D38" s="2"/>
      <x:c r="E38" s="2"/>
      <x:c r="F38" s="2"/>
      <x:c r="G38" s="2"/>
      <x:c r="H38" s="2"/>
      <x:c r="I38" s="34"/>
      <x:c r="J38" s="34"/>
      <x:c r="K38" s="34"/>
      <x:c r="L38" s="34"/>
      <x:c r="M38" s="34"/>
      <x:c r="N38" s="2"/>
      <x:c r="O38" s="2"/>
      <x:c r="P38" s="2"/>
    </x:row>
    <x:row r="39" ht="19" customHeight="1">
      <x:c r="A39" s="2"/>
      <x:c r="B39" s="2"/>
      <x:c r="C39" s="2"/>
      <x:c r="D39" s="2"/>
      <x:c r="E39" s="2"/>
      <x:c r="F39" s="2"/>
      <x:c r="G39" s="2"/>
      <x:c r="H39" s="2"/>
      <x:c r="I39" s="34"/>
      <x:c r="J39" s="34"/>
      <x:c r="K39" s="34"/>
      <x:c r="L39" s="34"/>
      <x:c r="M39" s="34"/>
      <x:c r="N39" s="2"/>
      <x:c r="O39" s="2"/>
      <x:c r="P39" s="2"/>
    </x:row>
    <x:row r="40" ht="19" customHeight="1">
      <x:c r="A40" s="2"/>
      <x:c r="B40" s="2"/>
      <x:c r="C40" s="2"/>
      <x:c r="D40" s="2"/>
      <x:c r="E40" s="2"/>
      <x:c r="F40" s="2"/>
      <x:c r="G40" s="2"/>
      <x:c r="H40" s="2"/>
      <x:c r="I40" s="34"/>
      <x:c r="J40" s="34"/>
      <x:c r="K40" s="34"/>
      <x:c r="L40" s="34"/>
      <x:c r="M40" s="34"/>
      <x:c r="N40" s="2"/>
      <x:c r="O40" s="2"/>
      <x:c r="P40" s="2"/>
    </x:row>
    <x:row r="41" ht="19" customHeight="1">
      <x:c r="A41" s="2"/>
      <x:c r="B41" s="2"/>
      <x:c r="C41" s="2"/>
      <x:c r="D41" s="2"/>
      <x:c r="E41" s="2"/>
      <x:c r="F41" s="2"/>
      <x:c r="G41" s="2"/>
      <x:c r="H41" s="2"/>
      <x:c r="I41" s="34"/>
      <x:c r="J41" s="34"/>
      <x:c r="K41" s="34"/>
      <x:c r="L41" s="34"/>
      <x:c r="M41" s="34"/>
      <x:c r="N41" s="2"/>
      <x:c r="O41" s="2"/>
      <x:c r="P41" s="2"/>
    </x:row>
    <x:row r="42" ht="19" customHeight="1">
      <x:c r="A42" s="2"/>
      <x:c r="B42" s="2"/>
      <x:c r="C42" s="2"/>
      <x:c r="D42" s="2"/>
      <x:c r="E42" s="2"/>
      <x:c r="F42" s="2"/>
      <x:c r="G42" s="2"/>
      <x:c r="H42" s="2"/>
      <x:c r="I42" s="34"/>
      <x:c r="J42" s="34"/>
      <x:c r="K42" s="34"/>
      <x:c r="L42" s="34"/>
      <x:c r="M42" s="34"/>
      <x:c r="N42" s="2"/>
      <x:c r="O42" s="2"/>
      <x:c r="P42" s="2"/>
    </x:row>
    <x:row r="43" ht="19" customHeight="1">
      <x:c r="A43" s="2"/>
      <x:c r="B43" s="2"/>
      <x:c r="C43" s="2"/>
      <x:c r="D43" s="2"/>
      <x:c r="E43" s="2"/>
      <x:c r="F43" s="2"/>
      <x:c r="G43" s="2"/>
      <x:c r="H43" s="2"/>
      <x:c r="I43" s="34"/>
      <x:c r="J43" s="34"/>
      <x:c r="K43" s="34"/>
      <x:c r="L43" s="34"/>
      <x:c r="M43" s="34"/>
      <x:c r="N43" s="2"/>
      <x:c r="O43" s="2"/>
      <x:c r="P43" s="2"/>
    </x:row>
    <x:row r="44" ht="19" customHeight="1">
      <x:c r="A44" s="2"/>
      <x:c r="B44" s="2"/>
      <x:c r="C44" s="2"/>
      <x:c r="D44" s="2"/>
      <x:c r="E44" s="2"/>
      <x:c r="F44" s="2"/>
      <x:c r="G44" s="2"/>
      <x:c r="H44" s="2"/>
      <x:c r="I44" s="34"/>
      <x:c r="J44" s="34"/>
      <x:c r="K44" s="34"/>
      <x:c r="L44" s="34"/>
      <x:c r="M44" s="34"/>
      <x:c r="N44" s="2"/>
      <x:c r="O44" s="2"/>
      <x:c r="P44" s="2"/>
    </x:row>
    <x:row r="45" ht="19" customHeight="1">
      <x:c r="A45" s="2"/>
      <x:c r="B45" s="2"/>
      <x:c r="C45" s="2"/>
      <x:c r="D45" s="2"/>
      <x:c r="E45" s="2"/>
      <x:c r="F45" s="2"/>
      <x:c r="G45" s="2"/>
      <x:c r="H45" s="2"/>
      <x:c r="I45" s="34"/>
      <x:c r="J45" s="34"/>
      <x:c r="K45" s="34"/>
      <x:c r="L45" s="34"/>
      <x:c r="M45" s="34"/>
      <x:c r="N45" s="2"/>
      <x:c r="O45" s="2"/>
      <x:c r="P45" s="2"/>
    </x:row>
    <x:row r="46" ht="19" customHeight="1">
      <x:c r="A46" s="2"/>
      <x:c r="B46" s="2"/>
      <x:c r="C46" s="2"/>
      <x:c r="D46" s="2"/>
      <x:c r="E46" s="2"/>
      <x:c r="F46" s="2"/>
      <x:c r="G46" s="2"/>
      <x:c r="H46" s="2"/>
      <x:c r="I46" s="34"/>
      <x:c r="J46" s="34"/>
      <x:c r="K46" s="34"/>
      <x:c r="L46" s="34"/>
      <x:c r="M46" s="34"/>
      <x:c r="N46" s="2"/>
      <x:c r="O46" s="2"/>
      <x:c r="P46" s="2"/>
    </x:row>
    <x:row r="47" ht="19" customHeight="1">
      <x:c r="A47" s="2"/>
      <x:c r="B47" s="2"/>
      <x:c r="C47" s="2"/>
      <x:c r="D47" s="2"/>
      <x:c r="E47" s="2"/>
      <x:c r="F47" s="2"/>
      <x:c r="G47" s="2"/>
      <x:c r="H47" s="2"/>
      <x:c r="I47" s="34"/>
      <x:c r="J47" s="34"/>
      <x:c r="K47" s="34"/>
      <x:c r="L47" s="34"/>
      <x:c r="M47" s="34"/>
      <x:c r="N47" s="2"/>
      <x:c r="O47" s="2"/>
      <x:c r="P47" s="2"/>
    </x:row>
    <x:row r="48" ht="19" customHeight="1">
      <x:c r="A48" s="2"/>
      <x:c r="B48" s="2"/>
      <x:c r="C48" s="2"/>
      <x:c r="D48" s="2"/>
      <x:c r="E48" s="2"/>
      <x:c r="F48" s="2"/>
      <x:c r="G48" s="2"/>
      <x:c r="H48" s="2"/>
      <x:c r="I48" s="34"/>
      <x:c r="J48" s="34"/>
      <x:c r="K48" s="34"/>
      <x:c r="L48" s="34"/>
      <x:c r="M48" s="34"/>
      <x:c r="N48" s="2"/>
      <x:c r="O48" s="2"/>
      <x:c r="P48" s="2"/>
    </x:row>
  </x:sheetData>
  <x:mergeCells>
    <x:mergeCell ref="C4:M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791AA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5" hidden="0" customWidth="1"/>
    <x:col min="16" max="16" width="3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9" customHeight="1">
      <x:c r="A2" s="2"/>
      <x:c r="B2" s="2"/>
      <x:c r="C2" s="3" t="str">
        <x:v>Integrated three-statement model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</x:row>
    <x:row r="4" ht="30" customHeight="1">
      <x:c r="A4" s="2"/>
      <x:c r="B4" s="2"/>
      <x:c r="C4" s="84" t="str">
        <x:v>Historical statements are linked. Forecast formulas activate only when their own inputs are supplied.</x:v>
      </x:c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2"/>
      <x:c r="O4" s="2" t="str">
        <x:v>Active case</x:v>
      </x:c>
      <x:c r="P4" s="2"/>
    </x:row>
    <x:row r="5" ht="1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70" t="str">
        <x:f>CHOOSE('00_Cover'!D10,"Base","Bull","Bear")</x:f>
        <x:v>Base</x:v>
      </x:c>
      <x:c r="P5" s="2"/>
    </x:row>
    <x:row r="6" ht="19" customHeight="1">
      <x:c r="A6" s="2"/>
      <x:c r="B6" s="2"/>
      <x:c r="C6" s="2" t="str">
        <x:v>INR million, unless specified</x:v>
      </x:c>
      <x:c r="D6" s="8" t="str">
        <x:v>FY22A</x:v>
      </x:c>
      <x:c r="E6" s="8" t="str">
        <x:v>FY23A</x:v>
      </x:c>
      <x:c r="F6" s="8" t="str">
        <x:v>FY24A</x:v>
      </x:c>
      <x:c r="G6" s="8" t="str">
        <x:v>FY25A</x:v>
      </x:c>
      <x:c r="H6" s="8" t="str">
        <x:v>FY26A</x:v>
      </x:c>
      <x:c r="I6" s="33" t="str">
        <x:v>FY27E</x:v>
      </x:c>
      <x:c r="J6" s="33" t="str">
        <x:v>FY28E</x:v>
      </x:c>
      <x:c r="K6" s="33" t="str">
        <x:v>FY29E</x:v>
      </x:c>
      <x:c r="L6" s="33" t="str">
        <x:v>FY30E</x:v>
      </x:c>
      <x:c r="M6" s="33" t="str">
        <x:v>FY31E</x:v>
      </x:c>
      <x:c r="N6" s="2"/>
      <x:c r="O6" s="2"/>
      <x:c r="P6" s="2"/>
    </x:row>
    <x:row r="7" ht="19" customHeight="1">
      <x:c r="A7" s="2"/>
      <x:c r="B7" s="2"/>
      <x:c r="C7" s="2"/>
      <x:c r="D7" s="2"/>
      <x:c r="E7" s="2"/>
      <x:c r="F7" s="2"/>
      <x:c r="G7" s="2"/>
      <x:c r="H7" s="2"/>
      <x:c r="I7" s="34"/>
      <x:c r="J7" s="34"/>
      <x:c r="K7" s="34"/>
      <x:c r="L7" s="34"/>
      <x:c r="M7" s="34"/>
      <x:c r="N7" s="2"/>
      <x:c r="O7" s="2"/>
      <x:c r="P7" s="2"/>
    </x:row>
    <x:row r="8" ht="23" customHeight="1">
      <x:c r="A8" s="2"/>
      <x:c r="B8" s="2"/>
      <x:c r="C8" s="10" t="str">
        <x:v>PROFIT AND LOSS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2"/>
      <x:c r="O8" s="2"/>
      <x:c r="P8" s="2"/>
    </x:row>
    <x:row r="9" ht="19" customHeight="1">
      <x:c r="A9" s="2"/>
      <x:c r="B9" s="2"/>
      <x:c r="C9" s="18" t="str">
        <x:v>Revenue from operations</x:v>
      </x:c>
      <x:c r="D9" s="49" t="n">
        <x:f>IF(ISNUMBER('02_Historical_FS'!D43),'02_Historical_FS'!D43,"")</x:f>
        <x:v>122037.61</x:v>
      </x:c>
      <x:c r="E9" s="49" t="n">
        <x:f>IF(ISNUMBER('02_Historical_FS'!E43),'02_Historical_FS'!E43,"")</x:f>
        <x:v>141077.78</x:v>
      </x:c>
      <x:c r="F9" s="49" t="n">
        <x:f>IF(ISNUMBER('02_Historical_FS'!F43),'02_Historical_FS'!F43,"")</x:f>
        <x:v>180394.44</x:v>
      </x:c>
      <x:c r="G9" s="49" t="n">
        <x:f>IF(ISNUMBER('02_Historical_FS'!G43),'02_Historical_FS'!G43,"")</x:f>
        <x:v>224083.13</x:v>
      </x:c>
      <x:c r="H9" s="49" t="n">
        <x:f>IF(ISNUMBER('02_Historical_FS'!H43),'02_Historical_FS'!H43,"")</x:f>
        <x:v>288837.92</x:v>
      </x:c>
      <x:c r="I9" s="49" t="str">
        <x:f>IF(ISNUMBER('05_Segment_Forecast'!I24),'05_Segment_Forecast'!I24,"")</x:f>
      </x:c>
      <x:c r="J9" s="49" t="str">
        <x:f>IF(ISNUMBER('05_Segment_Forecast'!J24),'05_Segment_Forecast'!J24,"")</x:f>
      </x:c>
      <x:c r="K9" s="49" t="str">
        <x:f>IF(ISNUMBER('05_Segment_Forecast'!K24),'05_Segment_Forecast'!K24,"")</x:f>
      </x:c>
      <x:c r="L9" s="49" t="str">
        <x:f>IF(ISNUMBER('05_Segment_Forecast'!L24),'05_Segment_Forecast'!L24,"")</x:f>
      </x:c>
      <x:c r="M9" s="49" t="str">
        <x:f>IF(ISNUMBER('05_Segment_Forecast'!M24),'05_Segment_Forecast'!M24,"")</x:f>
      </x:c>
      <x:c r="N9" s="2"/>
      <x:c r="O9" s="2"/>
      <x:c r="P9" s="2"/>
    </x:row>
    <x:row r="10" ht="19" customHeight="1">
      <x:c r="A10" s="2"/>
      <x:c r="B10" s="2"/>
      <x:c r="C10" s="2" t="str">
        <x:v>Broad COGS</x:v>
      </x:c>
      <x:c r="D10" s="31" t="n">
        <x:f>IF(ISNUMBER('02_Historical_FS'!D11),'02_Historical_FS'!D11,"")</x:f>
        <x:v>94656.76000000001</x:v>
      </x:c>
      <x:c r="E10" s="31" t="n">
        <x:f>IF(ISNUMBER('02_Historical_FS'!E11),'02_Historical_FS'!E11,"")</x:f>
        <x:v>105108.95999999999</x:v>
      </x:c>
      <x:c r="F10" s="31" t="n">
        <x:f>IF(ISNUMBER('02_Historical_FS'!F11),'02_Historical_FS'!F11,"")</x:f>
        <x:v>132803.01</x:v>
      </x:c>
      <x:c r="G10" s="31" t="n">
        <x:f>IF(ISNUMBER('02_Historical_FS'!G11),'02_Historical_FS'!G11,"")</x:f>
        <x:v>168300.33</x:v>
      </x:c>
      <x:c r="H10" s="31" t="n">
        <x:f>IF(ISNUMBER('02_Historical_FS'!H11),'02_Historical_FS'!H11,"")</x:f>
        <x:v>215815.97000000003</x:v>
      </x:c>
      <x:c r="I10" s="53" t="str">
        <x:f>IF(AND(ISNUMBER(I9),ISNUMBER('04_Drivers'!I59)),I9*'04_Drivers'!I59,"")</x:f>
      </x:c>
      <x:c r="J10" s="53" t="str">
        <x:f>IF(AND(ISNUMBER(J9),ISNUMBER('04_Drivers'!J59)),J9*'04_Drivers'!J59,"")</x:f>
      </x:c>
      <x:c r="K10" s="53" t="str">
        <x:f>IF(AND(ISNUMBER(K9),ISNUMBER('04_Drivers'!K59)),K9*'04_Drivers'!K59,"")</x:f>
      </x:c>
      <x:c r="L10" s="53" t="str">
        <x:f>IF(AND(ISNUMBER(L9),ISNUMBER('04_Drivers'!L59)),L9*'04_Drivers'!L59,"")</x:f>
      </x:c>
      <x:c r="M10" s="53" t="str">
        <x:f>IF(AND(ISNUMBER(M9),ISNUMBER('04_Drivers'!M59)),M9*'04_Drivers'!M59,"")</x:f>
      </x:c>
      <x:c r="N10" s="2"/>
      <x:c r="O10" s="2"/>
      <x:c r="P10" s="2"/>
    </x:row>
    <x:row r="11" ht="19" customHeight="1">
      <x:c r="A11" s="2"/>
      <x:c r="B11" s="2"/>
      <x:c r="C11" s="18" t="str">
        <x:v>Gross contribution</x:v>
      </x:c>
      <x:c r="D11" s="49" t="n">
        <x:f>IF(ISNUMBER('02_Historical_FS'!D12),'02_Historical_FS'!D12,"")</x:f>
        <x:v>27380.84999999999</x:v>
      </x:c>
      <x:c r="E11" s="49" t="n">
        <x:f>IF(ISNUMBER('02_Historical_FS'!E12),'02_Historical_FS'!E12,"")</x:f>
        <x:v>35968.82000000001</x:v>
      </x:c>
      <x:c r="F11" s="49" t="n">
        <x:f>IF(ISNUMBER('02_Historical_FS'!F12),'02_Historical_FS'!F12,"")</x:f>
        <x:v>47591.42999999999</x:v>
      </x:c>
      <x:c r="G11" s="49" t="n">
        <x:f>IF(ISNUMBER('02_Historical_FS'!G12),'02_Historical_FS'!G12,"")</x:f>
        <x:v>55782.80000000002</x:v>
      </x:c>
      <x:c r="H11" s="49" t="n">
        <x:f>IF(ISNUMBER('02_Historical_FS'!H12),'02_Historical_FS'!H12,"")</x:f>
        <x:v>73021.94999999995</x:v>
      </x:c>
      <x:c r="I11" s="23" t="str">
        <x:f>IF(AND(ISNUMBER(I9),ISNUMBER(I10)),I9-I10,"")</x:f>
      </x:c>
      <x:c r="J11" s="23" t="str">
        <x:f>IF(AND(ISNUMBER(J9),ISNUMBER(J10)),J9-J10,"")</x:f>
      </x:c>
      <x:c r="K11" s="23" t="str">
        <x:f>IF(AND(ISNUMBER(K9),ISNUMBER(K10)),K9-K10,"")</x:f>
      </x:c>
      <x:c r="L11" s="23" t="str">
        <x:f>IF(AND(ISNUMBER(L9),ISNUMBER(L10)),L9-L10,"")</x:f>
      </x:c>
      <x:c r="M11" s="23" t="str">
        <x:f>IF(AND(ISNUMBER(M9),ISNUMBER(M10)),M9-M10,"")</x:f>
      </x:c>
      <x:c r="N11" s="2"/>
      <x:c r="O11" s="2"/>
      <x:c r="P11" s="2"/>
    </x:row>
    <x:row r="12" ht="19" customHeight="1">
      <x:c r="A12" s="2"/>
      <x:c r="B12" s="2"/>
      <x:c r="C12" s="2" t="str">
        <x:v>Operating expenses, excluding D&amp;A</x:v>
      </x:c>
      <x:c r="D12" s="31" t="n">
        <x:f>'02_Historical_FS'!D49+'02_Historical_FS'!D50</x:f>
        <x:v>14728.86</x:v>
      </x:c>
      <x:c r="E12" s="31" t="n">
        <x:f>'02_Historical_FS'!E49+'02_Historical_FS'!E50</x:f>
        <x:v>17447.68</x:v>
      </x:c>
      <x:c r="F12" s="31" t="n">
        <x:f>'02_Historical_FS'!F49+'02_Historical_FS'!F50</x:f>
        <x:v>22673.379999999997</x:v>
      </x:c>
      <x:c r="G12" s="31" t="n">
        <x:f>'02_Historical_FS'!G49+'02_Historical_FS'!G50</x:f>
        <x:v>26180.4</x:v>
      </x:c>
      <x:c r="H12" s="31" t="n">
        <x:f>'02_Historical_FS'!H49+'02_Historical_FS'!H50</x:f>
        <x:v>32964.67</x:v>
      </x:c>
      <x:c r="I12" s="52" t="str">
        <x:f>IF(AND(ISNUMBER(I11),ISNUMBER(I13)),I11-I13,"")</x:f>
      </x:c>
      <x:c r="J12" s="52" t="str">
        <x:f>IF(AND(ISNUMBER(J11),ISNUMBER(J13)),J11-J13,"")</x:f>
      </x:c>
      <x:c r="K12" s="52" t="str">
        <x:f>IF(AND(ISNUMBER(K11),ISNUMBER(K13)),K11-K13,"")</x:f>
      </x:c>
      <x:c r="L12" s="52" t="str">
        <x:f>IF(AND(ISNUMBER(L11),ISNUMBER(L13)),L11-L13,"")</x:f>
      </x:c>
      <x:c r="M12" s="52" t="str">
        <x:f>IF(AND(ISNUMBER(M11),ISNUMBER(M13)),M11-M13,"")</x:f>
      </x:c>
      <x:c r="N12" s="2"/>
      <x:c r="O12" s="13" t="str">
        <x:v>Forecast operating expenses are implied by gross contribution less segment-based operating EBITDA.</x:v>
      </x:c>
      <x:c r="P12" s="2"/>
    </x:row>
    <x:row r="13" ht="19" customHeight="1">
      <x:c r="A13" s="2"/>
      <x:c r="B13" s="2"/>
      <x:c r="C13" s="18" t="str">
        <x:v>Operating EBITDA before JV result</x:v>
      </x:c>
      <x:c r="D13" s="49" t="n">
        <x:f>IF(ISNUMBER('02_Historical_FS'!D15),'02_Historical_FS'!D15,"")</x:f>
        <x:v>12651.98999999999</x:v>
      </x:c>
      <x:c r="E13" s="49" t="n">
        <x:f>IF(ISNUMBER('02_Historical_FS'!E15),'02_Historical_FS'!E15,"")</x:f>
        <x:v>18521.140000000007</x:v>
      </x:c>
      <x:c r="F13" s="49" t="n">
        <x:f>IF(ISNUMBER('02_Historical_FS'!F15),'02_Historical_FS'!F15,"")</x:f>
        <x:v>24918.049999999996</x:v>
      </x:c>
      <x:c r="G13" s="49" t="n">
        <x:f>IF(ISNUMBER('02_Historical_FS'!G15),'02_Historical_FS'!G15,"")</x:f>
        <x:v>29602.400000000016</x:v>
      </x:c>
      <x:c r="H13" s="49" t="n">
        <x:f>IF(ISNUMBER('02_Historical_FS'!H15),'02_Historical_FS'!H15,"")</x:f>
        <x:v>40057.279999999955</x:v>
      </x:c>
      <x:c r="I13" s="23" t="str">
        <x:f>IF(AND(ISNUMBER(I15),ISNUMBER(I14)),I15+I14,"")</x:f>
      </x:c>
      <x:c r="J13" s="23" t="str">
        <x:f>IF(AND(ISNUMBER(J15),ISNUMBER(J14)),J15+J14,"")</x:f>
      </x:c>
      <x:c r="K13" s="23" t="str">
        <x:f>IF(AND(ISNUMBER(K15),ISNUMBER(K14)),K15+K14,"")</x:f>
      </x:c>
      <x:c r="L13" s="23" t="str">
        <x:f>IF(AND(ISNUMBER(L15),ISNUMBER(L14)),L15+L14,"")</x:f>
      </x:c>
      <x:c r="M13" s="23" t="str">
        <x:f>IF(AND(ISNUMBER(M15),ISNUMBER(M14)),M15+M14,"")</x:f>
      </x:c>
      <x:c r="N13" s="2"/>
      <x:c r="O13" s="2"/>
      <x:c r="P13" s="2"/>
    </x:row>
    <x:row r="14" ht="19" customHeight="1">
      <x:c r="A14" s="2"/>
      <x:c r="B14" s="2"/>
      <x:c r="C14" s="2" t="str">
        <x:v>Depreciation and amortisation</x:v>
      </x:c>
      <x:c r="D14" s="31" t="n">
        <x:f>IF(ISNUMBER('02_Historical_FS'!D51),'02_Historical_FS'!D51,"")</x:f>
        <x:v>2015.19</x:v>
      </x:c>
      <x:c r="E14" s="31" t="n">
        <x:f>IF(ISNUMBER('02_Historical_FS'!E51),'02_Historical_FS'!E51,"")</x:f>
        <x:v>2091.64</x:v>
      </x:c>
      <x:c r="F14" s="31" t="n">
        <x:f>IF(ISNUMBER('02_Historical_FS'!F51),'02_Historical_FS'!F51,"")</x:f>
        <x:v>2450.4</x:v>
      </x:c>
      <x:c r="G14" s="31" t="n">
        <x:f>IF(ISNUMBER('02_Historical_FS'!G51),'02_Historical_FS'!G51,"")</x:f>
        <x:v>2981.03</x:v>
      </x:c>
      <x:c r="H14" s="31" t="n">
        <x:f>IF(ISNUMBER('02_Historical_FS'!H51),'02_Historical_FS'!H51,"")</x:f>
        <x:v>3858.69</x:v>
      </x:c>
      <x:c r="I14" s="53" t="str">
        <x:f>IF(ISNUMBER('08_Fixed_Assets'!I21),'08_Fixed_Assets'!I21,"")</x:f>
      </x:c>
      <x:c r="J14" s="53" t="str">
        <x:f>IF(ISNUMBER('08_Fixed_Assets'!J21),'08_Fixed_Assets'!J21,"")</x:f>
      </x:c>
      <x:c r="K14" s="53" t="str">
        <x:f>IF(ISNUMBER('08_Fixed_Assets'!K21),'08_Fixed_Assets'!K21,"")</x:f>
      </x:c>
      <x:c r="L14" s="53" t="str">
        <x:f>IF(ISNUMBER('08_Fixed_Assets'!L21),'08_Fixed_Assets'!L21,"")</x:f>
      </x:c>
      <x:c r="M14" s="53" t="str">
        <x:f>IF(ISNUMBER('08_Fixed_Assets'!M21),'08_Fixed_Assets'!M21,"")</x:f>
      </x:c>
      <x:c r="N14" s="2"/>
      <x:c r="O14" s="2"/>
      <x:c r="P14" s="2"/>
    </x:row>
    <x:row r="15" ht="19" customHeight="1">
      <x:c r="A15" s="2"/>
      <x:c r="B15" s="2"/>
      <x:c r="C15" s="18" t="str">
        <x:v>Operating EBIT before JV, excluding other income</x:v>
      </x:c>
      <x:c r="D15" s="23" t="n">
        <x:f>D13-D14</x:f>
        <x:v>10636.79999999999</x:v>
      </x:c>
      <x:c r="E15" s="23" t="n">
        <x:f>E13-E14</x:f>
        <x:v>16429.500000000007</x:v>
      </x:c>
      <x:c r="F15" s="23" t="n">
        <x:f>F13-F14</x:f>
        <x:v>22467.649999999994</x:v>
      </x:c>
      <x:c r="G15" s="23" t="n">
        <x:f>G13-G14</x:f>
        <x:v>26621.370000000017</x:v>
      </x:c>
      <x:c r="H15" s="23" t="n">
        <x:f>H13-H14</x:f>
        <x:v>36198.58999999995</x:v>
      </x:c>
      <x:c r="I15" s="49" t="str">
        <x:f>IF(ISNUMBER('05_Segment_Forecast'!I37),'05_Segment_Forecast'!I37,"")</x:f>
      </x:c>
      <x:c r="J15" s="49" t="str">
        <x:f>IF(ISNUMBER('05_Segment_Forecast'!J37),'05_Segment_Forecast'!J37,"")</x:f>
      </x:c>
      <x:c r="K15" s="49" t="str">
        <x:f>IF(ISNUMBER('05_Segment_Forecast'!K37),'05_Segment_Forecast'!K37,"")</x:f>
      </x:c>
      <x:c r="L15" s="49" t="str">
        <x:f>IF(ISNUMBER('05_Segment_Forecast'!L37),'05_Segment_Forecast'!L37,"")</x:f>
      </x:c>
      <x:c r="M15" s="49" t="str">
        <x:f>IF(ISNUMBER('05_Segment_Forecast'!M37),'05_Segment_Forecast'!M37,"")</x:f>
      </x:c>
      <x:c r="N15" s="2"/>
      <x:c r="O15" s="2"/>
      <x:c r="P15" s="2"/>
    </x:row>
    <x:row r="16" ht="19" customHeight="1">
      <x:c r="A16" s="2"/>
      <x:c r="B16" s="2"/>
      <x:c r="C16" s="2" t="str">
        <x:v>Joint-venture result</x:v>
      </x:c>
      <x:c r="D16" s="31" t="n">
        <x:f>IF(ISNUMBER('02_Historical_FS'!D53),'02_Historical_FS'!D53,"")</x:f>
        <x:v>-25.55</x:v>
      </x:c>
      <x:c r="E16" s="31" t="n">
        <x:f>IF(ISNUMBER('02_Historical_FS'!E53),'02_Historical_FS'!E53,"")</x:f>
        <x:v>-92.63</x:v>
      </x:c>
      <x:c r="F16" s="31" t="n">
        <x:f>IF(ISNUMBER('02_Historical_FS'!F53),'02_Historical_FS'!F53,"")</x:f>
        <x:v>0</x:v>
      </x:c>
      <x:c r="G16" s="31" t="n">
        <x:f>IF(ISNUMBER('02_Historical_FS'!G53),'02_Historical_FS'!G53,"")</x:f>
        <x:v>0</x:v>
      </x:c>
      <x:c r="H16" s="31" t="n">
        <x:f>IF(ISNUMBER('02_Historical_FS'!H53),'02_Historical_FS'!H53,"")</x:f>
        <x:v>0</x:v>
      </x:c>
      <x:c r="I16" s="53" t="str">
        <x:f>IF(ISNUMBER('04_Drivers'!I129),'04_Drivers'!I129,"")</x:f>
      </x:c>
      <x:c r="J16" s="53" t="str">
        <x:f>IF(ISNUMBER('04_Drivers'!J129),'04_Drivers'!J129,"")</x:f>
      </x:c>
      <x:c r="K16" s="53" t="str">
        <x:f>IF(ISNUMBER('04_Drivers'!K129),'04_Drivers'!K129,"")</x:f>
      </x:c>
      <x:c r="L16" s="53" t="str">
        <x:f>IF(ISNUMBER('04_Drivers'!L129),'04_Drivers'!L129,"")</x:f>
      </x:c>
      <x:c r="M16" s="53" t="str">
        <x:f>IF(ISNUMBER('04_Drivers'!M129),'04_Drivers'!M129,"")</x:f>
      </x:c>
      <x:c r="N16" s="2"/>
      <x:c r="O16" s="2"/>
      <x:c r="P16" s="2"/>
    </x:row>
    <x:row r="17" ht="19" customHeight="1">
      <x:c r="A17" s="2"/>
      <x:c r="B17" s="2"/>
      <x:c r="C17" s="2" t="str">
        <x:v>Other income</x:v>
      </x:c>
      <x:c r="D17" s="31" t="n">
        <x:f>IF(ISNUMBER('02_Historical_FS'!D44),'02_Historical_FS'!D44,"")</x:f>
        <x:v>899.23</x:v>
      </x:c>
      <x:c r="E17" s="31" t="n">
        <x:f>IF(ISNUMBER('02_Historical_FS'!E44),'02_Historical_FS'!E44,"")</x:f>
        <x:v>1333.26</x:v>
      </x:c>
      <x:c r="F17" s="31" t="n">
        <x:f>IF(ISNUMBER('02_Historical_FS'!F44),'02_Historical_FS'!F44,"")</x:f>
        <x:v>2208.75</x:v>
      </x:c>
      <x:c r="G17" s="31" t="n">
        <x:f>IF(ISNUMBER('02_Historical_FS'!G44),'02_Historical_FS'!G44,"")</x:f>
        <x:v>2076.36</x:v>
      </x:c>
      <x:c r="H17" s="31" t="n">
        <x:f>IF(ISNUMBER('02_Historical_FS'!H44),'02_Historical_FS'!H44,"")</x:f>
        <x:v>2362.52</x:v>
      </x:c>
      <x:c r="I17" s="53" t="str">
        <x:f>IF(AND(ISNUMBER(I9),ISNUMBER('04_Drivers'!I119)),I9*'04_Drivers'!I119,"")</x:f>
      </x:c>
      <x:c r="J17" s="53" t="str">
        <x:f>IF(AND(ISNUMBER(J9),ISNUMBER('04_Drivers'!J119)),J9*'04_Drivers'!J119,"")</x:f>
      </x:c>
      <x:c r="K17" s="53" t="str">
        <x:f>IF(AND(ISNUMBER(K9),ISNUMBER('04_Drivers'!K119)),K9*'04_Drivers'!K119,"")</x:f>
      </x:c>
      <x:c r="L17" s="53" t="str">
        <x:f>IF(AND(ISNUMBER(L9),ISNUMBER('04_Drivers'!L119)),L9*'04_Drivers'!L119,"")</x:f>
      </x:c>
      <x:c r="M17" s="53" t="str">
        <x:f>IF(AND(ISNUMBER(M9),ISNUMBER('04_Drivers'!M119)),M9*'04_Drivers'!M119,"")</x:f>
      </x:c>
      <x:c r="N17" s="2"/>
      <x:c r="O17" s="2"/>
      <x:c r="P17" s="2"/>
    </x:row>
    <x:row r="18" ht="19" customHeight="1">
      <x:c r="A18" s="2"/>
      <x:c r="B18" s="2"/>
      <x:c r="C18" s="2" t="str">
        <x:v>Finance costs</x:v>
      </x:c>
      <x:c r="D18" s="31" t="n">
        <x:f>IF(ISNUMBER('02_Historical_FS'!D52),'02_Historical_FS'!D52,"")</x:f>
        <x:v>351.9</x:v>
      </x:c>
      <x:c r="E18" s="31" t="n">
        <x:f>IF(ISNUMBER('02_Historical_FS'!E52),'02_Historical_FS'!E52,"")</x:f>
        <x:v>597.57</x:v>
      </x:c>
      <x:c r="F18" s="31" t="n">
        <x:f>IF(ISNUMBER('02_Historical_FS'!F52),'02_Historical_FS'!F52,"")</x:f>
        <x:v>1083.4</x:v>
      </x:c>
      <x:c r="G18" s="31" t="n">
        <x:f>IF(ISNUMBER('02_Historical_FS'!G52),'02_Historical_FS'!G52,"")</x:f>
        <x:v>1689.28</x:v>
      </x:c>
      <x:c r="H18" s="31" t="n">
        <x:f>IF(ISNUMBER('02_Historical_FS'!H52),'02_Historical_FS'!H52,"")</x:f>
        <x:v>2430.36</x:v>
      </x:c>
      <x:c r="I18" s="53" t="str">
        <x:f>IF(AND(ISNUMBER(I9),ISNUMBER('04_Drivers'!I124)),I9*'04_Drivers'!I124,"")</x:f>
      </x:c>
      <x:c r="J18" s="53" t="str">
        <x:f>IF(AND(ISNUMBER(J9),ISNUMBER('04_Drivers'!J124)),J9*'04_Drivers'!J124,"")</x:f>
      </x:c>
      <x:c r="K18" s="53" t="str">
        <x:f>IF(AND(ISNUMBER(K9),ISNUMBER('04_Drivers'!K124)),K9*'04_Drivers'!K124,"")</x:f>
      </x:c>
      <x:c r="L18" s="53" t="str">
        <x:f>IF(AND(ISNUMBER(L9),ISNUMBER('04_Drivers'!L124)),L9*'04_Drivers'!L124,"")</x:f>
      </x:c>
      <x:c r="M18" s="53" t="str">
        <x:f>IF(AND(ISNUMBER(M9),ISNUMBER('04_Drivers'!M124)),M9*'04_Drivers'!M124,"")</x:f>
      </x:c>
      <x:c r="N18" s="2"/>
      <x:c r="O18" s="2"/>
      <x:c r="P18" s="2"/>
    </x:row>
    <x:row r="19" ht="19" customHeight="1">
      <x:c r="A19" s="2"/>
      <x:c r="B19" s="2"/>
      <x:c r="C19" s="18" t="str">
        <x:v>Profit before tax</x:v>
      </x:c>
      <x:c r="D19" s="49" t="n">
        <x:f>IF(ISNUMBER('02_Historical_FS'!D54),'02_Historical_FS'!D54,"")</x:f>
        <x:v>11158.58</x:v>
      </x:c>
      <x:c r="E19" s="49" t="n">
        <x:f>IF(ISNUMBER('02_Historical_FS'!E54),'02_Historical_FS'!E54,"")</x:f>
        <x:v>17072.56</x:v>
      </x:c>
      <x:c r="F19" s="49" t="n">
        <x:f>IF(ISNUMBER('02_Historical_FS'!F54),'02_Historical_FS'!F54,"")</x:f>
        <x:v>23593</x:v>
      </x:c>
      <x:c r="G19" s="49" t="n">
        <x:f>IF(ISNUMBER('02_Historical_FS'!G54),'02_Historical_FS'!G54,"")</x:f>
        <x:v>27008.45</x:v>
      </x:c>
      <x:c r="H19" s="49" t="n">
        <x:f>IF(ISNUMBER('02_Historical_FS'!H54),'02_Historical_FS'!H54,"")</x:f>
        <x:v>36130.75</x:v>
      </x:c>
      <x:c r="I19" s="23" t="str">
        <x:f>IF(AND(ISNUMBER(I15),ISNUMBER(I16),ISNUMBER(I17),ISNUMBER(I18)),I15+I16+I17-I18,"")</x:f>
      </x:c>
      <x:c r="J19" s="23" t="str">
        <x:f>IF(AND(ISNUMBER(J15),ISNUMBER(J16),ISNUMBER(J17),ISNUMBER(J18)),J15+J16+J17-J18,"")</x:f>
      </x:c>
      <x:c r="K19" s="23" t="str">
        <x:f>IF(AND(ISNUMBER(K15),ISNUMBER(K16),ISNUMBER(K17),ISNUMBER(K18)),K15+K16+K17-K18,"")</x:f>
      </x:c>
      <x:c r="L19" s="23" t="str">
        <x:f>IF(AND(ISNUMBER(L15),ISNUMBER(L16),ISNUMBER(L17),ISNUMBER(L18)),L15+L16+L17-L18,"")</x:f>
      </x:c>
      <x:c r="M19" s="23" t="str">
        <x:f>IF(AND(ISNUMBER(M15),ISNUMBER(M16),ISNUMBER(M17),ISNUMBER(M18)),M15+M16+M17-M18,"")</x:f>
      </x:c>
      <x:c r="N19" s="2"/>
      <x:c r="O19" s="2"/>
      <x:c r="P19" s="2"/>
    </x:row>
    <x:row r="20" ht="19" customHeight="1">
      <x:c r="A20" s="2"/>
      <x:c r="B20" s="2"/>
      <x:c r="C20" s="2" t="str">
        <x:v>Tax expense</x:v>
      </x:c>
      <x:c r="D20" s="31" t="n">
        <x:f>IF(ISNUMBER('02_Historical_FS'!D21),'02_Historical_FS'!D21,"")</x:f>
        <x:v>2706.27</x:v>
      </x:c>
      <x:c r="E20" s="31" t="n">
        <x:f>IF(ISNUMBER('02_Historical_FS'!E21),'02_Historical_FS'!E21,"")</x:f>
        <x:v>4241.7</x:v>
      </x:c>
      <x:c r="F20" s="31" t="n">
        <x:f>IF(ISNUMBER('02_Historical_FS'!F21),'02_Historical_FS'!F21,"")</x:f>
        <x:v>5563.83</x:v>
      </x:c>
      <x:c r="G20" s="31" t="n">
        <x:f>IF(ISNUMBER('02_Historical_FS'!G21),'02_Historical_FS'!G21,"")</x:f>
        <x:v>6553.08</x:v>
      </x:c>
      <x:c r="H20" s="31" t="n">
        <x:f>IF(ISNUMBER('02_Historical_FS'!H21),'02_Historical_FS'!H21,"")</x:f>
        <x:v>9046.48</x:v>
      </x:c>
      <x:c r="I20" s="53" t="str">
        <x:f>IF(AND(ISNUMBER(I19),ISNUMBER('04_Drivers'!I134)),I19*'04_Drivers'!I134,"")</x:f>
      </x:c>
      <x:c r="J20" s="53" t="str">
        <x:f>IF(AND(ISNUMBER(J19),ISNUMBER('04_Drivers'!J134)),J19*'04_Drivers'!J134,"")</x:f>
      </x:c>
      <x:c r="K20" s="53" t="str">
        <x:f>IF(AND(ISNUMBER(K19),ISNUMBER('04_Drivers'!K134)),K19*'04_Drivers'!K134,"")</x:f>
      </x:c>
      <x:c r="L20" s="53" t="str">
        <x:f>IF(AND(ISNUMBER(L19),ISNUMBER('04_Drivers'!L134)),L19*'04_Drivers'!L134,"")</x:f>
      </x:c>
      <x:c r="M20" s="53" t="str">
        <x:f>IF(AND(ISNUMBER(M19),ISNUMBER('04_Drivers'!M134)),M19*'04_Drivers'!M134,"")</x:f>
      </x:c>
      <x:c r="N20" s="2"/>
      <x:c r="O20" s="2"/>
      <x:c r="P20" s="2"/>
    </x:row>
    <x:row r="21" ht="19" customHeight="1">
      <x:c r="A21" s="2"/>
      <x:c r="B21" s="2"/>
      <x:c r="C21" s="2" t="str">
        <x:v>PAT from continuing operations</x:v>
      </x:c>
      <x:c r="D21" s="31" t="n">
        <x:f>IF(ISNUMBER('02_Historical_FS'!D57),'02_Historical_FS'!D57,"")</x:f>
        <x:v>8452.31</x:v>
      </x:c>
      <x:c r="E21" s="31" t="n">
        <x:f>IF(ISNUMBER('02_Historical_FS'!E57),'02_Historical_FS'!E57,"")</x:f>
        <x:v>12830.86</x:v>
      </x:c>
      <x:c r="F21" s="31" t="n">
        <x:f>IF(ISNUMBER('02_Historical_FS'!F57),'02_Historical_FS'!F57,"")</x:f>
        <x:v>18029.17</x:v>
      </x:c>
      <x:c r="G21" s="31" t="n">
        <x:f>IF(ISNUMBER('02_Historical_FS'!G57),'02_Historical_FS'!G57,"")</x:f>
        <x:v>20455.37</x:v>
      </x:c>
      <x:c r="H21" s="31" t="n">
        <x:f>IF(ISNUMBER('02_Historical_FS'!H57),'02_Historical_FS'!H57,"")</x:f>
        <x:v>27084.27</x:v>
      </x:c>
      <x:c r="I21" s="52" t="str">
        <x:f>IF(AND(ISNUMBER(I19),ISNUMBER(I20)),I19-I20,"")</x:f>
      </x:c>
      <x:c r="J21" s="52" t="str">
        <x:f>IF(AND(ISNUMBER(J19),ISNUMBER(J20)),J19-J20,"")</x:f>
      </x:c>
      <x:c r="K21" s="52" t="str">
        <x:f>IF(AND(ISNUMBER(K19),ISNUMBER(K20)),K19-K20,"")</x:f>
      </x:c>
      <x:c r="L21" s="52" t="str">
        <x:f>IF(AND(ISNUMBER(L19),ISNUMBER(L20)),L19-L20,"")</x:f>
      </x:c>
      <x:c r="M21" s="52" t="str">
        <x:f>IF(AND(ISNUMBER(M19),ISNUMBER(M20)),M19-M20,"")</x:f>
      </x:c>
      <x:c r="N21" s="2"/>
      <x:c r="O21" s="2"/>
      <x:c r="P21" s="2"/>
    </x:row>
    <x:row r="22" ht="19" customHeight="1">
      <x:c r="A22" s="2"/>
      <x:c r="B22" s="2"/>
      <x:c r="C22" s="2" t="str">
        <x:v>PAT from discontinued operations</x:v>
      </x:c>
      <x:c r="D22" s="31" t="n">
        <x:f>IF(ISNUMBER('02_Historical_FS'!D58),'02_Historical_FS'!D58,"")</x:f>
        <x:v>720.53</x:v>
      </x:c>
      <x:c r="E22" s="31" t="n">
        <x:f>IF(ISNUMBER('02_Historical_FS'!E58),'02_Historical_FS'!E58,"")</x:f>
        <x:v>0</x:v>
      </x:c>
      <x:c r="F22" s="31" t="n">
        <x:f>IF(ISNUMBER('02_Historical_FS'!F58),'02_Historical_FS'!F58,"")</x:f>
        <x:v>0</x:v>
      </x:c>
      <x:c r="G22" s="31" t="n">
        <x:f>IF(ISNUMBER('02_Historical_FS'!G58),'02_Historical_FS'!G58,"")</x:f>
        <x:v>0</x:v>
      </x:c>
      <x:c r="H22" s="31" t="n">
        <x:f>IF(ISNUMBER('02_Historical_FS'!H58),'02_Historical_FS'!H58,"")</x:f>
        <x:v>0</x:v>
      </x:c>
      <x:c r="I22" s="52" t="str">
        <x:f>IF(AND(ISNUMBER(I21)),0,"")</x:f>
      </x:c>
      <x:c r="J22" s="52" t="str">
        <x:f>IF(AND(ISNUMBER(J21)),0,"")</x:f>
      </x:c>
      <x:c r="K22" s="52" t="str">
        <x:f>IF(AND(ISNUMBER(K21)),0,"")</x:f>
      </x:c>
      <x:c r="L22" s="52" t="str">
        <x:f>IF(AND(ISNUMBER(L21)),0,"")</x:f>
      </x:c>
      <x:c r="M22" s="52" t="str">
        <x:f>IF(AND(ISNUMBER(M21)),0,"")</x:f>
      </x:c>
      <x:c r="N22" s="2"/>
      <x:c r="O22" s="13" t="str">
        <x:v>Forecast scaffold excludes discontinued operations by definition; FY22 remains visible separately.</x:v>
      </x:c>
      <x:c r="P22" s="2"/>
    </x:row>
    <x:row r="23" ht="19" customHeight="1">
      <x:c r="A23" s="2"/>
      <x:c r="B23" s="2"/>
      <x:c r="C23" s="18" t="str">
        <x:v>Total PAT</x:v>
      </x:c>
      <x:c r="D23" s="49" t="n">
        <x:f>IF(ISNUMBER('02_Historical_FS'!D59),'02_Historical_FS'!D59,"")</x:f>
        <x:v>9172.84</x:v>
      </x:c>
      <x:c r="E23" s="49" t="n">
        <x:f>IF(ISNUMBER('02_Historical_FS'!E59),'02_Historical_FS'!E59,"")</x:f>
        <x:v>12830.86</x:v>
      </x:c>
      <x:c r="F23" s="49" t="n">
        <x:f>IF(ISNUMBER('02_Historical_FS'!F59),'02_Historical_FS'!F59,"")</x:f>
        <x:v>18029.17</x:v>
      </x:c>
      <x:c r="G23" s="49" t="n">
        <x:f>IF(ISNUMBER('02_Historical_FS'!G59),'02_Historical_FS'!G59,"")</x:f>
        <x:v>20455.37</x:v>
      </x:c>
      <x:c r="H23" s="49" t="n">
        <x:f>IF(ISNUMBER('02_Historical_FS'!H59),'02_Historical_FS'!H59,"")</x:f>
        <x:v>27084.27</x:v>
      </x:c>
      <x:c r="I23" s="23" t="str">
        <x:f>IF(AND(ISNUMBER(I21)),I21,"")</x:f>
      </x:c>
      <x:c r="J23" s="23" t="str">
        <x:f>IF(AND(ISNUMBER(J21)),J21,"")</x:f>
      </x:c>
      <x:c r="K23" s="23" t="str">
        <x:f>IF(AND(ISNUMBER(K21)),K21,"")</x:f>
      </x:c>
      <x:c r="L23" s="23" t="str">
        <x:f>IF(AND(ISNUMBER(L21)),L21,"")</x:f>
      </x:c>
      <x:c r="M23" s="23" t="str">
        <x:f>IF(AND(ISNUMBER(M21)),M21,"")</x:f>
      </x:c>
      <x:c r="N23" s="2"/>
      <x:c r="O23" s="2"/>
      <x:c r="P23" s="2"/>
    </x:row>
    <x:row r="24" ht="19" customHeight="1">
      <x:c r="A24" s="2"/>
      <x:c r="B24" s="2"/>
      <x:c r="C24" s="2" t="str">
        <x:v>Profit attributable to NCI</x:v>
      </x:c>
      <x:c r="D24" s="31" t="n">
        <x:f>IF(ISNUMBER('02_Historical_FS'!D61),'02_Historical_FS'!D61,"")</x:f>
        <x:v>87.07</x:v>
      </x:c>
      <x:c r="E24" s="31" t="n">
        <x:f>IF(ISNUMBER('02_Historical_FS'!E61),'02_Historical_FS'!E61,"")</x:f>
        <x:v>123.03</x:v>
      </x:c>
      <x:c r="F24" s="31" t="n">
        <x:f>IF(ISNUMBER('02_Historical_FS'!F61),'02_Historical_FS'!F61,"")</x:f>
        <x:v>188.72</x:v>
      </x:c>
      <x:c r="G24" s="31" t="n">
        <x:f>IF(ISNUMBER('02_Historical_FS'!G61),'02_Historical_FS'!G61,"")</x:f>
        <x:v>255.47</x:v>
      </x:c>
      <x:c r="H24" s="31" t="n">
        <x:f>IF(ISNUMBER('02_Historical_FS'!H61),'02_Historical_FS'!H61,"")</x:f>
        <x:v>363.94</x:v>
      </x:c>
      <x:c r="I24" s="53" t="str">
        <x:f>IF(AND(ISNUMBER(I21),ISNUMBER('04_Drivers'!I139)),I21*'04_Drivers'!I139,"")</x:f>
      </x:c>
      <x:c r="J24" s="53" t="str">
        <x:f>IF(AND(ISNUMBER(J21),ISNUMBER('04_Drivers'!J139)),J21*'04_Drivers'!J139,"")</x:f>
      </x:c>
      <x:c r="K24" s="53" t="str">
        <x:f>IF(AND(ISNUMBER(K21),ISNUMBER('04_Drivers'!K139)),K21*'04_Drivers'!K139,"")</x:f>
      </x:c>
      <x:c r="L24" s="53" t="str">
        <x:f>IF(AND(ISNUMBER(L21),ISNUMBER('04_Drivers'!L139)),L21*'04_Drivers'!L139,"")</x:f>
      </x:c>
      <x:c r="M24" s="53" t="str">
        <x:f>IF(AND(ISNUMBER(M21),ISNUMBER('04_Drivers'!M139)),M21*'04_Drivers'!M139,"")</x:f>
      </x:c>
      <x:c r="N24" s="2"/>
      <x:c r="O24" s="2"/>
      <x:c r="P24" s="2"/>
    </x:row>
    <x:row r="25" ht="19" customHeight="1">
      <x:c r="A25" s="2"/>
      <x:c r="B25" s="2"/>
      <x:c r="C25" s="18" t="str">
        <x:v>Profit attributable to shareholders</x:v>
      </x:c>
      <x:c r="D25" s="49" t="n">
        <x:f>IF(ISNUMBER('02_Historical_FS'!D60),'02_Historical_FS'!D60,"")</x:f>
        <x:v>9085.77</x:v>
      </x:c>
      <x:c r="E25" s="49" t="n">
        <x:f>IF(ISNUMBER('02_Historical_FS'!E60),'02_Historical_FS'!E60,"")</x:f>
        <x:v>12707.83</x:v>
      </x:c>
      <x:c r="F25" s="49" t="n">
        <x:f>IF(ISNUMBER('02_Historical_FS'!F60),'02_Historical_FS'!F60,"")</x:f>
        <x:v>17840.45</x:v>
      </x:c>
      <x:c r="G25" s="49" t="n">
        <x:f>IF(ISNUMBER('02_Historical_FS'!G60),'02_Historical_FS'!G60,"")</x:f>
        <x:v>20199.9</x:v>
      </x:c>
      <x:c r="H25" s="49" t="n">
        <x:f>IF(ISNUMBER('02_Historical_FS'!H60),'02_Historical_FS'!H60,"")</x:f>
        <x:v>26720.33</x:v>
      </x:c>
      <x:c r="I25" s="23" t="str">
        <x:f>IF(AND(ISNUMBER(I21),ISNUMBER(I24)),I21-I24,"")</x:f>
      </x:c>
      <x:c r="J25" s="23" t="str">
        <x:f>IF(AND(ISNUMBER(J21),ISNUMBER(J24)),J21-J24,"")</x:f>
      </x:c>
      <x:c r="K25" s="23" t="str">
        <x:f>IF(AND(ISNUMBER(K21),ISNUMBER(K24)),K21-K24,"")</x:f>
      </x:c>
      <x:c r="L25" s="23" t="str">
        <x:f>IF(AND(ISNUMBER(L21),ISNUMBER(L24)),L21-L24,"")</x:f>
      </x:c>
      <x:c r="M25" s="23" t="str">
        <x:f>IF(AND(ISNUMBER(M21),ISNUMBER(M24)),M21-M24,"")</x:f>
      </x:c>
      <x:c r="N25" s="2"/>
      <x:c r="O25" s="2"/>
      <x:c r="P25" s="2"/>
    </x:row>
    <x:row r="26" ht="19" customHeight="1">
      <x:c r="A26" s="2"/>
      <x:c r="B26" s="2"/>
      <x:c r="C26" s="2" t="str">
        <x:v>Diluted EPS (INR/share)</x:v>
      </x:c>
      <x:c r="D26" s="55" t="n">
        <x:f>IF(ISNUMBER('02_Historical_FS'!D64),'02_Historical_FS'!D64,"")</x:f>
        <x:v>60.6</x:v>
      </x:c>
      <x:c r="E26" s="55" t="n">
        <x:f>IF(ISNUMBER('02_Historical_FS'!E64),'02_Historical_FS'!E64,"")</x:f>
        <x:v>84.66</x:v>
      </x:c>
      <x:c r="F26" s="55" t="n">
        <x:f>IF(ISNUMBER('02_Historical_FS'!F64),'02_Historical_FS'!F64,"")</x:f>
        <x:v>118.49</x:v>
      </x:c>
      <x:c r="G26" s="55" t="n">
        <x:f>IF(ISNUMBER('02_Historical_FS'!G64),'02_Historical_FS'!G64,"")</x:f>
        <x:v>133.8</x:v>
      </x:c>
      <x:c r="H26" s="55" t="n">
        <x:f>IF(ISNUMBER('02_Historical_FS'!H64),'02_Historical_FS'!H64,"")</x:f>
        <x:v>176.95</x:v>
      </x:c>
      <x:c r="I26" s="56" t="str">
        <x:f>IF(AND(ISNUMBER(I25),ISNUMBER('04_Drivers'!I214),'04_Drivers'!I214&gt;0),I25/'04_Drivers'!I214,"")</x:f>
      </x:c>
      <x:c r="J26" s="56" t="str">
        <x:f>IF(AND(ISNUMBER(J25),ISNUMBER('04_Drivers'!J214),'04_Drivers'!J214&gt;0),J25/'04_Drivers'!J214,"")</x:f>
      </x:c>
      <x:c r="K26" s="56" t="str">
        <x:f>IF(AND(ISNUMBER(K25),ISNUMBER('04_Drivers'!K214),'04_Drivers'!K214&gt;0),K25/'04_Drivers'!K214,"")</x:f>
      </x:c>
      <x:c r="L26" s="56" t="str">
        <x:f>IF(AND(ISNUMBER(L25),ISNUMBER('04_Drivers'!L214),'04_Drivers'!L214&gt;0),L25/'04_Drivers'!L214,"")</x:f>
      </x:c>
      <x:c r="M26" s="56" t="str">
        <x:f>IF(AND(ISNUMBER(M25),ISNUMBER('04_Drivers'!M214),'04_Drivers'!M214&gt;0),M25/'04_Drivers'!M214,"")</x:f>
      </x:c>
      <x:c r="N26" s="2"/>
      <x:c r="O26" s="2"/>
      <x:c r="P26" s="2"/>
    </x:row>
    <x:row r="27" ht="19" customHeight="1">
      <x:c r="A27" s="2"/>
      <x:c r="B27" s="2"/>
      <x:c r="C27" s="2"/>
      <x:c r="D27" s="2"/>
      <x:c r="E27" s="2"/>
      <x:c r="F27" s="2"/>
      <x:c r="G27" s="2"/>
      <x:c r="H27" s="2"/>
      <x:c r="I27" s="34"/>
      <x:c r="J27" s="34"/>
      <x:c r="K27" s="34"/>
      <x:c r="L27" s="34"/>
      <x:c r="M27" s="34"/>
      <x:c r="N27" s="2"/>
      <x:c r="O27" s="2"/>
      <x:c r="P27" s="2"/>
    </x:row>
    <x:row r="28" ht="19" customHeight="1">
      <x:c r="A28" s="2"/>
      <x:c r="B28" s="2"/>
      <x:c r="C28" s="2"/>
      <x:c r="D28" s="2"/>
      <x:c r="E28" s="2"/>
      <x:c r="F28" s="2"/>
      <x:c r="G28" s="2"/>
      <x:c r="H28" s="2"/>
      <x:c r="I28" s="34"/>
      <x:c r="J28" s="34"/>
      <x:c r="K28" s="34"/>
      <x:c r="L28" s="34"/>
      <x:c r="M28" s="34"/>
      <x:c r="N28" s="2"/>
      <x:c r="O28" s="2"/>
      <x:c r="P28" s="2"/>
    </x:row>
    <x:row r="29" ht="23" customHeight="1">
      <x:c r="A29" s="2"/>
      <x:c r="B29" s="2"/>
      <x:c r="C29" s="10" t="str">
        <x:v>BALANCE SHEET</x:v>
      </x:c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2"/>
      <x:c r="O29" s="2"/>
      <x:c r="P29" s="2"/>
    </x:row>
    <x:row r="30" ht="19" customHeight="1">
      <x:c r="A30" s="2"/>
      <x:c r="B30" s="2"/>
      <x:c r="C30" s="2" t="str">
        <x:v>Net fixed assets</x:v>
      </x:c>
      <x:c r="D30" s="31" t="n">
        <x:f>IF(ISNUMBER('08_Fixed_Assets'!D15),'08_Fixed_Assets'!D15,"")</x:f>
        <x:v>20505.730000000003</x:v>
      </x:c>
      <x:c r="E30" s="31" t="n">
        <x:f>IF(ISNUMBER('08_Fixed_Assets'!E15),'08_Fixed_Assets'!E15,"")</x:f>
        <x:v>23177.07</x:v>
      </x:c>
      <x:c r="F30" s="31" t="n">
        <x:f>IF(ISNUMBER('08_Fixed_Assets'!F15),'08_Fixed_Assets'!F15,"")</x:f>
        <x:v>29159.659999999996</x:v>
      </x:c>
      <x:c r="G30" s="31" t="n">
        <x:f>IF(ISNUMBER('08_Fixed_Assets'!G15),'08_Fixed_Assets'!G15,"")</x:f>
        <x:v>37192.939999999995</x:v>
      </x:c>
      <x:c r="H30" s="31" t="n">
        <x:f>IF(ISNUMBER('08_Fixed_Assets'!H15),'08_Fixed_Assets'!H15,"")</x:f>
        <x:v>48793.56</x:v>
      </x:c>
      <x:c r="I30" s="53" t="str">
        <x:f>IF(ISNUMBER('08_Fixed_Assets'!I15),'08_Fixed_Assets'!I15,"")</x:f>
      </x:c>
      <x:c r="J30" s="53" t="str">
        <x:f>IF(ISNUMBER('08_Fixed_Assets'!J15),'08_Fixed_Assets'!J15,"")</x:f>
      </x:c>
      <x:c r="K30" s="53" t="str">
        <x:f>IF(ISNUMBER('08_Fixed_Assets'!K15),'08_Fixed_Assets'!K15,"")</x:f>
      </x:c>
      <x:c r="L30" s="53" t="str">
        <x:f>IF(ISNUMBER('08_Fixed_Assets'!L15),'08_Fixed_Assets'!L15,"")</x:f>
      </x:c>
      <x:c r="M30" s="53" t="str">
        <x:f>IF(ISNUMBER('08_Fixed_Assets'!M15),'08_Fixed_Assets'!M15,"")</x:f>
      </x:c>
      <x:c r="N30" s="2"/>
      <x:c r="O30" s="2"/>
      <x:c r="P30" s="2"/>
    </x:row>
    <x:row r="31" ht="19" customHeight="1">
      <x:c r="A31" s="2"/>
      <x:c r="B31" s="2"/>
      <x:c r="C31" s="2" t="str">
        <x:v>Non-current trade receivables</x:v>
      </x:c>
      <x:c r="D31" s="31" t="n">
        <x:f>IF(ISNUMBER('02_Historical_FS'!D75),'02_Historical_FS'!D75,"")</x:f>
        <x:v>799.31</x:v>
      </x:c>
      <x:c r="E31" s="31" t="n">
        <x:f>IF(ISNUMBER('02_Historical_FS'!E75),'02_Historical_FS'!E75,"")</x:f>
        <x:v>526.37</x:v>
      </x:c>
      <x:c r="F31" s="31" t="n">
        <x:f>IF(ISNUMBER('02_Historical_FS'!F75),'02_Historical_FS'!F75,"")</x:f>
        <x:v>1190.7</x:v>
      </x:c>
      <x:c r="G31" s="31" t="n">
        <x:f>IF(ISNUMBER('02_Historical_FS'!G75),'02_Historical_FS'!G75,"")</x:f>
        <x:v>2994.38</x:v>
      </x:c>
      <x:c r="H31" s="31" t="n">
        <x:f>IF(ISNUMBER('02_Historical_FS'!H75),'02_Historical_FS'!H75,"")</x:f>
        <x:v>4477.84</x:v>
      </x:c>
      <x:c r="I31" s="53" t="str">
        <x:f>IF(ISNUMBER('07_Working_Capital'!I9),'07_Working_Capital'!I9,"")</x:f>
      </x:c>
      <x:c r="J31" s="53" t="str">
        <x:f>IF(ISNUMBER('07_Working_Capital'!J9),'07_Working_Capital'!J9,"")</x:f>
      </x:c>
      <x:c r="K31" s="53" t="str">
        <x:f>IF(ISNUMBER('07_Working_Capital'!K9),'07_Working_Capital'!K9,"")</x:f>
      </x:c>
      <x:c r="L31" s="53" t="str">
        <x:f>IF(ISNUMBER('07_Working_Capital'!L9),'07_Working_Capital'!L9,"")</x:f>
      </x:c>
      <x:c r="M31" s="53" t="str">
        <x:f>IF(ISNUMBER('07_Working_Capital'!M9),'07_Working_Capital'!M9,"")</x:f>
      </x:c>
      <x:c r="N31" s="2"/>
      <x:c r="O31" s="2"/>
      <x:c r="P31" s="2"/>
    </x:row>
    <x:row r="32" ht="19" customHeight="1">
      <x:c r="A32" s="2"/>
      <x:c r="B32" s="2"/>
      <x:c r="C32" s="2" t="str">
        <x:v>Inventories</x:v>
      </x:c>
      <x:c r="D32" s="31" t="n">
        <x:f>IF(ISNUMBER('02_Historical_FS'!D81),'02_Historical_FS'!D81,"")</x:f>
        <x:v>21996.47</x:v>
      </x:c>
      <x:c r="E32" s="31" t="n">
        <x:f>IF(ISNUMBER('02_Historical_FS'!E81),'02_Historical_FS'!E81,"")</x:f>
        <x:v>29513.84</x:v>
      </x:c>
      <x:c r="F32" s="31" t="n">
        <x:f>IF(ISNUMBER('02_Historical_FS'!F81),'02_Historical_FS'!F81,"")</x:f>
        <x:v>36751.14</x:v>
      </x:c>
      <x:c r="G32" s="31" t="n">
        <x:f>IF(ISNUMBER('02_Historical_FS'!G81),'02_Historical_FS'!G81,"")</x:f>
        <x:v>36613</x:v>
      </x:c>
      <x:c r="H32" s="31" t="n">
        <x:f>IF(ISNUMBER('02_Historical_FS'!H81),'02_Historical_FS'!H81,"")</x:f>
        <x:v>55595.98</x:v>
      </x:c>
      <x:c r="I32" s="53" t="str">
        <x:f>IF(ISNUMBER('07_Working_Capital'!I10),'07_Working_Capital'!I10,"")</x:f>
      </x:c>
      <x:c r="J32" s="53" t="str">
        <x:f>IF(ISNUMBER('07_Working_Capital'!J10),'07_Working_Capital'!J10,"")</x:f>
      </x:c>
      <x:c r="K32" s="53" t="str">
        <x:f>IF(ISNUMBER('07_Working_Capital'!K10),'07_Working_Capital'!K10,"")</x:f>
      </x:c>
      <x:c r="L32" s="53" t="str">
        <x:f>IF(ISNUMBER('07_Working_Capital'!L10),'07_Working_Capital'!L10,"")</x:f>
      </x:c>
      <x:c r="M32" s="53" t="str">
        <x:f>IF(ISNUMBER('07_Working_Capital'!M10),'07_Working_Capital'!M10,"")</x:f>
      </x:c>
      <x:c r="N32" s="2"/>
      <x:c r="O32" s="2"/>
      <x:c r="P32" s="2"/>
    </x:row>
    <x:row r="33" ht="19" customHeight="1">
      <x:c r="A33" s="2"/>
      <x:c r="B33" s="2"/>
      <x:c r="C33" s="2" t="str">
        <x:v>Current trade receivables</x:v>
      </x:c>
      <x:c r="D33" s="31" t="n">
        <x:f>IF(ISNUMBER('02_Historical_FS'!D83),'02_Historical_FS'!D83,"")</x:f>
        <x:v>12963.94</x:v>
      </x:c>
      <x:c r="E33" s="31" t="n">
        <x:f>IF(ISNUMBER('02_Historical_FS'!E83),'02_Historical_FS'!E83,"")</x:f>
        <x:v>12465.96</x:v>
      </x:c>
      <x:c r="F33" s="31" t="n">
        <x:f>IF(ISNUMBER('02_Historical_FS'!F83),'02_Historical_FS'!F83,"")</x:f>
        <x:v>20471.17</x:v>
      </x:c>
      <x:c r="G33" s="31" t="n">
        <x:f>IF(ISNUMBER('02_Historical_FS'!G83),'02_Historical_FS'!G83,"")</x:f>
        <x:v>25962.68</x:v>
      </x:c>
      <x:c r="H33" s="31" t="n">
        <x:f>IF(ISNUMBER('02_Historical_FS'!H83),'02_Historical_FS'!H83,"")</x:f>
        <x:v>37585.04</x:v>
      </x:c>
      <x:c r="I33" s="53" t="str">
        <x:f>IF(ISNUMBER('07_Working_Capital'!I8),'07_Working_Capital'!I8,"")</x:f>
      </x:c>
      <x:c r="J33" s="53" t="str">
        <x:f>IF(ISNUMBER('07_Working_Capital'!J8),'07_Working_Capital'!J8,"")</x:f>
      </x:c>
      <x:c r="K33" s="53" t="str">
        <x:f>IF(ISNUMBER('07_Working_Capital'!K8),'07_Working_Capital'!K8,"")</x:f>
      </x:c>
      <x:c r="L33" s="53" t="str">
        <x:f>IF(ISNUMBER('07_Working_Capital'!L8),'07_Working_Capital'!L8,"")</x:f>
      </x:c>
      <x:c r="M33" s="53" t="str">
        <x:f>IF(ISNUMBER('07_Working_Capital'!M8),'07_Working_Capital'!M8,"")</x:f>
      </x:c>
      <x:c r="N33" s="2"/>
      <x:c r="O33" s="2"/>
      <x:c r="P33" s="2"/>
    </x:row>
    <x:row r="34" ht="19" customHeight="1">
      <x:c r="A34" s="2"/>
      <x:c r="B34" s="2"/>
      <x:c r="C34" s="2" t="str">
        <x:v>Other non-cash assets</x:v>
      </x:c>
      <x:c r="D34" s="31" t="n">
        <x:f>IF(ISNUMBER('07_Working_Capital'!D16),'07_Working_Capital'!D16,"")</x:f>
        <x:v>6141.919999999993</x:v>
      </x:c>
      <x:c r="E34" s="31" t="n">
        <x:f>IF(ISNUMBER('07_Working_Capital'!E16),'07_Working_Capital'!E16,"")</x:f>
        <x:v>8114.140000000007</x:v>
      </x:c>
      <x:c r="F34" s="31" t="n">
        <x:f>IF(ISNUMBER('07_Working_Capital'!F16),'07_Working_Capital'!F16,"")</x:f>
        <x:v>10968.42</x:v>
      </x:c>
      <x:c r="G34" s="31" t="n">
        <x:f>IF(ISNUMBER('07_Working_Capital'!G16),'07_Working_Capital'!G16,"")</x:f>
        <x:v>9797.880000000006</x:v>
      </x:c>
      <x:c r="H34" s="31" t="n">
        <x:f>IF(ISNUMBER('07_Working_Capital'!H16),'07_Working_Capital'!H16,"")</x:f>
        <x:v>15436.549999999985</x:v>
      </x:c>
      <x:c r="I34" s="53" t="str">
        <x:f>IF(ISNUMBER('07_Working_Capital'!I16),'07_Working_Capital'!I16,"")</x:f>
      </x:c>
      <x:c r="J34" s="53" t="str">
        <x:f>IF(ISNUMBER('07_Working_Capital'!J16),'07_Working_Capital'!J16,"")</x:f>
      </x:c>
      <x:c r="K34" s="53" t="str">
        <x:f>IF(ISNUMBER('07_Working_Capital'!K16),'07_Working_Capital'!K16,"")</x:f>
      </x:c>
      <x:c r="L34" s="53" t="str">
        <x:f>IF(ISNUMBER('07_Working_Capital'!L16),'07_Working_Capital'!L16,"")</x:f>
      </x:c>
      <x:c r="M34" s="53" t="str">
        <x:f>IF(ISNUMBER('07_Working_Capital'!M16),'07_Working_Capital'!M16,"")</x:f>
      </x:c>
      <x:c r="N34" s="2"/>
      <x:c r="O34" s="2"/>
      <x:c r="P34" s="2"/>
    </x:row>
    <x:row r="35" ht="19" customHeight="1">
      <x:c r="A35" s="2"/>
      <x:c r="B35" s="2"/>
      <x:c r="C35" s="2" t="str">
        <x:v>Current investments</x:v>
      </x:c>
      <x:c r="D35" s="31" t="n">
        <x:f>IF(ISNUMBER('02_Historical_FS'!D82),'02_Historical_FS'!D82,"")</x:f>
        <x:v>7640.51</x:v>
      </x:c>
      <x:c r="E35" s="31" t="n">
        <x:f>IF(ISNUMBER('02_Historical_FS'!E82),'02_Historical_FS'!E82,"")</x:f>
        <x:v>13504.95</x:v>
      </x:c>
      <x:c r="F35" s="31" t="n">
        <x:f>IF(ISNUMBER('02_Historical_FS'!F82),'02_Historical_FS'!F82,"")</x:f>
        <x:v>18224.17</x:v>
      </x:c>
      <x:c r="G35" s="31" t="n">
        <x:f>IF(ISNUMBER('02_Historical_FS'!G82),'02_Historical_FS'!G82,"")</x:f>
        <x:v>17490.42</x:v>
      </x:c>
      <x:c r="H35" s="31" t="n">
        <x:f>IF(ISNUMBER('02_Historical_FS'!H82),'02_Historical_FS'!H82,"")</x:f>
        <x:v>34048.23</x:v>
      </x:c>
      <x:c r="I35" s="53" t="str">
        <x:f>IF(ISNUMBER('04_Drivers'!I164),'04_Drivers'!I164,"")</x:f>
      </x:c>
      <x:c r="J35" s="53" t="str">
        <x:f>IF(ISNUMBER('04_Drivers'!J164),'04_Drivers'!J164,"")</x:f>
      </x:c>
      <x:c r="K35" s="53" t="str">
        <x:f>IF(ISNUMBER('04_Drivers'!K164),'04_Drivers'!K164,"")</x:f>
      </x:c>
      <x:c r="L35" s="53" t="str">
        <x:f>IF(ISNUMBER('04_Drivers'!L164),'04_Drivers'!L164,"")</x:f>
      </x:c>
      <x:c r="M35" s="53" t="str">
        <x:f>IF(ISNUMBER('04_Drivers'!M164),'04_Drivers'!M164,"")</x:f>
      </x:c>
      <x:c r="N35" s="2"/>
      <x:c r="O35" s="2"/>
      <x:c r="P35" s="2"/>
    </x:row>
    <x:row r="36" ht="19" customHeight="1">
      <x:c r="A36" s="2"/>
      <x:c r="B36" s="2"/>
      <x:c r="C36" s="2" t="str">
        <x:v>Other bank balances</x:v>
      </x:c>
      <x:c r="D36" s="31" t="n">
        <x:f>IF(ISNUMBER('02_Historical_FS'!D85),'02_Historical_FS'!D85,"")</x:f>
        <x:v>2854.27</x:v>
      </x:c>
      <x:c r="E36" s="31" t="n">
        <x:f>IF(ISNUMBER('02_Historical_FS'!E85),'02_Historical_FS'!E85,"")</x:f>
        <x:v>5424.91</x:v>
      </x:c>
      <x:c r="F36" s="31" t="n">
        <x:f>IF(ISNUMBER('02_Historical_FS'!F85),'02_Historical_FS'!F85,"")</x:f>
        <x:v>953.27</x:v>
      </x:c>
      <x:c r="G36" s="31" t="n">
        <x:f>IF(ISNUMBER('02_Historical_FS'!G85),'02_Historical_FS'!G85,"")</x:f>
        <x:v>5532.49</x:v>
      </x:c>
      <x:c r="H36" s="31" t="n">
        <x:f>IF(ISNUMBER('02_Historical_FS'!H85),'02_Historical_FS'!H85,"")</x:f>
        <x:v>4921.27</x:v>
      </x:c>
      <x:c r="I36" s="53" t="str">
        <x:f>IF(ISNUMBER('04_Drivers'!I169),'04_Drivers'!I169,"")</x:f>
      </x:c>
      <x:c r="J36" s="53" t="str">
        <x:f>IF(ISNUMBER('04_Drivers'!J169),'04_Drivers'!J169,"")</x:f>
      </x:c>
      <x:c r="K36" s="53" t="str">
        <x:f>IF(ISNUMBER('04_Drivers'!K169),'04_Drivers'!K169,"")</x:f>
      </x:c>
      <x:c r="L36" s="53" t="str">
        <x:f>IF(ISNUMBER('04_Drivers'!L169),'04_Drivers'!L169,"")</x:f>
      </x:c>
      <x:c r="M36" s="53" t="str">
        <x:f>IF(ISNUMBER('04_Drivers'!M169),'04_Drivers'!M169,"")</x:f>
      </x:c>
      <x:c r="N36" s="2"/>
      <x:c r="O36" s="2"/>
      <x:c r="P36" s="2"/>
    </x:row>
    <x:row r="37" ht="19" customHeight="1">
      <x:c r="A37" s="2"/>
      <x:c r="B37" s="2"/>
      <x:c r="C37" s="2" t="str">
        <x:v>Cash and cash equivalents, gross</x:v>
      </x:c>
      <x:c r="D37" s="31" t="n">
        <x:f>IF(ISNUMBER('02_Historical_FS'!D84),'02_Historical_FS'!D84,"")</x:f>
        <x:v>1216.91</x:v>
      </x:c>
      <x:c r="E37" s="31" t="n">
        <x:f>IF(ISNUMBER('02_Historical_FS'!E84),'02_Historical_FS'!E84,"")</x:f>
        <x:v>1527.52</x:v>
      </x:c>
      <x:c r="F37" s="31" t="n">
        <x:f>IF(ISNUMBER('02_Historical_FS'!F84),'02_Historical_FS'!F84,"")</x:f>
        <x:v>3070.31</x:v>
      </x:c>
      <x:c r="G37" s="31" t="n">
        <x:f>IF(ISNUMBER('02_Historical_FS'!G84),'02_Historical_FS'!G84,"")</x:f>
        <x:v>2173.87</x:v>
      </x:c>
      <x:c r="H37" s="31" t="n">
        <x:f>IF(ISNUMBER('02_Historical_FS'!H84),'02_Historical_FS'!H84,"")</x:f>
        <x:v>3903.43</x:v>
      </x:c>
      <x:c r="I37" s="52" t="str">
        <x:f>IF(AND(ISNUMBER(I82)),I82,"")</x:f>
      </x:c>
      <x:c r="J37" s="52" t="str">
        <x:f>IF(AND(ISNUMBER(J82)),J82,"")</x:f>
      </x:c>
      <x:c r="K37" s="52" t="str">
        <x:f>IF(AND(ISNUMBER(K82)),K82,"")</x:f>
      </x:c>
      <x:c r="L37" s="52" t="str">
        <x:f>IF(AND(ISNUMBER(L82)),L82,"")</x:f>
      </x:c>
      <x:c r="M37" s="52" t="str">
        <x:f>IF(AND(ISNUMBER(M82)),M82,"")</x:f>
      </x:c>
      <x:c r="N37" s="2"/>
      <x:c r="O37" s="13" t="str">
        <x:v>Gross cash view. Historical cash-credit changes are added to financing flows to reconcile statutory net-cash presentation.</x:v>
      </x:c>
      <x:c r="P37" s="2"/>
    </x:row>
    <x:row r="38" ht="19" customHeight="1">
      <x:c r="A38" s="2"/>
      <x:c r="B38" s="2"/>
      <x:c r="C38" s="18" t="str">
        <x:v>Total assets</x:v>
      </x:c>
      <x:c r="D38" s="49" t="n">
        <x:f>IF(ISNUMBER('02_Historical_FS'!D91),'02_Historical_FS'!D91,"")</x:f>
        <x:v>74119.06</x:v>
      </x:c>
      <x:c r="E38" s="49" t="n">
        <x:f>IF(ISNUMBER('02_Historical_FS'!E91),'02_Historical_FS'!E91,"")</x:f>
        <x:v>94254.76</x:v>
      </x:c>
      <x:c r="F38" s="49" t="n">
        <x:f>IF(ISNUMBER('02_Historical_FS'!F91),'02_Historical_FS'!F91,"")</x:f>
        <x:v>120788.84</x:v>
      </x:c>
      <x:c r="G38" s="49" t="n">
        <x:f>IF(ISNUMBER('02_Historical_FS'!G91),'02_Historical_FS'!G91,"")</x:f>
        <x:v>137757.66</x:v>
      </x:c>
      <x:c r="H38" s="49" t="n">
        <x:f>IF(ISNUMBER('02_Historical_FS'!H91),'02_Historical_FS'!H91,"")</x:f>
        <x:v>204761.9</x:v>
      </x:c>
      <x:c r="I38" s="23" t="str">
        <x:f>IF(AND(ISNUMBER(I30),ISNUMBER(I31),ISNUMBER(I32),ISNUMBER(I33),ISNUMBER(I34),ISNUMBER(I35),ISNUMBER(I36),ISNUMBER(I37)),SUM(I30:I37),"")</x:f>
      </x:c>
      <x:c r="J38" s="23" t="str">
        <x:f>IF(AND(ISNUMBER(J30),ISNUMBER(J31),ISNUMBER(J32),ISNUMBER(J33),ISNUMBER(J34),ISNUMBER(J35),ISNUMBER(J36),ISNUMBER(J37)),SUM(J30:J37),"")</x:f>
      </x:c>
      <x:c r="K38" s="23" t="str">
        <x:f>IF(AND(ISNUMBER(K30),ISNUMBER(K31),ISNUMBER(K32),ISNUMBER(K33),ISNUMBER(K34),ISNUMBER(K35),ISNUMBER(K36),ISNUMBER(K37)),SUM(K30:K37),"")</x:f>
      </x:c>
      <x:c r="L38" s="23" t="str">
        <x:f>IF(AND(ISNUMBER(L30),ISNUMBER(L31),ISNUMBER(L32),ISNUMBER(L33),ISNUMBER(L34),ISNUMBER(L35),ISNUMBER(L36),ISNUMBER(L37)),SUM(L30:L37),"")</x:f>
      </x:c>
      <x:c r="M38" s="23" t="str">
        <x:f>IF(AND(ISNUMBER(M30),ISNUMBER(M31),ISNUMBER(M32),ISNUMBER(M33),ISNUMBER(M34),ISNUMBER(M35),ISNUMBER(M36),ISNUMBER(M37)),SUM(M30:M37),"")</x:f>
      </x:c>
      <x:c r="N38" s="2"/>
      <x:c r="O38" s="2"/>
      <x:c r="P38" s="2"/>
    </x:row>
    <x:row r="39" ht="19" customHeight="1">
      <x:c r="A39" s="2"/>
      <x:c r="B39" s="2"/>
      <x:c r="C39" s="2"/>
      <x:c r="D39" s="2"/>
      <x:c r="E39" s="2"/>
      <x:c r="F39" s="2"/>
      <x:c r="G39" s="2"/>
      <x:c r="H39" s="2"/>
      <x:c r="I39" s="34"/>
      <x:c r="J39" s="34"/>
      <x:c r="K39" s="34"/>
      <x:c r="L39" s="34"/>
      <x:c r="M39" s="34"/>
      <x:c r="N39" s="2"/>
      <x:c r="O39" s="2"/>
      <x:c r="P39" s="2"/>
    </x:row>
    <x:row r="40" ht="19" customHeight="1">
      <x:c r="A40" s="2"/>
      <x:c r="B40" s="2"/>
      <x:c r="C40" s="2"/>
      <x:c r="D40" s="2"/>
      <x:c r="E40" s="2"/>
      <x:c r="F40" s="2"/>
      <x:c r="G40" s="2"/>
      <x:c r="H40" s="2"/>
      <x:c r="I40" s="34"/>
      <x:c r="J40" s="34"/>
      <x:c r="K40" s="34"/>
      <x:c r="L40" s="34"/>
      <x:c r="M40" s="34"/>
      <x:c r="N40" s="2"/>
      <x:c r="O40" s="2"/>
      <x:c r="P40" s="2"/>
    </x:row>
    <x:row r="41" ht="19" customHeight="1">
      <x:c r="A41" s="2"/>
      <x:c r="B41" s="2"/>
      <x:c r="C41" s="2" t="str">
        <x:v>Equity attributable to shareholders</x:v>
      </x:c>
      <x:c r="D41" s="31" t="n">
        <x:f>IF(ISNUMBER('02_Historical_FS'!D36),'02_Historical_FS'!D36,"")</x:f>
        <x:v>55437.41</x:v>
      </x:c>
      <x:c r="E41" s="31" t="n">
        <x:f>IF(ISNUMBER('02_Historical_FS'!E36),'02_Historical_FS'!E36,"")</x:f>
        <x:v>66372.06999999999</x:v>
      </x:c>
      <x:c r="F41" s="31" t="n">
        <x:f>IF(ISNUMBER('02_Historical_FS'!F36),'02_Historical_FS'!F36,"")</x:f>
        <x:v>81871.34</x:v>
      </x:c>
      <x:c r="G41" s="31" t="n">
        <x:f>IF(ISNUMBER('02_Historical_FS'!G36),'02_Historical_FS'!G36,"")</x:f>
        <x:v>98280.54999999999</x:v>
      </x:c>
      <x:c r="H41" s="31" t="n">
        <x:f>IF(ISNUMBER('02_Historical_FS'!H36),'02_Historical_FS'!H36,"")</x:f>
        <x:v>120085.76</x:v>
      </x:c>
      <x:c r="I41" s="53" t="str">
        <x:f>IF(AND(ISNUMBER(H41),ISNUMBER(I25),ISNUMBER('04_Drivers'!I199),ISNUMBER('04_Drivers'!I194),ISNUMBER('04_Drivers'!I204)),H41+I25+'04_Drivers'!I199-I25*'04_Drivers'!I194+'04_Drivers'!I204,"")</x:f>
      </x:c>
      <x:c r="J41" s="53" t="str">
        <x:f>IF(AND(ISNUMBER(I41),ISNUMBER(J25),ISNUMBER('04_Drivers'!J199),ISNUMBER('04_Drivers'!J194),ISNUMBER('04_Drivers'!J204)),I41+J25+'04_Drivers'!J199-J25*'04_Drivers'!J194+'04_Drivers'!J204,"")</x:f>
      </x:c>
      <x:c r="K41" s="53" t="str">
        <x:f>IF(AND(ISNUMBER(J41),ISNUMBER(K25),ISNUMBER('04_Drivers'!K199),ISNUMBER('04_Drivers'!K194),ISNUMBER('04_Drivers'!K204)),J41+K25+'04_Drivers'!K199-K25*'04_Drivers'!K194+'04_Drivers'!K204,"")</x:f>
      </x:c>
      <x:c r="L41" s="53" t="str">
        <x:f>IF(AND(ISNUMBER(K41),ISNUMBER(L25),ISNUMBER('04_Drivers'!L199),ISNUMBER('04_Drivers'!L194),ISNUMBER('04_Drivers'!L204)),K41+L25+'04_Drivers'!L199-L25*'04_Drivers'!L194+'04_Drivers'!L204,"")</x:f>
      </x:c>
      <x:c r="M41" s="53" t="str">
        <x:f>IF(AND(ISNUMBER(L41),ISNUMBER(M25),ISNUMBER('04_Drivers'!M199),ISNUMBER('04_Drivers'!M194),ISNUMBER('04_Drivers'!M204)),L41+M25+'04_Drivers'!M199-M25*'04_Drivers'!M194+'04_Drivers'!M204,"")</x:f>
      </x:c>
      <x:c r="N41" s="2"/>
      <x:c r="O41" s="2"/>
      <x:c r="P41" s="2"/>
    </x:row>
    <x:row r="42" ht="19" customHeight="1">
      <x:c r="A42" s="2"/>
      <x:c r="B42" s="2"/>
      <x:c r="C42" s="2" t="str">
        <x:v>Non-controlling interests</x:v>
      </x:c>
      <x:c r="D42" s="31" t="n">
        <x:f>IF(ISNUMBER('02_Historical_FS'!D94),'02_Historical_FS'!D94,"")</x:f>
        <x:v>250.7</x:v>
      </x:c>
      <x:c r="E42" s="31" t="n">
        <x:f>IF(ISNUMBER('02_Historical_FS'!E94),'02_Historical_FS'!E94,"")</x:f>
        <x:v>373.77</x:v>
      </x:c>
      <x:c r="F42" s="31" t="n">
        <x:f>IF(ISNUMBER('02_Historical_FS'!F94),'02_Historical_FS'!F94,"")</x:f>
        <x:v>562.07</x:v>
      </x:c>
      <x:c r="G42" s="31" t="n">
        <x:f>IF(ISNUMBER('02_Historical_FS'!G94),'02_Historical_FS'!G94,"")</x:f>
        <x:v>817.69</x:v>
      </x:c>
      <x:c r="H42" s="31" t="n">
        <x:f>IF(ISNUMBER('02_Historical_FS'!H94),'02_Historical_FS'!H94,"")</x:f>
        <x:v>1181.93</x:v>
      </x:c>
      <x:c r="I42" s="53" t="str">
        <x:f>IF(AND(ISNUMBER(H42),ISNUMBER(I24),ISNUMBER('04_Drivers'!I209)),H42+I24+'04_Drivers'!I209,"")</x:f>
      </x:c>
      <x:c r="J42" s="53" t="str">
        <x:f>IF(AND(ISNUMBER(I42),ISNUMBER(J24),ISNUMBER('04_Drivers'!J209)),I42+J24+'04_Drivers'!J209,"")</x:f>
      </x:c>
      <x:c r="K42" s="53" t="str">
        <x:f>IF(AND(ISNUMBER(J42),ISNUMBER(K24),ISNUMBER('04_Drivers'!K209)),J42+K24+'04_Drivers'!K209,"")</x:f>
      </x:c>
      <x:c r="L42" s="53" t="str">
        <x:f>IF(AND(ISNUMBER(K42),ISNUMBER(L24),ISNUMBER('04_Drivers'!L209)),K42+L24+'04_Drivers'!L209,"")</x:f>
      </x:c>
      <x:c r="M42" s="53" t="str">
        <x:f>IF(AND(ISNUMBER(L42),ISNUMBER(M24),ISNUMBER('04_Drivers'!M209)),L42+M24+'04_Drivers'!M209,"")</x:f>
      </x:c>
      <x:c r="N42" s="2"/>
      <x:c r="O42" s="2"/>
      <x:c r="P42" s="2"/>
    </x:row>
    <x:row r="43" ht="19" customHeight="1">
      <x:c r="A43" s="2"/>
      <x:c r="B43" s="2"/>
      <x:c r="C43" s="2" t="str">
        <x:v>Borrowings</x:v>
      </x:c>
      <x:c r="D43" s="31" t="n">
        <x:f>IF(ISNUMBER('02_Historical_FS'!D33),'02_Historical_FS'!D33,"")</x:f>
        <x:v>831.35</x:v>
      </x:c>
      <x:c r="E43" s="31" t="n">
        <x:f>IF(ISNUMBER('02_Historical_FS'!E33),'02_Historical_FS'!E33,"")</x:f>
        <x:v>730.1800000000001</x:v>
      </x:c>
      <x:c r="F43" s="31" t="n">
        <x:f>IF(ISNUMBER('02_Historical_FS'!F33),'02_Historical_FS'!F33,"")</x:f>
        <x:v>897.74</x:v>
      </x:c>
      <x:c r="G43" s="31" t="n">
        <x:f>IF(ISNUMBER('02_Historical_FS'!G33),'02_Historical_FS'!G33,"")</x:f>
        <x:v>1090.04</x:v>
      </x:c>
      <x:c r="H43" s="31" t="n">
        <x:f>IF(ISNUMBER('02_Historical_FS'!H33),'02_Historical_FS'!H33,"")</x:f>
        <x:v>1324.9</x:v>
      </x:c>
      <x:c r="I43" s="53" t="str">
        <x:f>IF(AND(ISNUMBER(H43),ISNUMBER('04_Drivers'!I179)),H43+'04_Drivers'!I179,"")</x:f>
      </x:c>
      <x:c r="J43" s="53" t="str">
        <x:f>IF(AND(ISNUMBER(I43),ISNUMBER('04_Drivers'!J179)),I43+'04_Drivers'!J179,"")</x:f>
      </x:c>
      <x:c r="K43" s="53" t="str">
        <x:f>IF(AND(ISNUMBER(J43),ISNUMBER('04_Drivers'!K179)),J43+'04_Drivers'!K179,"")</x:f>
      </x:c>
      <x:c r="L43" s="53" t="str">
        <x:f>IF(AND(ISNUMBER(K43),ISNUMBER('04_Drivers'!L179)),K43+'04_Drivers'!L179,"")</x:f>
      </x:c>
      <x:c r="M43" s="53" t="str">
        <x:f>IF(AND(ISNUMBER(L43),ISNUMBER('04_Drivers'!M179)),L43+'04_Drivers'!M179,"")</x:f>
      </x:c>
      <x:c r="N43" s="2"/>
      <x:c r="O43" s="2"/>
      <x:c r="P43" s="2"/>
    </x:row>
    <x:row r="44" ht="19" customHeight="1">
      <x:c r="A44" s="2"/>
      <x:c r="B44" s="2"/>
      <x:c r="C44" s="2" t="str">
        <x:v>Lease liabilities</x:v>
      </x:c>
      <x:c r="D44" s="31" t="n">
        <x:f>'02_Historical_FS'!D96+'02_Historical_FS'!D103</x:f>
        <x:v>350.13</x:v>
      </x:c>
      <x:c r="E44" s="31" t="n">
        <x:f>'02_Historical_FS'!E96+'02_Historical_FS'!E103</x:f>
        <x:v>363.29</x:v>
      </x:c>
      <x:c r="F44" s="31" t="n">
        <x:f>'02_Historical_FS'!F96+'02_Historical_FS'!F103</x:f>
        <x:v>713.19</x:v>
      </x:c>
      <x:c r="G44" s="31" t="n">
        <x:f>'02_Historical_FS'!G96+'02_Historical_FS'!G103</x:f>
        <x:v>934.33</x:v>
      </x:c>
      <x:c r="H44" s="31" t="n">
        <x:f>'02_Historical_FS'!H96+'02_Historical_FS'!H103</x:f>
        <x:v>1030.27</x:v>
      </x:c>
      <x:c r="I44" s="53" t="str">
        <x:f>IF(AND(ISNUMBER(H44),ISNUMBER('04_Drivers'!I189),ISNUMBER('04_Drivers'!I184)),H44+'04_Drivers'!I189-'04_Drivers'!I184,"")</x:f>
      </x:c>
      <x:c r="J44" s="53" t="str">
        <x:f>IF(AND(ISNUMBER(I44),ISNUMBER('04_Drivers'!J189),ISNUMBER('04_Drivers'!J184)),I44+'04_Drivers'!J189-'04_Drivers'!J184,"")</x:f>
      </x:c>
      <x:c r="K44" s="53" t="str">
        <x:f>IF(AND(ISNUMBER(J44),ISNUMBER('04_Drivers'!K189),ISNUMBER('04_Drivers'!K184)),J44+'04_Drivers'!K189-'04_Drivers'!K184,"")</x:f>
      </x:c>
      <x:c r="L44" s="53" t="str">
        <x:f>IF(AND(ISNUMBER(K44),ISNUMBER('04_Drivers'!L189),ISNUMBER('04_Drivers'!L184)),K44+'04_Drivers'!L189-'04_Drivers'!L184,"")</x:f>
      </x:c>
      <x:c r="M44" s="53" t="str">
        <x:f>IF(AND(ISNUMBER(L44),ISNUMBER('04_Drivers'!M189),ISNUMBER('04_Drivers'!M184)),L44+'04_Drivers'!M189-'04_Drivers'!M184,"")</x:f>
      </x:c>
      <x:c r="N44" s="2"/>
      <x:c r="O44" s="2"/>
      <x:c r="P44" s="2"/>
    </x:row>
    <x:row r="45" ht="19" customHeight="1">
      <x:c r="A45" s="2"/>
      <x:c r="B45" s="2"/>
      <x:c r="C45" s="2" t="str">
        <x:v>Acceptances</x:v>
      </x:c>
      <x:c r="D45" s="31" t="n">
        <x:f>IF(ISNUMBER('02_Historical_FS'!D104),'02_Historical_FS'!D104,"")</x:f>
        <x:v>6364.55</x:v>
      </x:c>
      <x:c r="E45" s="31" t="n">
        <x:f>IF(ISNUMBER('02_Historical_FS'!E104),'02_Historical_FS'!E104,"")</x:f>
        <x:v>12257.56</x:v>
      </x:c>
      <x:c r="F45" s="31" t="n">
        <x:f>IF(ISNUMBER('02_Historical_FS'!F104),'02_Historical_FS'!F104,"")</x:f>
        <x:v>18619.66</x:v>
      </x:c>
      <x:c r="G45" s="31" t="n">
        <x:f>IF(ISNUMBER('02_Historical_FS'!G104),'02_Historical_FS'!G104,"")</x:f>
        <x:v>13062.37</x:v>
      </x:c>
      <x:c r="H45" s="31" t="n">
        <x:f>IF(ISNUMBER('02_Historical_FS'!H104),'02_Historical_FS'!H104,"")</x:f>
        <x:v>42656.19</x:v>
      </x:c>
      <x:c r="I45" s="53" t="str">
        <x:f>IF(ISNUMBER('07_Working_Capital'!I12),'07_Working_Capital'!I12,"")</x:f>
      </x:c>
      <x:c r="J45" s="53" t="str">
        <x:f>IF(ISNUMBER('07_Working_Capital'!J12),'07_Working_Capital'!J12,"")</x:f>
      </x:c>
      <x:c r="K45" s="53" t="str">
        <x:f>IF(ISNUMBER('07_Working_Capital'!K12),'07_Working_Capital'!K12,"")</x:f>
      </x:c>
      <x:c r="L45" s="53" t="str">
        <x:f>IF(ISNUMBER('07_Working_Capital'!L12),'07_Working_Capital'!L12,"")</x:f>
      </x:c>
      <x:c r="M45" s="53" t="str">
        <x:f>IF(ISNUMBER('07_Working_Capital'!M12),'07_Working_Capital'!M12,"")</x:f>
      </x:c>
      <x:c r="N45" s="2"/>
      <x:c r="O45" s="2"/>
      <x:c r="P45" s="2"/>
    </x:row>
    <x:row r="46" ht="19" customHeight="1">
      <x:c r="A46" s="2"/>
      <x:c r="B46" s="2"/>
      <x:c r="C46" s="2" t="str">
        <x:v>Trade payables excluding acceptances</x:v>
      </x:c>
      <x:c r="D46" s="31" t="n">
        <x:f>IF(ISNUMBER('07_Working_Capital'!D11),'07_Working_Capital'!D11,"")</x:f>
        <x:v>5810.75</x:v>
      </x:c>
      <x:c r="E46" s="31" t="n">
        <x:f>IF(ISNUMBER('07_Working_Capital'!E11),'07_Working_Capital'!E11,"")</x:f>
        <x:v>8068.88</x:v>
      </x:c>
      <x:c r="F46" s="31" t="n">
        <x:f>IF(ISNUMBER('07_Working_Capital'!F11),'07_Working_Capital'!F11,"")</x:f>
        <x:v>10013.59</x:v>
      </x:c>
      <x:c r="G46" s="31" t="n">
        <x:f>IF(ISNUMBER('07_Working_Capital'!G11),'07_Working_Capital'!G11,"")</x:f>
        <x:v>14295.19</x:v>
      </x:c>
      <x:c r="H46" s="31" t="n">
        <x:f>IF(ISNUMBER('07_Working_Capital'!H11),'07_Working_Capital'!H11,"")</x:f>
        <x:v>17988.14</x:v>
      </x:c>
      <x:c r="I46" s="53" t="str">
        <x:f>IF(ISNUMBER('07_Working_Capital'!I11),'07_Working_Capital'!I11,"")</x:f>
      </x:c>
      <x:c r="J46" s="53" t="str">
        <x:f>IF(ISNUMBER('07_Working_Capital'!J11),'07_Working_Capital'!J11,"")</x:f>
      </x:c>
      <x:c r="K46" s="53" t="str">
        <x:f>IF(ISNUMBER('07_Working_Capital'!K11),'07_Working_Capital'!K11,"")</x:f>
      </x:c>
      <x:c r="L46" s="53" t="str">
        <x:f>IF(ISNUMBER('07_Working_Capital'!L11),'07_Working_Capital'!L11,"")</x:f>
      </x:c>
      <x:c r="M46" s="53" t="str">
        <x:f>IF(ISNUMBER('07_Working_Capital'!M11),'07_Working_Capital'!M11,"")</x:f>
      </x:c>
      <x:c r="N46" s="2"/>
      <x:c r="O46" s="2"/>
      <x:c r="P46" s="2"/>
    </x:row>
    <x:row r="47" ht="19" customHeight="1">
      <x:c r="A47" s="2"/>
      <x:c r="B47" s="2"/>
      <x:c r="C47" s="2" t="str">
        <x:v>Other liabilities</x:v>
      </x:c>
      <x:c r="D47" s="31" t="n">
        <x:f>IF(ISNUMBER('07_Working_Capital'!D17),'07_Working_Capital'!D17,"")</x:f>
        <x:v>5074.170000000005</x:v>
      </x:c>
      <x:c r="E47" s="31" t="n">
        <x:f>IF(ISNUMBER('07_Working_Capital'!E17),'07_Working_Capital'!E17,"")</x:f>
        <x:v>6089.009999999997</x:v>
      </x:c>
      <x:c r="F47" s="31" t="n">
        <x:f>IF(ISNUMBER('07_Working_Capital'!F17),'07_Working_Capital'!F17,"")</x:f>
        <x:v>8111.25</x:v>
      </x:c>
      <x:c r="G47" s="31" t="n">
        <x:f>IF(ISNUMBER('07_Working_Capital'!G17),'07_Working_Capital'!G17,"")</x:f>
        <x:v>9277.49</x:v>
      </x:c>
      <x:c r="H47" s="31" t="n">
        <x:f>IF(ISNUMBER('07_Working_Capital'!H17),'07_Working_Capital'!H17,"")</x:f>
        <x:v>20494.710000000006</x:v>
      </x:c>
      <x:c r="I47" s="53" t="str">
        <x:f>IF(ISNUMBER('07_Working_Capital'!I17),'07_Working_Capital'!I17,"")</x:f>
      </x:c>
      <x:c r="J47" s="53" t="str">
        <x:f>IF(ISNUMBER('07_Working_Capital'!J17),'07_Working_Capital'!J17,"")</x:f>
      </x:c>
      <x:c r="K47" s="53" t="str">
        <x:f>IF(ISNUMBER('07_Working_Capital'!K17),'07_Working_Capital'!K17,"")</x:f>
      </x:c>
      <x:c r="L47" s="53" t="str">
        <x:f>IF(ISNUMBER('07_Working_Capital'!L17),'07_Working_Capital'!L17,"")</x:f>
      </x:c>
      <x:c r="M47" s="53" t="str">
        <x:f>IF(ISNUMBER('07_Working_Capital'!M17),'07_Working_Capital'!M17,"")</x:f>
      </x:c>
      <x:c r="N47" s="2"/>
      <x:c r="O47" s="2"/>
      <x:c r="P47" s="2"/>
    </x:row>
    <x:row r="48" ht="19" customHeight="1">
      <x:c r="A48" s="2"/>
      <x:c r="B48" s="2"/>
      <x:c r="C48" s="18" t="str">
        <x:v>Total equity and liabilities</x:v>
      </x:c>
      <x:c r="D48" s="23" t="n">
        <x:f>SUM(D41:D47)</x:f>
        <x:v>74119.06</x:v>
      </x:c>
      <x:c r="E48" s="23" t="n">
        <x:f>SUM(E41:E47)</x:f>
        <x:v>94254.75999999998</x:v>
      </x:c>
      <x:c r="F48" s="23" t="n">
        <x:f>SUM(F41:F47)</x:f>
        <x:v>120788.84000000001</x:v>
      </x:c>
      <x:c r="G48" s="23" t="n">
        <x:f>SUM(G41:G47)</x:f>
        <x:v>137757.65999999997</x:v>
      </x:c>
      <x:c r="H48" s="23" t="n">
        <x:f>SUM(H41:H47)</x:f>
        <x:v>204761.90000000002</x:v>
      </x:c>
      <x:c r="I48" s="23" t="str">
        <x:f>IF(AND(ISNUMBER(I41),ISNUMBER(I42),ISNUMBER(I43),ISNUMBER(I44),ISNUMBER(I45),ISNUMBER(I46),ISNUMBER(I47)),SUM(I41:I47),"")</x:f>
      </x:c>
      <x:c r="J48" s="23" t="str">
        <x:f>IF(AND(ISNUMBER(J41),ISNUMBER(J42),ISNUMBER(J43),ISNUMBER(J44),ISNUMBER(J45),ISNUMBER(J46),ISNUMBER(J47)),SUM(J41:J47),"")</x:f>
      </x:c>
      <x:c r="K48" s="23" t="str">
        <x:f>IF(AND(ISNUMBER(K41),ISNUMBER(K42),ISNUMBER(K43),ISNUMBER(K44),ISNUMBER(K45),ISNUMBER(K46),ISNUMBER(K47)),SUM(K41:K47),"")</x:f>
      </x:c>
      <x:c r="L48" s="23" t="str">
        <x:f>IF(AND(ISNUMBER(L41),ISNUMBER(L42),ISNUMBER(L43),ISNUMBER(L44),ISNUMBER(L45),ISNUMBER(L46),ISNUMBER(L47)),SUM(L41:L47),"")</x:f>
      </x:c>
      <x:c r="M48" s="23" t="str">
        <x:f>IF(AND(ISNUMBER(M41),ISNUMBER(M42),ISNUMBER(M43),ISNUMBER(M44),ISNUMBER(M45),ISNUMBER(M46),ISNUMBER(M47)),SUM(M41:M47),"")</x:f>
      </x:c>
      <x:c r="N48" s="2"/>
      <x:c r="O48" s="2"/>
      <x:c r="P48" s="2"/>
    </x:row>
    <x:row r="49" ht="19" customHeight="1">
      <x:c r="A49" s="2"/>
      <x:c r="B49" s="2"/>
      <x:c r="C49" s="2" t="str">
        <x:v>Balance-sheet difference</x:v>
      </x:c>
      <x:c r="D49" s="93" t="n">
        <x:f>D38-D48</x:f>
        <x:v>0</x:v>
      </x:c>
      <x:c r="E49" s="93" t="n">
        <x:f>E38-E48</x:f>
        <x:v>1.4551915228366852e-11</x:v>
      </x:c>
      <x:c r="F49" s="93" t="n">
        <x:f>F38-F48</x:f>
        <x:v>-1.4551915228366852e-11</x:v>
      </x:c>
      <x:c r="G49" s="93" t="n">
        <x:f>G38-G48</x:f>
        <x:v>2.9103830456733704e-11</x:v>
      </x:c>
      <x:c r="H49" s="93" t="n">
        <x:f>H38-H48</x:f>
        <x:v>-2.9103830456733704e-11</x:v>
      </x:c>
      <x:c r="I49" s="94" t="str">
        <x:f>IF(AND(ISNUMBER(I38),ISNUMBER(I48)),I38-I48,"")</x:f>
      </x:c>
      <x:c r="J49" s="94" t="str">
        <x:f>IF(AND(ISNUMBER(J38),ISNUMBER(J48)),J38-J48,"")</x:f>
      </x:c>
      <x:c r="K49" s="94" t="str">
        <x:f>IF(AND(ISNUMBER(K38),ISNUMBER(K48)),K38-K48,"")</x:f>
      </x:c>
      <x:c r="L49" s="94" t="str">
        <x:f>IF(AND(ISNUMBER(L38),ISNUMBER(L48)),L38-L48,"")</x:f>
      </x:c>
      <x:c r="M49" s="94" t="str">
        <x:f>IF(AND(ISNUMBER(M38),ISNUMBER(M48)),M38-M48,"")</x:f>
      </x:c>
      <x:c r="N49" s="2"/>
      <x:c r="O49" s="13" t="str">
        <x:v>Independent check, not a cash or equity plug. Forecast classification adjustments must be supported and reconciled before valuation.</x:v>
      </x:c>
      <x:c r="P49" s="2"/>
    </x:row>
    <x:row r="50" ht="19" customHeight="1">
      <x:c r="A50" s="2"/>
      <x:c r="B50" s="2"/>
      <x:c r="C50" s="2"/>
      <x:c r="D50" s="2"/>
      <x:c r="E50" s="2"/>
      <x:c r="F50" s="2"/>
      <x:c r="G50" s="2"/>
      <x:c r="H50" s="2"/>
      <x:c r="I50" s="34"/>
      <x:c r="J50" s="34"/>
      <x:c r="K50" s="34"/>
      <x:c r="L50" s="34"/>
      <x:c r="M50" s="34"/>
      <x:c r="N50" s="2"/>
      <x:c r="O50" s="2"/>
      <x:c r="P50" s="2"/>
    </x:row>
    <x:row r="51" ht="19" customHeight="1">
      <x:c r="A51" s="2"/>
      <x:c r="B51" s="2"/>
      <x:c r="C51" s="2"/>
      <x:c r="D51" s="2"/>
      <x:c r="E51" s="2"/>
      <x:c r="F51" s="2"/>
      <x:c r="G51" s="2"/>
      <x:c r="H51" s="2"/>
      <x:c r="I51" s="34"/>
      <x:c r="J51" s="34"/>
      <x:c r="K51" s="34"/>
      <x:c r="L51" s="34"/>
      <x:c r="M51" s="34"/>
      <x:c r="N51" s="2"/>
      <x:c r="O51" s="2"/>
      <x:c r="P51" s="2"/>
    </x:row>
    <x:row r="52" ht="23" customHeight="1">
      <x:c r="A52" s="2"/>
      <x:c r="B52" s="2"/>
      <x:c r="C52" s="10" t="str">
        <x:v>CASH FLOW</x:v>
      </x:c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2"/>
      <x:c r="O52" s="2"/>
      <x:c r="P52" s="2"/>
    </x:row>
    <x:row r="53" ht="19" customHeight="1">
      <x:c r="A53" s="2"/>
      <x:c r="B53" s="2"/>
      <x:c r="C53" s="2" t="str">
        <x:v>Opening cash, gross</x:v>
      </x:c>
      <x:c r="D53" s="31" t="n">
        <x:f>'01_Sources'!D30</x:f>
        <x:v>2378.03</x:v>
      </x:c>
      <x:c r="E53" s="24" t="n">
        <x:f>D37</x:f>
        <x:v>1216.91</x:v>
      </x:c>
      <x:c r="F53" s="24" t="n">
        <x:f>E37</x:f>
        <x:v>1527.52</x:v>
      </x:c>
      <x:c r="G53" s="24" t="n">
        <x:f>F37</x:f>
        <x:v>3070.31</x:v>
      </x:c>
      <x:c r="H53" s="24" t="n">
        <x:f>G37</x:f>
        <x:v>2173.87</x:v>
      </x:c>
      <x:c r="I53" s="52" t="n">
        <x:f>IF(AND(ISNUMBER(H37)),H37,"")</x:f>
        <x:v>3903.43</x:v>
      </x:c>
      <x:c r="J53" s="52" t="str">
        <x:f>IF(AND(ISNUMBER(I37)),I37,"")</x:f>
      </x:c>
      <x:c r="K53" s="52" t="str">
        <x:f>IF(AND(ISNUMBER(J37)),J37,"")</x:f>
      </x:c>
      <x:c r="L53" s="52" t="str">
        <x:f>IF(AND(ISNUMBER(K37)),K37,"")</x:f>
      </x:c>
      <x:c r="M53" s="52" t="str">
        <x:f>IF(AND(ISNUMBER(L37)),L37,"")</x:f>
      </x:c>
      <x:c r="N53" s="2"/>
      <x:c r="O53" s="2"/>
      <x:c r="P53" s="2"/>
    </x:row>
    <x:row r="54" ht="19" customHeight="1">
      <x:c r="A54" s="2"/>
      <x:c r="B54" s="2"/>
      <x:c r="C54" s="2"/>
      <x:c r="D54" s="2"/>
      <x:c r="E54" s="2"/>
      <x:c r="F54" s="2"/>
      <x:c r="G54" s="2"/>
      <x:c r="H54" s="2"/>
      <x:c r="I54" s="34"/>
      <x:c r="J54" s="34"/>
      <x:c r="K54" s="34"/>
      <x:c r="L54" s="34"/>
      <x:c r="M54" s="34"/>
      <x:c r="N54" s="2"/>
      <x:c r="O54" s="2"/>
      <x:c r="P54" s="2"/>
    </x:row>
    <x:row r="55" ht="19" customHeight="1">
      <x:c r="A55" s="2"/>
      <x:c r="B55" s="2"/>
      <x:c r="C55" s="2" t="str">
        <x:v>Profit before tax</x:v>
      </x:c>
      <x:c r="D55" s="31" t="n">
        <x:f>IF(ISNUMBER('02_Historical_FS'!D54),'02_Historical_FS'!D54,"")</x:f>
        <x:v>11158.58</x:v>
      </x:c>
      <x:c r="E55" s="31" t="n">
        <x:f>IF(ISNUMBER('02_Historical_FS'!E54),'02_Historical_FS'!E54,"")</x:f>
        <x:v>17072.56</x:v>
      </x:c>
      <x:c r="F55" s="31" t="n">
        <x:f>IF(ISNUMBER('02_Historical_FS'!F54),'02_Historical_FS'!F54,"")</x:f>
        <x:v>23593</x:v>
      </x:c>
      <x:c r="G55" s="31" t="n">
        <x:f>IF(ISNUMBER('02_Historical_FS'!G54),'02_Historical_FS'!G54,"")</x:f>
        <x:v>27008.45</x:v>
      </x:c>
      <x:c r="H55" s="31" t="n">
        <x:f>IF(ISNUMBER('02_Historical_FS'!H54),'02_Historical_FS'!H54,"")</x:f>
        <x:v>36130.75</x:v>
      </x:c>
      <x:c r="I55" s="52" t="str">
        <x:f>IF(AND(ISNUMBER(I19)),I19,"")</x:f>
      </x:c>
      <x:c r="J55" s="52" t="str">
        <x:f>IF(AND(ISNUMBER(J19)),J19,"")</x:f>
      </x:c>
      <x:c r="K55" s="52" t="str">
        <x:f>IF(AND(ISNUMBER(K19)),K19,"")</x:f>
      </x:c>
      <x:c r="L55" s="52" t="str">
        <x:f>IF(AND(ISNUMBER(L19)),L19,"")</x:f>
      </x:c>
      <x:c r="M55" s="52" t="str">
        <x:f>IF(AND(ISNUMBER(M19)),M19,"")</x:f>
      </x:c>
      <x:c r="N55" s="2"/>
      <x:c r="O55" s="2"/>
      <x:c r="P55" s="2"/>
    </x:row>
    <x:row r="56" ht="19" customHeight="1">
      <x:c r="A56" s="2"/>
      <x:c r="B56" s="2"/>
      <x:c r="C56" s="2" t="str">
        <x:v>D&amp;A cash-flow add-back</x:v>
      </x:c>
      <x:c r="D56" s="24" t="n">
        <x:f>2088.06</x:f>
        <x:v>2088.06</x:v>
      </x:c>
      <x:c r="E56" s="24" t="n">
        <x:f>E14</x:f>
        <x:v>2091.64</x:v>
      </x:c>
      <x:c r="F56" s="24" t="n">
        <x:f>F14</x:f>
        <x:v>2450.4</x:v>
      </x:c>
      <x:c r="G56" s="24" t="n">
        <x:f>G14</x:f>
        <x:v>2981.03</x:v>
      </x:c>
      <x:c r="H56" s="24" t="n">
        <x:f>H14</x:f>
        <x:v>3858.69</x:v>
      </x:c>
      <x:c r="I56" s="52" t="str">
        <x:f>IF(AND(ISNUMBER(I14)),I14,"")</x:f>
      </x:c>
      <x:c r="J56" s="52" t="str">
        <x:f>IF(AND(ISNUMBER(J14)),J14,"")</x:f>
      </x:c>
      <x:c r="K56" s="52" t="str">
        <x:f>IF(AND(ISNUMBER(K14)),K14,"")</x:f>
      </x:c>
      <x:c r="L56" s="52" t="str">
        <x:f>IF(AND(ISNUMBER(L14)),L14,"")</x:f>
      </x:c>
      <x:c r="M56" s="52" t="str">
        <x:f>IF(AND(ISNUMBER(M14)),M14,"")</x:f>
      </x:c>
      <x:c r="N56" s="2"/>
      <x:c r="O56" s="13" t="str">
        <x:v>FY22 add-back INR2,088.06m includes discontinued operations. Source AR23 p221.</x:v>
      </x:c>
      <x:c r="P56" s="2"/>
    </x:row>
    <x:row r="57" ht="19" customHeight="1">
      <x:c r="A57" s="2"/>
      <x:c r="B57" s="2"/>
      <x:c r="C57" s="2" t="str">
        <x:v>Finance-cost add-back</x:v>
      </x:c>
      <x:c r="D57" s="31" t="n">
        <x:f>IF(ISNUMBER('02_Historical_FS'!D52),'02_Historical_FS'!D52,"")</x:f>
        <x:v>351.9</x:v>
      </x:c>
      <x:c r="E57" s="31" t="n">
        <x:f>IF(ISNUMBER('02_Historical_FS'!E52),'02_Historical_FS'!E52,"")</x:f>
        <x:v>597.57</x:v>
      </x:c>
      <x:c r="F57" s="31" t="n">
        <x:f>IF(ISNUMBER('02_Historical_FS'!F52),'02_Historical_FS'!F52,"")</x:f>
        <x:v>1083.4</x:v>
      </x:c>
      <x:c r="G57" s="31" t="n">
        <x:f>IF(ISNUMBER('02_Historical_FS'!G52),'02_Historical_FS'!G52,"")</x:f>
        <x:v>1689.28</x:v>
      </x:c>
      <x:c r="H57" s="31" t="n">
        <x:f>IF(ISNUMBER('02_Historical_FS'!H52),'02_Historical_FS'!H52,"")</x:f>
        <x:v>2430.36</x:v>
      </x:c>
      <x:c r="I57" s="52" t="str">
        <x:f>IF(AND(ISNUMBER(I18)),I18,"")</x:f>
      </x:c>
      <x:c r="J57" s="52" t="str">
        <x:f>IF(AND(ISNUMBER(J18)),J18,"")</x:f>
      </x:c>
      <x:c r="K57" s="52" t="str">
        <x:f>IF(AND(ISNUMBER(K18)),K18,"")</x:f>
      </x:c>
      <x:c r="L57" s="52" t="str">
        <x:f>IF(AND(ISNUMBER(L18)),L18,"")</x:f>
      </x:c>
      <x:c r="M57" s="52" t="str">
        <x:f>IF(AND(ISNUMBER(M18)),M18,"")</x:f>
      </x:c>
      <x:c r="N57" s="2"/>
      <x:c r="O57" s="2"/>
      <x:c r="P57" s="2"/>
    </x:row>
    <x:row r="58" ht="19" customHeight="1">
      <x:c r="A58" s="2"/>
      <x:c r="B58" s="2"/>
      <x:c r="C58" s="2" t="str">
        <x:v>Less: other income</x:v>
      </x:c>
      <x:c r="D58" s="24" t="n">
        <x:f>-D17</x:f>
        <x:v>-899.23</x:v>
      </x:c>
      <x:c r="E58" s="24" t="n">
        <x:f>-E17</x:f>
        <x:v>-1333.26</x:v>
      </x:c>
      <x:c r="F58" s="24" t="n">
        <x:f>-F17</x:f>
        <x:v>-2208.75</x:v>
      </x:c>
      <x:c r="G58" s="24" t="n">
        <x:f>-G17</x:f>
        <x:v>-2076.36</x:v>
      </x:c>
      <x:c r="H58" s="24" t="n">
        <x:f>-H17</x:f>
        <x:v>-2362.52</x:v>
      </x:c>
      <x:c r="I58" s="52" t="str">
        <x:f>IF(AND(ISNUMBER(I17)),-I17,"")</x:f>
      </x:c>
      <x:c r="J58" s="52" t="str">
        <x:f>IF(AND(ISNUMBER(J17)),-J17,"")</x:f>
      </x:c>
      <x:c r="K58" s="52" t="str">
        <x:f>IF(AND(ISNUMBER(K17)),-K17,"")</x:f>
      </x:c>
      <x:c r="L58" s="52" t="str">
        <x:f>IF(AND(ISNUMBER(L17)),-L17,"")</x:f>
      </x:c>
      <x:c r="M58" s="52" t="str">
        <x:f>IF(AND(ISNUMBER(M17)),-M17,"")</x:f>
      </x:c>
      <x:c r="N58" s="2"/>
      <x:c r="O58" s="2"/>
      <x:c r="P58" s="2"/>
    </x:row>
    <x:row r="59" ht="19" customHeight="1">
      <x:c r="A59" s="2"/>
      <x:c r="B59" s="2"/>
      <x:c r="C59" s="2" t="str">
        <x:v>Cash impact of working capital</x:v>
      </x:c>
      <x:c r="D59" s="31" t="n">
        <x:f>SUM('02_Historical_FS'!D114:'02_Historical_FS'!D122)</x:f>
        <x:v>-4974.1</x:v>
      </x:c>
      <x:c r="E59" s="31" t="n">
        <x:f>SUM('02_Historical_FS'!E114:'02_Historical_FS'!E122)</x:f>
        <x:v>-917.3299999999995</x:v>
      </x:c>
      <x:c r="F59" s="31" t="n">
        <x:f>SUM('02_Historical_FS'!F114:'02_Historical_FS'!F122)</x:f>
        <x:v>-8089.930000000001</x:v>
      </x:c>
      <x:c r="G59" s="31" t="n">
        <x:f>SUM('02_Historical_FS'!G114:'02_Historical_FS'!G122)</x:f>
        <x:v>-6099.459999999999</x:v>
      </x:c>
      <x:c r="H59" s="31" t="n">
        <x:f>SUM('02_Historical_FS'!H114:'02_Historical_FS'!H122)</x:f>
        <x:v>6049.889999999999</x:v>
      </x:c>
      <x:c r="I59" s="53" t="str">
        <x:f>IF(AND(ISNUMBER('07_Working_Capital'!I20)),-'07_Working_Capital'!I20,"")</x:f>
      </x:c>
      <x:c r="J59" s="53" t="str">
        <x:f>IF(AND(ISNUMBER('07_Working_Capital'!J20)),-'07_Working_Capital'!J20,"")</x:f>
      </x:c>
      <x:c r="K59" s="53" t="str">
        <x:f>IF(AND(ISNUMBER('07_Working_Capital'!K20)),-'07_Working_Capital'!K20,"")</x:f>
      </x:c>
      <x:c r="L59" s="53" t="str">
        <x:f>IF(AND(ISNUMBER('07_Working_Capital'!L20)),-'07_Working_Capital'!L20,"")</x:f>
      </x:c>
      <x:c r="M59" s="53" t="str">
        <x:f>IF(AND(ISNUMBER('07_Working_Capital'!M20)),-'07_Working_Capital'!M20,"")</x:f>
      </x:c>
      <x:c r="N59" s="2"/>
      <x:c r="O59" s="2"/>
      <x:c r="P59" s="2"/>
    </x:row>
    <x:row r="60" ht="19" customHeight="1">
      <x:c r="A60" s="2"/>
      <x:c r="B60" s="2"/>
      <x:c r="C60" s="2" t="str">
        <x:v>Other operating adjustments</x:v>
      </x:c>
      <x:c r="D60" s="31" t="n">
        <x:f>'02_Historical_FS'!D113-SUM(D55:D58)</x:f>
        <x:v>730.460000000001</x:v>
      </x:c>
      <x:c r="E60" s="31" t="n">
        <x:f>'02_Historical_FS'!E113-SUM(E55:E58)</x:f>
        <x:v>468.3099999999977</x:v>
      </x:c>
      <x:c r="F60" s="31" t="n">
        <x:f>'02_Historical_FS'!F113-SUM(F55:F58)</x:f>
        <x:v>1877.449999999997</x:v>
      </x:c>
      <x:c r="G60" s="31" t="n">
        <x:f>'02_Historical_FS'!G113-SUM(G55:G58)</x:f>
        <x:v>913.880000000001</x:v>
      </x:c>
      <x:c r="H60" s="31" t="n">
        <x:f>'02_Historical_FS'!H113-SUM(H55:H58)</x:f>
        <x:v>829.1299999999974</x:v>
      </x:c>
      <x:c r="I60" s="53" t="str">
        <x:f>IF(ISNUMBER('04_Drivers'!I149),'04_Drivers'!I149,"")</x:f>
      </x:c>
      <x:c r="J60" s="53" t="str">
        <x:f>IF(ISNUMBER('04_Drivers'!J149),'04_Drivers'!J149,"")</x:f>
      </x:c>
      <x:c r="K60" s="53" t="str">
        <x:f>IF(ISNUMBER('04_Drivers'!K149),'04_Drivers'!K149,"")</x:f>
      </x:c>
      <x:c r="L60" s="53" t="str">
        <x:f>IF(ISNUMBER('04_Drivers'!L149),'04_Drivers'!L149,"")</x:f>
      </x:c>
      <x:c r="M60" s="53" t="str">
        <x:f>IF(ISNUMBER('04_Drivers'!M149),'04_Drivers'!M149,"")</x:f>
      </x:c>
      <x:c r="N60" s="2"/>
      <x:c r="O60" s="13" t="str">
        <x:v>Historical reconciliation residual is explicit. Forecast requires supported non-cash/classification adjustments.</x:v>
      </x:c>
      <x:c r="P60" s="2"/>
    </x:row>
    <x:row r="61" ht="19" customHeight="1">
      <x:c r="A61" s="2"/>
      <x:c r="B61" s="2"/>
      <x:c r="C61" s="2" t="str">
        <x:v>Cash taxes paid</x:v>
      </x:c>
      <x:c r="D61" s="31" t="n">
        <x:f>'02_Historical_FS'!D124</x:f>
        <x:v>-3339.56</x:v>
      </x:c>
      <x:c r="E61" s="31" t="n">
        <x:f>'02_Historical_FS'!E124</x:f>
        <x:v>-3704.28</x:v>
      </x:c>
      <x:c r="F61" s="31" t="n">
        <x:f>'02_Historical_FS'!F124</x:f>
        <x:v>-5743.17</x:v>
      </x:c>
      <x:c r="G61" s="31" t="n">
        <x:f>'02_Historical_FS'!G124</x:f>
        <x:v>-6331.48</x:v>
      </x:c>
      <x:c r="H61" s="31" t="n">
        <x:f>'02_Historical_FS'!H124</x:f>
        <x:v>-8829.63</x:v>
      </x:c>
      <x:c r="I61" s="53" t="str">
        <x:f>IF(AND(ISNUMBER(I19),ISNUMBER('04_Drivers'!I144)),-I19*'04_Drivers'!I144,"")</x:f>
      </x:c>
      <x:c r="J61" s="53" t="str">
        <x:f>IF(AND(ISNUMBER(J19),ISNUMBER('04_Drivers'!J144)),-J19*'04_Drivers'!J144,"")</x:f>
      </x:c>
      <x:c r="K61" s="53" t="str">
        <x:f>IF(AND(ISNUMBER(K19),ISNUMBER('04_Drivers'!K144)),-K19*'04_Drivers'!K144,"")</x:f>
      </x:c>
      <x:c r="L61" s="53" t="str">
        <x:f>IF(AND(ISNUMBER(L19),ISNUMBER('04_Drivers'!L144)),-L19*'04_Drivers'!L144,"")</x:f>
      </x:c>
      <x:c r="M61" s="53" t="str">
        <x:f>IF(AND(ISNUMBER(M19),ISNUMBER('04_Drivers'!M144)),-M19*'04_Drivers'!M144,"")</x:f>
      </x:c>
      <x:c r="N61" s="2"/>
      <x:c r="O61" s="2"/>
      <x:c r="P61" s="2"/>
    </x:row>
    <x:row r="62" ht="19" customHeight="1">
      <x:c r="A62" s="2"/>
      <x:c r="B62" s="2"/>
      <x:c r="C62" s="18" t="str">
        <x:v>Operating cash flow</x:v>
      </x:c>
      <x:c r="D62" s="49" t="n">
        <x:f>IF(ISNUMBER('02_Historical_FS'!D125),'02_Historical_FS'!D125,"")</x:f>
        <x:v>5116.11</x:v>
      </x:c>
      <x:c r="E62" s="49" t="n">
        <x:f>IF(ISNUMBER('02_Historical_FS'!E125),'02_Historical_FS'!E125,"")</x:f>
        <x:v>14275.21</x:v>
      </x:c>
      <x:c r="F62" s="49" t="n">
        <x:f>IF(ISNUMBER('02_Historical_FS'!F125),'02_Historical_FS'!F125,"")</x:f>
        <x:v>12962.4</x:v>
      </x:c>
      <x:c r="G62" s="49" t="n">
        <x:f>IF(ISNUMBER('02_Historical_FS'!G125),'02_Historical_FS'!G125,"")</x:f>
        <x:v>18085.34</x:v>
      </x:c>
      <x:c r="H62" s="49" t="n">
        <x:f>IF(ISNUMBER('02_Historical_FS'!H125),'02_Historical_FS'!H125,"")</x:f>
        <x:v>38106.67</x:v>
      </x:c>
      <x:c r="I62" s="23" t="str">
        <x:f>IF(AND(ISNUMBER(I55),ISNUMBER(I56),ISNUMBER(I57),ISNUMBER(I58),ISNUMBER(I59),ISNUMBER(I60),ISNUMBER(I61)),SUM(I55:I61),"")</x:f>
      </x:c>
      <x:c r="J62" s="23" t="str">
        <x:f>IF(AND(ISNUMBER(J55),ISNUMBER(J56),ISNUMBER(J57),ISNUMBER(J58),ISNUMBER(J59),ISNUMBER(J60),ISNUMBER(J61)),SUM(J55:J61),"")</x:f>
      </x:c>
      <x:c r="K62" s="23" t="str">
        <x:f>IF(AND(ISNUMBER(K55),ISNUMBER(K56),ISNUMBER(K57),ISNUMBER(K58),ISNUMBER(K59),ISNUMBER(K60),ISNUMBER(K61)),SUM(K55:K61),"")</x:f>
      </x:c>
      <x:c r="L62" s="23" t="str">
        <x:f>IF(AND(ISNUMBER(L55),ISNUMBER(L56),ISNUMBER(L57),ISNUMBER(L58),ISNUMBER(L59),ISNUMBER(L60),ISNUMBER(L61)),SUM(L55:L61),"")</x:f>
      </x:c>
      <x:c r="M62" s="23" t="str">
        <x:f>IF(AND(ISNUMBER(M55),ISNUMBER(M56),ISNUMBER(M57),ISNUMBER(M58),ISNUMBER(M59),ISNUMBER(M60),ISNUMBER(M61)),SUM(M55:M61),"")</x:f>
      </x:c>
      <x:c r="N62" s="2"/>
      <x:c r="O62" s="2"/>
      <x:c r="P62" s="2"/>
    </x:row>
    <x:row r="63" ht="19" customHeight="1">
      <x:c r="A63" s="2"/>
      <x:c r="B63" s="2"/>
      <x:c r="C63" s="2"/>
      <x:c r="D63" s="2"/>
      <x:c r="E63" s="2"/>
      <x:c r="F63" s="2"/>
      <x:c r="G63" s="2"/>
      <x:c r="H63" s="2"/>
      <x:c r="I63" s="34"/>
      <x:c r="J63" s="34"/>
      <x:c r="K63" s="34"/>
      <x:c r="L63" s="34"/>
      <x:c r="M63" s="34"/>
      <x:c r="N63" s="2"/>
      <x:c r="O63" s="2"/>
      <x:c r="P63" s="2"/>
    </x:row>
    <x:row r="64" ht="19" customHeight="1">
      <x:c r="A64" s="2"/>
      <x:c r="B64" s="2"/>
      <x:c r="C64" s="2"/>
      <x:c r="D64" s="2"/>
      <x:c r="E64" s="2"/>
      <x:c r="F64" s="2"/>
      <x:c r="G64" s="2"/>
      <x:c r="H64" s="2"/>
      <x:c r="I64" s="34"/>
      <x:c r="J64" s="34"/>
      <x:c r="K64" s="34"/>
      <x:c r="L64" s="34"/>
      <x:c r="M64" s="34"/>
      <x:c r="N64" s="2"/>
      <x:c r="O64" s="2"/>
      <x:c r="P64" s="2"/>
    </x:row>
    <x:row r="65" ht="19" customHeight="1">
      <x:c r="A65" s="2"/>
      <x:c r="B65" s="2"/>
      <x:c r="C65" s="2" t="str">
        <x:v>Gross cash capex</x:v>
      </x:c>
      <x:c r="D65" s="31" t="n">
        <x:f>-'02_Historical_FS'!D28</x:f>
        <x:v>-5266.929999999999</x:v>
      </x:c>
      <x:c r="E65" s="31" t="n">
        <x:f>-'02_Historical_FS'!E28</x:f>
        <x:v>-4794.53</x:v>
      </x:c>
      <x:c r="F65" s="31" t="n">
        <x:f>-'02_Historical_FS'!F28</x:f>
        <x:v>-8585.189999999999</x:v>
      </x:c>
      <x:c r="G65" s="31" t="n">
        <x:f>-'02_Historical_FS'!G28</x:f>
        <x:v>-9724.44</x:v>
      </x:c>
      <x:c r="H65" s="31" t="n">
        <x:f>-'02_Historical_FS'!H28</x:f>
        <x:v>-14898.080000000002</x:v>
      </x:c>
      <x:c r="I65" s="53" t="str">
        <x:f>IF(AND(ISNUMBER('08_Fixed_Assets'!I18)),-'08_Fixed_Assets'!I18,"")</x:f>
      </x:c>
      <x:c r="J65" s="53" t="str">
        <x:f>IF(AND(ISNUMBER('08_Fixed_Assets'!J18)),-'08_Fixed_Assets'!J18,"")</x:f>
      </x:c>
      <x:c r="K65" s="53" t="str">
        <x:f>IF(AND(ISNUMBER('08_Fixed_Assets'!K18)),-'08_Fixed_Assets'!K18,"")</x:f>
      </x:c>
      <x:c r="L65" s="53" t="str">
        <x:f>IF(AND(ISNUMBER('08_Fixed_Assets'!L18)),-'08_Fixed_Assets'!L18,"")</x:f>
      </x:c>
      <x:c r="M65" s="53" t="str">
        <x:f>IF(AND(ISNUMBER('08_Fixed_Assets'!M18)),-'08_Fixed_Assets'!M18,"")</x:f>
      </x:c>
      <x:c r="N65" s="2"/>
      <x:c r="O65" s="2"/>
      <x:c r="P65" s="2"/>
    </x:row>
    <x:row r="66" ht="19" customHeight="1">
      <x:c r="A66" s="2"/>
      <x:c r="B66" s="2"/>
      <x:c r="C66" s="2" t="str">
        <x:v>Disposal proceeds</x:v>
      </x:c>
      <x:c r="D66" s="31" t="n">
        <x:f>IF(ISNUMBER('02_Historical_FS'!D129),'02_Historical_FS'!D129,"")</x:f>
        <x:v>66.9</x:v>
      </x:c>
      <x:c r="E66" s="31" t="n">
        <x:f>IF(ISNUMBER('02_Historical_FS'!E129),'02_Historical_FS'!E129,"")</x:f>
        <x:v>210.35</x:v>
      </x:c>
      <x:c r="F66" s="31" t="n">
        <x:f>IF(ISNUMBER('02_Historical_FS'!F129),'02_Historical_FS'!F129,"")</x:f>
        <x:v>5.47</x:v>
      </x:c>
      <x:c r="G66" s="31" t="n">
        <x:f>IF(ISNUMBER('02_Historical_FS'!G129),'02_Historical_FS'!G129,"")</x:f>
        <x:v>141.07</x:v>
      </x:c>
      <x:c r="H66" s="31" t="n">
        <x:f>IF(ISNUMBER('02_Historical_FS'!H129),'02_Historical_FS'!H129,"")</x:f>
        <x:v>98.74</x:v>
      </x:c>
      <x:c r="I66" s="53" t="str">
        <x:f>IF(ISNUMBER('04_Drivers'!I79),'04_Drivers'!I79,"")</x:f>
      </x:c>
      <x:c r="J66" s="53" t="str">
        <x:f>IF(ISNUMBER('04_Drivers'!J79),'04_Drivers'!J79,"")</x:f>
      </x:c>
      <x:c r="K66" s="53" t="str">
        <x:f>IF(ISNUMBER('04_Drivers'!K79),'04_Drivers'!K79,"")</x:f>
      </x:c>
      <x:c r="L66" s="53" t="str">
        <x:f>IF(ISNUMBER('04_Drivers'!L79),'04_Drivers'!L79,"")</x:f>
      </x:c>
      <x:c r="M66" s="53" t="str">
        <x:f>IF(ISNUMBER('04_Drivers'!M79),'04_Drivers'!M79,"")</x:f>
      </x:c>
      <x:c r="N66" s="2"/>
      <x:c r="O66" s="2"/>
      <x:c r="P66" s="2"/>
    </x:row>
    <x:row r="67" ht="19" customHeight="1">
      <x:c r="A67" s="2"/>
      <x:c r="B67" s="2"/>
      <x:c r="C67" s="2" t="str">
        <x:v>Net investment cash flows</x:v>
      </x:c>
      <x:c r="D67" s="31" t="n">
        <x:f>'02_Historical_FS'!D130+'02_Historical_FS'!D131</x:f>
        <x:v>-1181.6199999999953</x:v>
      </x:c>
      <x:c r="E67" s="31" t="n">
        <x:f>'02_Historical_FS'!E130+'02_Historical_FS'!E131</x:f>
        <x:v>-5213.289999999994</x:v>
      </x:c>
      <x:c r="F67" s="31" t="n">
        <x:f>'02_Historical_FS'!F130+'02_Historical_FS'!F131</x:f>
        <x:v>-3839.350000000006</x:v>
      </x:c>
      <x:c r="G67" s="31" t="n">
        <x:f>'02_Historical_FS'!G130+'02_Historical_FS'!G131</x:f>
        <x:v>1955.800000000003</x:v>
      </x:c>
      <x:c r="H67" s="31" t="n">
        <x:f>'02_Historical_FS'!H130+'02_Historical_FS'!H131</x:f>
        <x:v>-15231.839999999997</x:v>
      </x:c>
      <x:c r="I67" s="52" t="str">
        <x:f>IF(AND(ISNUMBER(I35),ISNUMBER(H35)),-(I35-H35),"")</x:f>
      </x:c>
      <x:c r="J67" s="52" t="str">
        <x:f>IF(AND(ISNUMBER(J35),ISNUMBER(I35)),-(J35-I35),"")</x:f>
      </x:c>
      <x:c r="K67" s="52" t="str">
        <x:f>IF(AND(ISNUMBER(K35),ISNUMBER(J35)),-(K35-J35),"")</x:f>
      </x:c>
      <x:c r="L67" s="52" t="str">
        <x:f>IF(AND(ISNUMBER(L35),ISNUMBER(K35)),-(L35-K35),"")</x:f>
      </x:c>
      <x:c r="M67" s="52" t="str">
        <x:f>IF(AND(ISNUMBER(M35),ISNUMBER(L35)),-(M35-L35),"")</x:f>
      </x:c>
      <x:c r="N67" s="2"/>
      <x:c r="O67" s="2"/>
      <x:c r="P67" s="2"/>
    </x:row>
    <x:row r="68" ht="19" customHeight="1">
      <x:c r="A68" s="2"/>
      <x:c r="B68" s="2"/>
      <x:c r="C68" s="2" t="str">
        <x:v>Net bank-deposit cash flows</x:v>
      </x:c>
      <x:c r="D68" s="31" t="n">
        <x:f>'02_Historical_FS'!D132+'02_Historical_FS'!D133</x:f>
        <x:v>536.3500000000004</x:v>
      </x:c>
      <x:c r="E68" s="31" t="n">
        <x:f>'02_Historical_FS'!E132+'02_Historical_FS'!E133</x:f>
        <x:v>-2452.1499999999996</x:v>
      </x:c>
      <x:c r="F68" s="31" t="n">
        <x:f>'02_Historical_FS'!F132+'02_Historical_FS'!F133</x:f>
        <x:v>4455.6900000000005</x:v>
      </x:c>
      <x:c r="G68" s="31" t="n">
        <x:f>'02_Historical_FS'!G132+'02_Historical_FS'!G133</x:f>
        <x:v>-4984.820000000001</x:v>
      </x:c>
      <x:c r="H68" s="31" t="n">
        <x:f>'02_Historical_FS'!H132+'02_Historical_FS'!H133</x:f>
        <x:v>889.7299999999996</x:v>
      </x:c>
      <x:c r="I68" s="52" t="str">
        <x:f>IF(AND(ISNUMBER(I36),ISNUMBER(H36)),-(I36-H36),"")</x:f>
      </x:c>
      <x:c r="J68" s="52" t="str">
        <x:f>IF(AND(ISNUMBER(J36),ISNUMBER(I36)),-(J36-I36),"")</x:f>
      </x:c>
      <x:c r="K68" s="52" t="str">
        <x:f>IF(AND(ISNUMBER(K36),ISNUMBER(J36)),-(K36-J36),"")</x:f>
      </x:c>
      <x:c r="L68" s="52" t="str">
        <x:f>IF(AND(ISNUMBER(L36),ISNUMBER(K36)),-(L36-K36),"")</x:f>
      </x:c>
      <x:c r="M68" s="52" t="str">
        <x:f>IF(AND(ISNUMBER(M36),ISNUMBER(L36)),-(M36-L36),"")</x:f>
      </x:c>
      <x:c r="N68" s="2"/>
      <x:c r="O68" s="2"/>
      <x:c r="P68" s="2"/>
    </x:row>
    <x:row r="69" ht="19" customHeight="1">
      <x:c r="A69" s="2"/>
      <x:c r="B69" s="2"/>
      <x:c r="C69" s="2" t="str">
        <x:v>Interest / investment income received</x:v>
      </x:c>
      <x:c r="D69" s="31" t="n">
        <x:f>IF(ISNUMBER('02_Historical_FS'!D139),'02_Historical_FS'!D139,"")</x:f>
        <x:v>232.19</x:v>
      </x:c>
      <x:c r="E69" s="31" t="n">
        <x:f>IF(ISNUMBER('02_Historical_FS'!E139),'02_Historical_FS'!E139,"")</x:f>
        <x:v>199.83</x:v>
      </x:c>
      <x:c r="F69" s="31" t="n">
        <x:f>IF(ISNUMBER('02_Historical_FS'!F139),'02_Historical_FS'!F139,"")</x:f>
        <x:v>447.4</x:v>
      </x:c>
      <x:c r="G69" s="31" t="n">
        <x:f>IF(ISNUMBER('02_Historical_FS'!G139),'02_Historical_FS'!G139,"")</x:f>
        <x:v>223.99</x:v>
      </x:c>
      <x:c r="H69" s="31" t="n">
        <x:f>IF(ISNUMBER('02_Historical_FS'!H139),'02_Historical_FS'!H139,"")</x:f>
        <x:v>645.68</x:v>
      </x:c>
      <x:c r="I69" s="53" t="str">
        <x:f>IF(ISNUMBER('04_Drivers'!I159),'04_Drivers'!I159,"")</x:f>
      </x:c>
      <x:c r="J69" s="53" t="str">
        <x:f>IF(ISNUMBER('04_Drivers'!J159),'04_Drivers'!J159,"")</x:f>
      </x:c>
      <x:c r="K69" s="53" t="str">
        <x:f>IF(ISNUMBER('04_Drivers'!K159),'04_Drivers'!K159,"")</x:f>
      </x:c>
      <x:c r="L69" s="53" t="str">
        <x:f>IF(ISNUMBER('04_Drivers'!L159),'04_Drivers'!L159,"")</x:f>
      </x:c>
      <x:c r="M69" s="53" t="str">
        <x:f>IF(ISNUMBER('04_Drivers'!M159),'04_Drivers'!M159,"")</x:f>
      </x:c>
      <x:c r="N69" s="2"/>
      <x:c r="O69" s="2"/>
      <x:c r="P69" s="2"/>
    </x:row>
    <x:row r="70" ht="19" customHeight="1">
      <x:c r="A70" s="2"/>
      <x:c r="B70" s="2"/>
      <x:c r="C70" s="2" t="str">
        <x:v>Other investing cash flows</x:v>
      </x:c>
      <x:c r="D70" s="31" t="n">
        <x:f>'02_Historical_FS'!D140-SUM(D65:D69)</x:f>
        <x:v>1343.599999999995</x:v>
      </x:c>
      <x:c r="E70" s="31" t="n">
        <x:f>'02_Historical_FS'!E140-SUM(E65:E69)</x:f>
        <x:v>23.32999999999447</x:v>
      </x:c>
      <x:c r="F70" s="31" t="n">
        <x:f>'02_Historical_FS'!F140-SUM(F65:F69)</x:f>
        <x:v>-2.789999999995416</x:v>
      </x:c>
      <x:c r="G70" s="31" t="n">
        <x:f>'02_Historical_FS'!G140-SUM(G65:G69)</x:f>
        <x:v>-4.739999999999782</x:v>
      </x:c>
      <x:c r="H70" s="31" t="n">
        <x:f>'02_Historical_FS'!H140-SUM(H65:H69)</x:f>
        <x:v>-1.3100000000013097</x:v>
      </x:c>
      <x:c r="I70" s="53" t="str">
        <x:f>IF(ISNUMBER('04_Drivers'!I174),'04_Drivers'!I174,"")</x:f>
      </x:c>
      <x:c r="J70" s="53" t="str">
        <x:f>IF(ISNUMBER('04_Drivers'!J174),'04_Drivers'!J174,"")</x:f>
      </x:c>
      <x:c r="K70" s="53" t="str">
        <x:f>IF(ISNUMBER('04_Drivers'!K174),'04_Drivers'!K174,"")</x:f>
      </x:c>
      <x:c r="L70" s="53" t="str">
        <x:f>IF(ISNUMBER('04_Drivers'!L174),'04_Drivers'!L174,"")</x:f>
      </x:c>
      <x:c r="M70" s="53" t="str">
        <x:f>IF(ISNUMBER('04_Drivers'!M174),'04_Drivers'!M174,"")</x:f>
      </x:c>
      <x:c r="N70" s="2"/>
      <x:c r="O70" s="2"/>
      <x:c r="P70" s="2"/>
    </x:row>
    <x:row r="71" ht="19" customHeight="1">
      <x:c r="A71" s="2"/>
      <x:c r="B71" s="2"/>
      <x:c r="C71" s="18" t="str">
        <x:v>Investing cash flow</x:v>
      </x:c>
      <x:c r="D71" s="49" t="n">
        <x:f>IF(ISNUMBER('02_Historical_FS'!D140),'02_Historical_FS'!D140,"")</x:f>
        <x:v>-4269.51</x:v>
      </x:c>
      <x:c r="E71" s="49" t="n">
        <x:f>IF(ISNUMBER('02_Historical_FS'!E140),'02_Historical_FS'!E140,"")</x:f>
        <x:v>-12026.46</x:v>
      </x:c>
      <x:c r="F71" s="49" t="n">
        <x:f>IF(ISNUMBER('02_Historical_FS'!F140),'02_Historical_FS'!F140,"")</x:f>
        <x:v>-7518.77</x:v>
      </x:c>
      <x:c r="G71" s="49" t="n">
        <x:f>IF(ISNUMBER('02_Historical_FS'!G140),'02_Historical_FS'!G140,"")</x:f>
        <x:v>-12393.14</x:v>
      </x:c>
      <x:c r="H71" s="49" t="n">
        <x:f>IF(ISNUMBER('02_Historical_FS'!H140),'02_Historical_FS'!H140,"")</x:f>
        <x:v>-28497.08</x:v>
      </x:c>
      <x:c r="I71" s="23" t="str">
        <x:f>IF(AND(ISNUMBER(I65),ISNUMBER(I66),ISNUMBER(I67),ISNUMBER(I68),ISNUMBER(I69),ISNUMBER(I70)),SUM(I65:I70),"")</x:f>
      </x:c>
      <x:c r="J71" s="23" t="str">
        <x:f>IF(AND(ISNUMBER(J65),ISNUMBER(J66),ISNUMBER(J67),ISNUMBER(J68),ISNUMBER(J69),ISNUMBER(J70)),SUM(J65:J70),"")</x:f>
      </x:c>
      <x:c r="K71" s="23" t="str">
        <x:f>IF(AND(ISNUMBER(K65),ISNUMBER(K66),ISNUMBER(K67),ISNUMBER(K68),ISNUMBER(K69),ISNUMBER(K70)),SUM(K65:K70),"")</x:f>
      </x:c>
      <x:c r="L71" s="23" t="str">
        <x:f>IF(AND(ISNUMBER(L65),ISNUMBER(L66),ISNUMBER(L67),ISNUMBER(L68),ISNUMBER(L69),ISNUMBER(L70)),SUM(L65:L70),"")</x:f>
      </x:c>
      <x:c r="M71" s="23" t="str">
        <x:f>IF(AND(ISNUMBER(M65),ISNUMBER(M66),ISNUMBER(M67),ISNUMBER(M68),ISNUMBER(M69),ISNUMBER(M70)),SUM(M65:M70),"")</x:f>
      </x:c>
      <x:c r="N71" s="2"/>
      <x:c r="O71" s="2"/>
      <x:c r="P71" s="2"/>
    </x:row>
    <x:row r="72" ht="19" customHeight="1">
      <x:c r="A72" s="2"/>
      <x:c r="B72" s="2"/>
      <x:c r="C72" s="2"/>
      <x:c r="D72" s="2"/>
      <x:c r="E72" s="2"/>
      <x:c r="F72" s="2"/>
      <x:c r="G72" s="2"/>
      <x:c r="H72" s="2"/>
      <x:c r="I72" s="34"/>
      <x:c r="J72" s="34"/>
      <x:c r="K72" s="34"/>
      <x:c r="L72" s="34"/>
      <x:c r="M72" s="34"/>
      <x:c r="N72" s="2"/>
      <x:c r="O72" s="2"/>
      <x:c r="P72" s="2"/>
    </x:row>
    <x:row r="73" ht="19" customHeight="1">
      <x:c r="A73" s="2"/>
      <x:c r="B73" s="2"/>
      <x:c r="C73" s="2"/>
      <x:c r="D73" s="2"/>
      <x:c r="E73" s="2"/>
      <x:c r="F73" s="2"/>
      <x:c r="G73" s="2"/>
      <x:c r="H73" s="2"/>
      <x:c r="I73" s="34"/>
      <x:c r="J73" s="34"/>
      <x:c r="K73" s="34"/>
      <x:c r="L73" s="34"/>
      <x:c r="M73" s="34"/>
      <x:c r="N73" s="2"/>
      <x:c r="O73" s="2"/>
      <x:c r="P73" s="2"/>
    </x:row>
    <x:row r="74" ht="19" customHeight="1">
      <x:c r="A74" s="2"/>
      <x:c r="B74" s="2"/>
      <x:c r="C74" s="2" t="str">
        <x:v>Net borrowing cash flows, gross cash basis</x:v>
      </x:c>
      <x:c r="D74" s="31" t="n">
        <x:f>SUM('02_Historical_FS'!D144:'02_Historical_FS'!D146)+'02_Historical_FS'!D153-'01_Sources'!D32</x:f>
        <x:v>-168.99</x:v>
      </x:c>
      <x:c r="E74" s="31" t="n">
        <x:f>SUM('02_Historical_FS'!E144:'02_Historical_FS'!E146)+'02_Historical_FS'!E153-'02_Historical_FS'!D153</x:f>
        <x:v>664.25</x:v>
      </x:c>
      <x:c r="F74" s="31" t="n">
        <x:f>SUM('02_Historical_FS'!F144:'02_Historical_FS'!F146)+'02_Historical_FS'!F153-'02_Historical_FS'!E153</x:f>
        <x:v>167.54999999999995</x:v>
      </x:c>
      <x:c r="G74" s="31" t="n">
        <x:f>SUM('02_Historical_FS'!G144:'02_Historical_FS'!G146)+'02_Historical_FS'!G153-'02_Historical_FS'!F153</x:f>
        <x:v>192.30000000000007</x:v>
      </x:c>
      <x:c r="H74" s="31" t="n">
        <x:f>SUM('02_Historical_FS'!H144:'02_Historical_FS'!H146)+'02_Historical_FS'!H153-'02_Historical_FS'!G153</x:f>
        <x:v>234.86</x:v>
      </x:c>
      <x:c r="I74" s="53" t="str">
        <x:f>IF(ISNUMBER('04_Drivers'!I179),'04_Drivers'!I179,"")</x:f>
      </x:c>
      <x:c r="J74" s="53" t="str">
        <x:f>IF(ISNUMBER('04_Drivers'!J179),'04_Drivers'!J179,"")</x:f>
      </x:c>
      <x:c r="K74" s="53" t="str">
        <x:f>IF(ISNUMBER('04_Drivers'!K179),'04_Drivers'!K179,"")</x:f>
      </x:c>
      <x:c r="L74" s="53" t="str">
        <x:f>IF(ISNUMBER('04_Drivers'!L179),'04_Drivers'!L179,"")</x:f>
      </x:c>
      <x:c r="M74" s="53" t="str">
        <x:f>IF(ISNUMBER('04_Drivers'!M179),'04_Drivers'!M179,"")</x:f>
      </x:c>
      <x:c r="N74" s="2"/>
      <x:c r="O74" s="2"/>
      <x:c r="P74" s="2"/>
    </x:row>
    <x:row r="75" ht="19" customHeight="1">
      <x:c r="A75" s="2"/>
      <x:c r="B75" s="2"/>
      <x:c r="C75" s="2" t="str">
        <x:v>Lease principal paid</x:v>
      </x:c>
      <x:c r="D75" s="31" t="n">
        <x:f>IF(ISNUMBER('02_Historical_FS'!D142),'02_Historical_FS'!D142,"")</x:f>
        <x:v>-137.66</x:v>
      </x:c>
      <x:c r="E75" s="31" t="n">
        <x:f>IF(ISNUMBER('02_Historical_FS'!E142),'02_Historical_FS'!E142,"")</x:f>
        <x:v>-126.84</x:v>
      </x:c>
      <x:c r="F75" s="31" t="n">
        <x:f>IF(ISNUMBER('02_Historical_FS'!F142),'02_Historical_FS'!F142,"")</x:f>
        <x:v>-206.04</x:v>
      </x:c>
      <x:c r="G75" s="31" t="n">
        <x:f>IF(ISNUMBER('02_Historical_FS'!G142),'02_Historical_FS'!G142,"")</x:f>
        <x:v>-588.78</x:v>
      </x:c>
      <x:c r="H75" s="31" t="n">
        <x:f>IF(ISNUMBER('02_Historical_FS'!H142),'02_Historical_FS'!H142,"")</x:f>
        <x:v>-248.42</x:v>
      </x:c>
      <x:c r="I75" s="53" t="str">
        <x:f>IF(AND(ISNUMBER('04_Drivers'!I184)),-'04_Drivers'!I184,"")</x:f>
      </x:c>
      <x:c r="J75" s="53" t="str">
        <x:f>IF(AND(ISNUMBER('04_Drivers'!J184)),-'04_Drivers'!J184,"")</x:f>
      </x:c>
      <x:c r="K75" s="53" t="str">
        <x:f>IF(AND(ISNUMBER('04_Drivers'!K184)),-'04_Drivers'!K184,"")</x:f>
      </x:c>
      <x:c r="L75" s="53" t="str">
        <x:f>IF(AND(ISNUMBER('04_Drivers'!L184)),-'04_Drivers'!L184,"")</x:f>
      </x:c>
      <x:c r="M75" s="53" t="str">
        <x:f>IF(AND(ISNUMBER('04_Drivers'!M184)),-'04_Drivers'!M184,"")</x:f>
      </x:c>
      <x:c r="N75" s="2"/>
      <x:c r="O75" s="2"/>
      <x:c r="P75" s="2"/>
    </x:row>
    <x:row r="76" ht="19" customHeight="1">
      <x:c r="A76" s="2"/>
      <x:c r="B76" s="2"/>
      <x:c r="C76" s="2" t="str">
        <x:v>Cash finance costs paid</x:v>
      </x:c>
      <x:c r="D76" s="31" t="n">
        <x:f>'02_Historical_FS'!D147+'02_Historical_FS'!D143</x:f>
        <x:v>-342.34999999999997</x:v>
      </x:c>
      <x:c r="E76" s="31" t="n">
        <x:f>'02_Historical_FS'!E147+'02_Historical_FS'!E143</x:f>
        <x:v>-508.71000000000004</x:v>
      </x:c>
      <x:c r="F76" s="31" t="n">
        <x:f>'02_Historical_FS'!F147+'02_Historical_FS'!F143</x:f>
        <x:v>-1059</x:v>
      </x:c>
      <x:c r="G76" s="31" t="n">
        <x:f>'02_Historical_FS'!G147+'02_Historical_FS'!G143</x:f>
        <x:v>-1754.02</x:v>
      </x:c>
      <x:c r="H76" s="31" t="n">
        <x:f>'02_Historical_FS'!H147+'02_Historical_FS'!H143</x:f>
        <x:v>-2446.32</x:v>
      </x:c>
      <x:c r="I76" s="53" t="str">
        <x:f>IF(AND(ISNUMBER(I18),ISNUMBER('04_Drivers'!I154)),-I18*'04_Drivers'!I154,"")</x:f>
      </x:c>
      <x:c r="J76" s="53" t="str">
        <x:f>IF(AND(ISNUMBER(J18),ISNUMBER('04_Drivers'!J154)),-J18*'04_Drivers'!J154,"")</x:f>
      </x:c>
      <x:c r="K76" s="53" t="str">
        <x:f>IF(AND(ISNUMBER(K18),ISNUMBER('04_Drivers'!K154)),-K18*'04_Drivers'!K154,"")</x:f>
      </x:c>
      <x:c r="L76" s="53" t="str">
        <x:f>IF(AND(ISNUMBER(L18),ISNUMBER('04_Drivers'!L154)),-L18*'04_Drivers'!L154,"")</x:f>
      </x:c>
      <x:c r="M76" s="53" t="str">
        <x:f>IF(AND(ISNUMBER(M18),ISNUMBER('04_Drivers'!M154)),-M18*'04_Drivers'!M154,"")</x:f>
      </x:c>
      <x:c r="N76" s="2"/>
      <x:c r="O76" s="2"/>
      <x:c r="P76" s="2"/>
    </x:row>
    <x:row r="77" ht="19" customHeight="1">
      <x:c r="A77" s="2"/>
      <x:c r="B77" s="2"/>
      <x:c r="C77" s="2" t="str">
        <x:v>Dividends paid</x:v>
      </x:c>
      <x:c r="D77" s="31" t="n">
        <x:f>IF(ISNUMBER('02_Historical_FS'!D148),'02_Historical_FS'!D148,"")</x:f>
        <x:v>-1491.6</x:v>
      </x:c>
      <x:c r="E77" s="31" t="n">
        <x:f>IF(ISNUMBER('02_Historical_FS'!E148),'02_Historical_FS'!E148,"")</x:f>
        <x:v>-2094.49</x:v>
      </x:c>
      <x:c r="F77" s="31" t="n">
        <x:f>IF(ISNUMBER('02_Historical_FS'!F148),'02_Historical_FS'!F148,"")</x:f>
        <x:v>-2997.3</x:v>
      </x:c>
      <x:c r="G77" s="31" t="n">
        <x:f>IF(ISNUMBER('02_Historical_FS'!G148),'02_Historical_FS'!G148,"")</x:f>
        <x:v>-4510.84</x:v>
      </x:c>
      <x:c r="H77" s="31" t="n">
        <x:f>IF(ISNUMBER('02_Historical_FS'!H148),'02_Historical_FS'!H148,"")</x:f>
        <x:v>-5472.71</x:v>
      </x:c>
      <x:c r="I77" s="53" t="str">
        <x:f>IF(AND(ISNUMBER(I25),ISNUMBER('04_Drivers'!I194)),-I25*'04_Drivers'!I194,"")</x:f>
      </x:c>
      <x:c r="J77" s="53" t="str">
        <x:f>IF(AND(ISNUMBER(J25),ISNUMBER('04_Drivers'!J194)),-J25*'04_Drivers'!J194,"")</x:f>
      </x:c>
      <x:c r="K77" s="53" t="str">
        <x:f>IF(AND(ISNUMBER(K25),ISNUMBER('04_Drivers'!K194)),-K25*'04_Drivers'!K194,"")</x:f>
      </x:c>
      <x:c r="L77" s="53" t="str">
        <x:f>IF(AND(ISNUMBER(L25),ISNUMBER('04_Drivers'!L194)),-L25*'04_Drivers'!L194,"")</x:f>
      </x:c>
      <x:c r="M77" s="53" t="str">
        <x:f>IF(AND(ISNUMBER(M25),ISNUMBER('04_Drivers'!M194)),-M25*'04_Drivers'!M194,"")</x:f>
      </x:c>
      <x:c r="N77" s="2"/>
      <x:c r="O77" s="2"/>
      <x:c r="P77" s="2"/>
    </x:row>
    <x:row r="78" ht="19" customHeight="1">
      <x:c r="A78" s="2"/>
      <x:c r="B78" s="2"/>
      <x:c r="C78" s="2" t="str">
        <x:v>Cash equity issuance</x:v>
      </x:c>
      <x:c r="D78" s="31" t="n">
        <x:f>IF(ISNUMBER('02_Historical_FS'!D141),'02_Historical_FS'!D141,"")</x:f>
        <x:v>132.88</x:v>
      </x:c>
      <x:c r="E78" s="31" t="n">
        <x:f>IF(ISNUMBER('02_Historical_FS'!E141),'02_Historical_FS'!E141,"")</x:f>
        <x:v>127.65</x:v>
      </x:c>
      <x:c r="F78" s="31" t="n">
        <x:f>IF(ISNUMBER('02_Historical_FS'!F141),'02_Historical_FS'!F141,"")</x:f>
        <x:v>193.95</x:v>
      </x:c>
      <x:c r="G78" s="31" t="n">
        <x:f>IF(ISNUMBER('02_Historical_FS'!G141),'02_Historical_FS'!G141,"")</x:f>
        <x:v>72.7</x:v>
      </x:c>
      <x:c r="H78" s="31" t="n">
        <x:f>IF(ISNUMBER('02_Historical_FS'!H141),'02_Historical_FS'!H141,"")</x:f>
        <x:v>52.56</x:v>
      </x:c>
      <x:c r="I78" s="53" t="str">
        <x:f>IF(ISNUMBER('04_Drivers'!I199),'04_Drivers'!I199,"")</x:f>
      </x:c>
      <x:c r="J78" s="53" t="str">
        <x:f>IF(ISNUMBER('04_Drivers'!J199),'04_Drivers'!J199,"")</x:f>
      </x:c>
      <x:c r="K78" s="53" t="str">
        <x:f>IF(ISNUMBER('04_Drivers'!K199),'04_Drivers'!K199,"")</x:f>
      </x:c>
      <x:c r="L78" s="53" t="str">
        <x:f>IF(ISNUMBER('04_Drivers'!L199),'04_Drivers'!L199,"")</x:f>
      </x:c>
      <x:c r="M78" s="53" t="str">
        <x:f>IF(ISNUMBER('04_Drivers'!M199),'04_Drivers'!M199,"")</x:f>
      </x:c>
      <x:c r="N78" s="2"/>
      <x:c r="O78" s="2"/>
      <x:c r="P78" s="2"/>
    </x:row>
    <x:row r="79" ht="19" customHeight="1">
      <x:c r="A79" s="2"/>
      <x:c r="B79" s="2"/>
      <x:c r="C79" s="18" t="str">
        <x:v>Financing cash flow</x:v>
      </x:c>
      <x:c r="D79" s="23" t="n">
        <x:f>SUM(D74:D78)</x:f>
        <x:v>-2007.7199999999998</x:v>
      </x:c>
      <x:c r="E79" s="23" t="n">
        <x:f>SUM(E74:E78)</x:f>
        <x:v>-1938.1399999999999</x:v>
      </x:c>
      <x:c r="F79" s="23" t="n">
        <x:f>SUM(F74:F78)</x:f>
        <x:v>-3900.84</x:v>
      </x:c>
      <x:c r="G79" s="23" t="n">
        <x:f>SUM(G74:G78)</x:f>
        <x:v>-6588.64</x:v>
      </x:c>
      <x:c r="H79" s="23" t="n">
        <x:f>SUM(H74:H78)</x:f>
        <x:v>-7880.03</x:v>
      </x:c>
      <x:c r="I79" s="23" t="str">
        <x:f>IF(AND(ISNUMBER(I74),ISNUMBER(I75),ISNUMBER(I76),ISNUMBER(I77),ISNUMBER(I78)),SUM(I74:I78),"")</x:f>
      </x:c>
      <x:c r="J79" s="23" t="str">
        <x:f>IF(AND(ISNUMBER(J74),ISNUMBER(J75),ISNUMBER(J76),ISNUMBER(J77),ISNUMBER(J78)),SUM(J74:J78),"")</x:f>
      </x:c>
      <x:c r="K79" s="23" t="str">
        <x:f>IF(AND(ISNUMBER(K74),ISNUMBER(K75),ISNUMBER(K76),ISNUMBER(K77),ISNUMBER(K78)),SUM(K74:K78),"")</x:f>
      </x:c>
      <x:c r="L79" s="23" t="str">
        <x:f>IF(AND(ISNUMBER(L74),ISNUMBER(L75),ISNUMBER(L76),ISNUMBER(L77),ISNUMBER(L78)),SUM(L74:L78),"")</x:f>
      </x:c>
      <x:c r="M79" s="23" t="str">
        <x:f>IF(AND(ISNUMBER(M74),ISNUMBER(M75),ISNUMBER(M76),ISNUMBER(M77),ISNUMBER(M78)),SUM(M74:M78),"")</x:f>
      </x:c>
      <x:c r="N79" s="2"/>
      <x:c r="O79" s="2"/>
      <x:c r="P79" s="2"/>
    </x:row>
    <x:row r="80" ht="19" customHeight="1">
      <x:c r="A80" s="2"/>
      <x:c r="B80" s="2"/>
      <x:c r="C80" s="2"/>
      <x:c r="D80" s="2"/>
      <x:c r="E80" s="2"/>
      <x:c r="F80" s="2"/>
      <x:c r="G80" s="2"/>
      <x:c r="H80" s="2"/>
      <x:c r="I80" s="34"/>
      <x:c r="J80" s="34"/>
      <x:c r="K80" s="34"/>
      <x:c r="L80" s="34"/>
      <x:c r="M80" s="34"/>
      <x:c r="N80" s="2"/>
      <x:c r="O80" s="2"/>
      <x:c r="P80" s="2"/>
    </x:row>
    <x:row r="81" ht="19" customHeight="1">
      <x:c r="A81" s="2"/>
      <x:c r="B81" s="2"/>
      <x:c r="C81" s="2" t="str">
        <x:v>Change in gross cash</x:v>
      </x:c>
      <x:c r="D81" s="24" t="n">
        <x:f>D62+D71+D79</x:f>
        <x:v>-1161.1200000000003</x:v>
      </x:c>
      <x:c r="E81" s="24" t="n">
        <x:f>E62+E71+E79</x:f>
        <x:v>310.6100000000001</x:v>
      </x:c>
      <x:c r="F81" s="24" t="n">
        <x:f>F62+F71+F79</x:f>
        <x:v>1542.789999999999</x:v>
      </x:c>
      <x:c r="G81" s="24" t="n">
        <x:f>G62+G71+G79</x:f>
        <x:v>-896.4399999999996</x:v>
      </x:c>
      <x:c r="H81" s="24" t="n">
        <x:f>H62+H71+H79</x:f>
        <x:v>1729.5599999999968</x:v>
      </x:c>
      <x:c r="I81" s="52" t="str">
        <x:f>IF(AND(ISNUMBER(I62),ISNUMBER(I71),ISNUMBER(I79)),I62+I71+I79,"")</x:f>
      </x:c>
      <x:c r="J81" s="52" t="str">
        <x:f>IF(AND(ISNUMBER(J62),ISNUMBER(J71),ISNUMBER(J79)),J62+J71+J79,"")</x:f>
      </x:c>
      <x:c r="K81" s="52" t="str">
        <x:f>IF(AND(ISNUMBER(K62),ISNUMBER(K71),ISNUMBER(K79)),K62+K71+K79,"")</x:f>
      </x:c>
      <x:c r="L81" s="52" t="str">
        <x:f>IF(AND(ISNUMBER(L62),ISNUMBER(L71),ISNUMBER(L79)),L62+L71+L79,"")</x:f>
      </x:c>
      <x:c r="M81" s="52" t="str">
        <x:f>IF(AND(ISNUMBER(M62),ISNUMBER(M71),ISNUMBER(M79)),M62+M71+M79,"")</x:f>
      </x:c>
      <x:c r="N81" s="2"/>
      <x:c r="O81" s="2"/>
      <x:c r="P81" s="2"/>
    </x:row>
    <x:row r="82" ht="19" customHeight="1">
      <x:c r="A82" s="2"/>
      <x:c r="B82" s="2"/>
      <x:c r="C82" s="18" t="str">
        <x:v>Closing cash, gross</x:v>
      </x:c>
      <x:c r="D82" s="23" t="n">
        <x:f>D53+D81</x:f>
        <x:v>1216.9099999999999</x:v>
      </x:c>
      <x:c r="E82" s="23" t="n">
        <x:f>E53+E81</x:f>
        <x:v>1527.5200000000002</x:v>
      </x:c>
      <x:c r="F82" s="23" t="n">
        <x:f>F53+F81</x:f>
        <x:v>3070.309999999999</x:v>
      </x:c>
      <x:c r="G82" s="23" t="n">
        <x:f>G53+G81</x:f>
        <x:v>2173.8700000000003</x:v>
      </x:c>
      <x:c r="H82" s="23" t="n">
        <x:f>H53+H81</x:f>
        <x:v>3903.4299999999967</x:v>
      </x:c>
      <x:c r="I82" s="23" t="str">
        <x:f>IF(AND(ISNUMBER(I53),ISNUMBER(I81)),I53+I81,"")</x:f>
      </x:c>
      <x:c r="J82" s="23" t="str">
        <x:f>IF(AND(ISNUMBER(J53),ISNUMBER(J81)),J53+J81,"")</x:f>
      </x:c>
      <x:c r="K82" s="23" t="str">
        <x:f>IF(AND(ISNUMBER(K53),ISNUMBER(K81)),K53+K81,"")</x:f>
      </x:c>
      <x:c r="L82" s="23" t="str">
        <x:f>IF(AND(ISNUMBER(L53),ISNUMBER(L81)),L53+L81,"")</x:f>
      </x:c>
      <x:c r="M82" s="23" t="str">
        <x:f>IF(AND(ISNUMBER(M53),ISNUMBER(M81)),M53+M81,"")</x:f>
      </x:c>
      <x:c r="N82" s="2"/>
      <x:c r="O82" s="2"/>
      <x:c r="P82" s="2"/>
    </x:row>
    <x:row r="83" ht="19" customHeight="1">
      <x:c r="A83" s="2"/>
      <x:c r="B83" s="2"/>
      <x:c r="C83" s="2" t="str">
        <x:v>Cash-flow closing cash less balance-sheet cash</x:v>
      </x:c>
      <x:c r="D83" s="93" t="n">
        <x:f>D82-D37</x:f>
        <x:v>-2.2737367544323206e-13</x:v>
      </x:c>
      <x:c r="E83" s="93" t="n">
        <x:f>E82-E37</x:f>
        <x:v>2.2737367544323206e-13</x:v>
      </x:c>
      <x:c r="F83" s="93" t="n">
        <x:f>F82-F37</x:f>
        <x:v>-9.094947017729282e-13</x:v>
      </x:c>
      <x:c r="G83" s="93" t="n">
        <x:f>G82-G37</x:f>
        <x:v>4.547473508864641e-13</x:v>
      </x:c>
      <x:c r="H83" s="93" t="n">
        <x:f>H82-H37</x:f>
        <x:v>-3.183231456205249e-12</x:v>
      </x:c>
      <x:c r="I83" s="94" t="str">
        <x:f>IF(AND(ISNUMBER(I82),ISNUMBER(I37)),I82-I37,"")</x:f>
      </x:c>
      <x:c r="J83" s="94" t="str">
        <x:f>IF(AND(ISNUMBER(J82),ISNUMBER(J37)),J82-J37,"")</x:f>
      </x:c>
      <x:c r="K83" s="94" t="str">
        <x:f>IF(AND(ISNUMBER(K82),ISNUMBER(K37)),K82-K37,"")</x:f>
      </x:c>
      <x:c r="L83" s="94" t="str">
        <x:f>IF(AND(ISNUMBER(L82),ISNUMBER(L37)),L82-L37,"")</x:f>
      </x:c>
      <x:c r="M83" s="94" t="str">
        <x:f>IF(AND(ISNUMBER(M82),ISNUMBER(M37)),M82-M37,"")</x:f>
      </x:c>
      <x:c r="N83" s="2"/>
      <x:c r="O83" s="2"/>
      <x:c r="P83" s="2"/>
    </x:row>
    <x:row r="84" ht="19" customHeight="1">
      <x:c r="A84" s="2"/>
      <x:c r="B84" s="2"/>
      <x:c r="C84" s="2"/>
      <x:c r="D84" s="2"/>
      <x:c r="E84" s="2"/>
      <x:c r="F84" s="2"/>
      <x:c r="G84" s="2"/>
      <x:c r="H84" s="2"/>
      <x:c r="I84" s="34"/>
      <x:c r="J84" s="34"/>
      <x:c r="K84" s="34"/>
      <x:c r="L84" s="34"/>
      <x:c r="M84" s="34"/>
      <x:c r="N84" s="2"/>
      <x:c r="O84" s="2"/>
      <x:c r="P84" s="2"/>
    </x:row>
    <x:row r="85" ht="19" customHeight="1">
      <x:c r="A85" s="2"/>
      <x:c r="B85" s="2"/>
      <x:c r="C85" s="2"/>
      <x:c r="D85" s="2"/>
      <x:c r="E85" s="2"/>
      <x:c r="F85" s="2"/>
      <x:c r="G85" s="2"/>
      <x:c r="H85" s="2"/>
      <x:c r="I85" s="34"/>
      <x:c r="J85" s="34"/>
      <x:c r="K85" s="34"/>
      <x:c r="L85" s="34"/>
      <x:c r="M85" s="34"/>
      <x:c r="N85" s="2"/>
      <x:c r="O85" s="2"/>
      <x:c r="P85" s="2"/>
    </x:row>
    <x:row r="86" ht="19" customHeight="1">
      <x:c r="A86" s="2"/>
      <x:c r="B86" s="2"/>
      <x:c r="C86" s="2"/>
      <x:c r="D86" s="2"/>
      <x:c r="E86" s="2"/>
      <x:c r="F86" s="2"/>
      <x:c r="G86" s="2"/>
      <x:c r="H86" s="2"/>
      <x:c r="I86" s="34"/>
      <x:c r="J86" s="34"/>
      <x:c r="K86" s="34"/>
      <x:c r="L86" s="34"/>
      <x:c r="M86" s="34"/>
      <x:c r="N86" s="2"/>
      <x:c r="O86" s="2"/>
      <x:c r="P86" s="2"/>
    </x:row>
    <x:row r="87" ht="19" customHeight="1">
      <x:c r="A87" s="2"/>
      <x:c r="B87" s="2"/>
      <x:c r="C87" s="2"/>
      <x:c r="D87" s="2"/>
      <x:c r="E87" s="2"/>
      <x:c r="F87" s="2"/>
      <x:c r="G87" s="2"/>
      <x:c r="H87" s="2"/>
      <x:c r="I87" s="34"/>
      <x:c r="J87" s="34"/>
      <x:c r="K87" s="34"/>
      <x:c r="L87" s="34"/>
      <x:c r="M87" s="34"/>
      <x:c r="N87" s="2"/>
      <x:c r="O87" s="2"/>
      <x:c r="P87" s="2"/>
    </x:row>
    <x:row r="88" ht="19" customHeight="1">
      <x:c r="A88" s="2"/>
      <x:c r="B88" s="2"/>
      <x:c r="C88" s="2"/>
      <x:c r="D88" s="2"/>
      <x:c r="E88" s="2"/>
      <x:c r="F88" s="2"/>
      <x:c r="G88" s="2"/>
      <x:c r="H88" s="2"/>
      <x:c r="I88" s="34"/>
      <x:c r="J88" s="34"/>
      <x:c r="K88" s="34"/>
      <x:c r="L88" s="34"/>
      <x:c r="M88" s="34"/>
      <x:c r="N88" s="2"/>
      <x:c r="O88" s="2"/>
      <x:c r="P88" s="2"/>
    </x:row>
    <x:row r="89" ht="19" customHeight="1">
      <x:c r="A89" s="2"/>
      <x:c r="B89" s="2"/>
      <x:c r="C89" s="2"/>
      <x:c r="D89" s="2"/>
      <x:c r="E89" s="2"/>
      <x:c r="F89" s="2"/>
      <x:c r="G89" s="2"/>
      <x:c r="H89" s="2"/>
      <x:c r="I89" s="34"/>
      <x:c r="J89" s="34"/>
      <x:c r="K89" s="34"/>
      <x:c r="L89" s="34"/>
      <x:c r="M89" s="34"/>
      <x:c r="N89" s="2"/>
      <x:c r="O89" s="2"/>
      <x:c r="P89" s="2"/>
    </x:row>
    <x:row r="90" ht="19" customHeight="1">
      <x:c r="A90" s="2"/>
      <x:c r="B90" s="2"/>
      <x:c r="C90" s="2"/>
      <x:c r="D90" s="2"/>
      <x:c r="E90" s="2"/>
      <x:c r="F90" s="2"/>
      <x:c r="G90" s="2"/>
      <x:c r="H90" s="2"/>
      <x:c r="I90" s="34"/>
      <x:c r="J90" s="34"/>
      <x:c r="K90" s="34"/>
      <x:c r="L90" s="34"/>
      <x:c r="M90" s="34"/>
      <x:c r="N90" s="2"/>
      <x:c r="O90" s="2"/>
      <x:c r="P90" s="2"/>
    </x:row>
    <x:row r="91" ht="19" customHeight="1">
      <x:c r="A91" s="2"/>
      <x:c r="B91" s="2"/>
      <x:c r="C91" s="2"/>
      <x:c r="D91" s="2"/>
      <x:c r="E91" s="2"/>
      <x:c r="F91" s="2"/>
      <x:c r="G91" s="2"/>
      <x:c r="H91" s="2"/>
      <x:c r="I91" s="34"/>
      <x:c r="J91" s="34"/>
      <x:c r="K91" s="34"/>
      <x:c r="L91" s="34"/>
      <x:c r="M91" s="34"/>
      <x:c r="N91" s="2"/>
      <x:c r="O91" s="2"/>
      <x:c r="P91" s="2"/>
    </x:row>
    <x:row r="92" ht="19" customHeight="1">
      <x:c r="A92" s="2"/>
      <x:c r="B92" s="2"/>
      <x:c r="C92" s="2"/>
      <x:c r="D92" s="2"/>
      <x:c r="E92" s="2"/>
      <x:c r="F92" s="2"/>
      <x:c r="G92" s="2"/>
      <x:c r="H92" s="2"/>
      <x:c r="I92" s="34"/>
      <x:c r="J92" s="34"/>
      <x:c r="K92" s="34"/>
      <x:c r="L92" s="34"/>
      <x:c r="M92" s="34"/>
      <x:c r="N92" s="2"/>
      <x:c r="O92" s="2"/>
      <x:c r="P92" s="2"/>
    </x:row>
    <x:row r="93" ht="19" customHeight="1">
      <x:c r="A93" s="2"/>
      <x:c r="B93" s="2"/>
      <x:c r="C93" s="2"/>
      <x:c r="D93" s="2"/>
      <x:c r="E93" s="2"/>
      <x:c r="F93" s="2"/>
      <x:c r="G93" s="2"/>
      <x:c r="H93" s="2"/>
      <x:c r="I93" s="34"/>
      <x:c r="J93" s="34"/>
      <x:c r="K93" s="34"/>
      <x:c r="L93" s="34"/>
      <x:c r="M93" s="34"/>
      <x:c r="N93" s="2"/>
      <x:c r="O93" s="2"/>
      <x:c r="P93" s="2"/>
    </x:row>
    <x:row r="94" ht="19" customHeight="1">
      <x:c r="A94" s="2"/>
      <x:c r="B94" s="2"/>
      <x:c r="C94" s="2"/>
      <x:c r="D94" s="2"/>
      <x:c r="E94" s="2"/>
      <x:c r="F94" s="2"/>
      <x:c r="G94" s="2"/>
      <x:c r="H94" s="2"/>
      <x:c r="I94" s="34"/>
      <x:c r="J94" s="34"/>
      <x:c r="K94" s="34"/>
      <x:c r="L94" s="34"/>
      <x:c r="M94" s="34"/>
      <x:c r="N94" s="2"/>
      <x:c r="O94" s="2"/>
      <x:c r="P94" s="2"/>
    </x:row>
    <x:row r="95" ht="19" customHeight="1">
      <x:c r="A95" s="2"/>
      <x:c r="B95" s="2"/>
      <x:c r="C95" s="2"/>
      <x:c r="D95" s="2"/>
      <x:c r="E95" s="2"/>
      <x:c r="F95" s="2"/>
      <x:c r="G95" s="2"/>
      <x:c r="H95" s="2"/>
      <x:c r="I95" s="34"/>
      <x:c r="J95" s="34"/>
      <x:c r="K95" s="34"/>
      <x:c r="L95" s="34"/>
      <x:c r="M95" s="34"/>
      <x:c r="N95" s="2"/>
      <x:c r="O95" s="2"/>
      <x:c r="P95" s="2"/>
    </x:row>
    <x:row r="96" ht="19" customHeight="1">
      <x:c r="A96" s="2"/>
      <x:c r="B96" s="2"/>
      <x:c r="C96" s="2"/>
      <x:c r="D96" s="2"/>
      <x:c r="E96" s="2"/>
      <x:c r="F96" s="2"/>
      <x:c r="G96" s="2"/>
      <x:c r="H96" s="2"/>
      <x:c r="I96" s="34"/>
      <x:c r="J96" s="34"/>
      <x:c r="K96" s="34"/>
      <x:c r="L96" s="34"/>
      <x:c r="M96" s="34"/>
      <x:c r="N96" s="2"/>
      <x:c r="O96" s="2"/>
      <x:c r="P96" s="2"/>
    </x:row>
    <x:row r="97" ht="19" customHeight="1">
      <x:c r="A97" s="2"/>
      <x:c r="B97" s="2"/>
      <x:c r="C97" s="2"/>
      <x:c r="D97" s="2"/>
      <x:c r="E97" s="2"/>
      <x:c r="F97" s="2"/>
      <x:c r="G97" s="2"/>
      <x:c r="H97" s="2"/>
      <x:c r="I97" s="34"/>
      <x:c r="J97" s="34"/>
      <x:c r="K97" s="34"/>
      <x:c r="L97" s="34"/>
      <x:c r="M97" s="34"/>
      <x:c r="N97" s="2"/>
      <x:c r="O97" s="2"/>
      <x:c r="P97" s="2"/>
    </x:row>
    <x:row r="98" ht="19" customHeight="1">
      <x:c r="A98" s="2"/>
      <x:c r="B98" s="2"/>
      <x:c r="C98" s="2"/>
      <x:c r="D98" s="2"/>
      <x:c r="E98" s="2"/>
      <x:c r="F98" s="2"/>
      <x:c r="G98" s="2"/>
      <x:c r="H98" s="2"/>
      <x:c r="I98" s="34"/>
      <x:c r="J98" s="34"/>
      <x:c r="K98" s="34"/>
      <x:c r="L98" s="34"/>
      <x:c r="M98" s="34"/>
      <x:c r="N98" s="2"/>
      <x:c r="O98" s="2"/>
      <x:c r="P98" s="2"/>
    </x:row>
    <x:row r="99" ht="19" customHeight="1">
      <x:c r="A99" s="2"/>
      <x:c r="B99" s="2"/>
      <x:c r="C99" s="2"/>
      <x:c r="D99" s="2"/>
      <x:c r="E99" s="2"/>
      <x:c r="F99" s="2"/>
      <x:c r="G99" s="2"/>
      <x:c r="H99" s="2"/>
      <x:c r="I99" s="34"/>
      <x:c r="J99" s="34"/>
      <x:c r="K99" s="34"/>
      <x:c r="L99" s="34"/>
      <x:c r="M99" s="34"/>
      <x:c r="N99" s="2"/>
      <x:c r="O99" s="2"/>
      <x:c r="P99" s="2"/>
    </x:row>
    <x:row r="100" ht="19" customHeight="1">
      <x:c r="A100" s="2"/>
      <x:c r="B100" s="2"/>
      <x:c r="C100" s="2"/>
      <x:c r="D100" s="2"/>
      <x:c r="E100" s="2"/>
      <x:c r="F100" s="2"/>
      <x:c r="G100" s="2"/>
      <x:c r="H100" s="2"/>
      <x:c r="I100" s="34"/>
      <x:c r="J100" s="34"/>
      <x:c r="K100" s="34"/>
      <x:c r="L100" s="34"/>
      <x:c r="M100" s="34"/>
      <x:c r="N100" s="2"/>
      <x:c r="O100" s="2"/>
      <x:c r="P100" s="2"/>
    </x:row>
    <x:row r="101" ht="19" customHeight="1">
      <x:c r="A101" s="2"/>
      <x:c r="B101" s="2"/>
      <x:c r="C101" s="2"/>
      <x:c r="D101" s="2"/>
      <x:c r="E101" s="2"/>
      <x:c r="F101" s="2"/>
      <x:c r="G101" s="2"/>
      <x:c r="H101" s="2"/>
      <x:c r="I101" s="34"/>
      <x:c r="J101" s="34"/>
      <x:c r="K101" s="34"/>
      <x:c r="L101" s="34"/>
      <x:c r="M101" s="34"/>
      <x:c r="N101" s="2"/>
      <x:c r="O101" s="2"/>
      <x:c r="P101" s="2"/>
    </x:row>
    <x:row r="102" ht="19" customHeight="1">
      <x:c r="A102" s="2"/>
      <x:c r="B102" s="2"/>
      <x:c r="C102" s="2"/>
      <x:c r="D102" s="2"/>
      <x:c r="E102" s="2"/>
      <x:c r="F102" s="2"/>
      <x:c r="G102" s="2"/>
      <x:c r="H102" s="2"/>
      <x:c r="I102" s="34"/>
      <x:c r="J102" s="34"/>
      <x:c r="K102" s="34"/>
      <x:c r="L102" s="34"/>
      <x:c r="M102" s="34"/>
      <x:c r="N102" s="2"/>
      <x:c r="O102" s="2"/>
      <x:c r="P102" s="2"/>
    </x:row>
    <x:row r="103" ht="19" customHeight="1">
      <x:c r="A103" s="2"/>
      <x:c r="B103" s="2"/>
      <x:c r="C103" s="2"/>
      <x:c r="D103" s="2"/>
      <x:c r="E103" s="2"/>
      <x:c r="F103" s="2"/>
      <x:c r="G103" s="2"/>
      <x:c r="H103" s="2"/>
      <x:c r="I103" s="34"/>
      <x:c r="J103" s="34"/>
      <x:c r="K103" s="34"/>
      <x:c r="L103" s="34"/>
      <x:c r="M103" s="34"/>
      <x:c r="N103" s="2"/>
      <x:c r="O103" s="2"/>
      <x:c r="P103" s="2"/>
    </x:row>
    <x:row r="104" ht="19" customHeight="1">
      <x:c r="A104" s="2"/>
      <x:c r="B104" s="2"/>
      <x:c r="C104" s="2"/>
      <x:c r="D104" s="2"/>
      <x:c r="E104" s="2"/>
      <x:c r="F104" s="2"/>
      <x:c r="G104" s="2"/>
      <x:c r="H104" s="2"/>
      <x:c r="I104" s="34"/>
      <x:c r="J104" s="34"/>
      <x:c r="K104" s="34"/>
      <x:c r="L104" s="34"/>
      <x:c r="M104" s="34"/>
      <x:c r="N104" s="2"/>
      <x:c r="O104" s="2"/>
      <x:c r="P104" s="2"/>
    </x:row>
  </x:sheetData>
  <x:mergeCells>
    <x:mergeCell ref="C4:M4"/>
  </x:mergeCells>
  <x:conditionalFormatting sqref="D49:M49">
    <x:cfRule type="cellIs" dxfId="5" priority="1" operator="notBetween">
      <x:formula>-0.1</x:formula>
      <x:formula>0.1</x:formula>
    </x:cfRule>
  </x:conditionalFormatting>
  <x:conditionalFormatting sqref="D83:M83">
    <x:cfRule type="cellIs" dxfId="6" priority="2" operator="notBetween">
      <x:formula>-0.1</x:formula>
      <x:formula>0.1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7791AA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5" hidden="0" customWidth="1"/>
    <x:col min="16" max="16" width="3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9" customHeight="1">
      <x:c r="A2" s="2"/>
      <x:c r="B2" s="2"/>
      <x:c r="C2" s="3" t="str">
        <x:v>Working capital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</x:row>
    <x:row r="4" ht="30" customHeight="1">
      <x:c r="A4" s="2"/>
      <x:c r="B4" s="2"/>
      <x:c r="C4" s="84" t="str">
        <x:v>Model days use 365 days and broad materials / traded goods / project costs. Reported company days are separate.</x:v>
      </x:c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2"/>
      <x:c r="O4" s="2" t="str">
        <x:v>Active case</x:v>
      </x:c>
      <x:c r="P4" s="2"/>
    </x:row>
    <x:row r="5" ht="1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70" t="str">
        <x:f>CHOOSE('00_Cover'!D10,"Base","Bull","Bear")</x:f>
        <x:v>Base</x:v>
      </x:c>
      <x:c r="P5" s="2"/>
    </x:row>
    <x:row r="6" ht="19" customHeight="1">
      <x:c r="A6" s="2"/>
      <x:c r="B6" s="2"/>
      <x:c r="C6" s="2" t="str">
        <x:v>INR million, unless specified</x:v>
      </x:c>
      <x:c r="D6" s="8" t="str">
        <x:v>FY22A</x:v>
      </x:c>
      <x:c r="E6" s="8" t="str">
        <x:v>FY23A</x:v>
      </x:c>
      <x:c r="F6" s="8" t="str">
        <x:v>FY24A</x:v>
      </x:c>
      <x:c r="G6" s="8" t="str">
        <x:v>FY25A</x:v>
      </x:c>
      <x:c r="H6" s="8" t="str">
        <x:v>FY26A</x:v>
      </x:c>
      <x:c r="I6" s="33" t="str">
        <x:v>FY27E</x:v>
      </x:c>
      <x:c r="J6" s="33" t="str">
        <x:v>FY28E</x:v>
      </x:c>
      <x:c r="K6" s="33" t="str">
        <x:v>FY29E</x:v>
      </x:c>
      <x:c r="L6" s="33" t="str">
        <x:v>FY30E</x:v>
      </x:c>
      <x:c r="M6" s="33" t="str">
        <x:v>FY31E</x:v>
      </x:c>
      <x:c r="N6" s="2"/>
      <x:c r="O6" s="2"/>
      <x:c r="P6" s="2"/>
    </x:row>
    <x:row r="7" ht="19" customHeight="1">
      <x:c r="A7" s="2"/>
      <x:c r="B7" s="2"/>
      <x:c r="C7" s="2"/>
      <x:c r="D7" s="2"/>
      <x:c r="E7" s="2"/>
      <x:c r="F7" s="2"/>
      <x:c r="G7" s="2"/>
      <x:c r="H7" s="2"/>
      <x:c r="I7" s="34"/>
      <x:c r="J7" s="34"/>
      <x:c r="K7" s="34"/>
      <x:c r="L7" s="34"/>
      <x:c r="M7" s="34"/>
      <x:c r="N7" s="2"/>
      <x:c r="O7" s="2"/>
      <x:c r="P7" s="2"/>
    </x:row>
    <x:row r="8" ht="19" customHeight="1">
      <x:c r="A8" s="2"/>
      <x:c r="B8" s="2"/>
      <x:c r="C8" s="2" t="str">
        <x:v>Current trade receivables</x:v>
      </x:c>
      <x:c r="D8" s="31" t="n">
        <x:f>IF(ISNUMBER('02_Historical_FS'!D83),'02_Historical_FS'!D83,"")</x:f>
        <x:v>12963.94</x:v>
      </x:c>
      <x:c r="E8" s="31" t="n">
        <x:f>IF(ISNUMBER('02_Historical_FS'!E83),'02_Historical_FS'!E83,"")</x:f>
        <x:v>12465.96</x:v>
      </x:c>
      <x:c r="F8" s="31" t="n">
        <x:f>IF(ISNUMBER('02_Historical_FS'!F83),'02_Historical_FS'!F83,"")</x:f>
        <x:v>20471.17</x:v>
      </x:c>
      <x:c r="G8" s="31" t="n">
        <x:f>IF(ISNUMBER('02_Historical_FS'!G83),'02_Historical_FS'!G83,"")</x:f>
        <x:v>25962.68</x:v>
      </x:c>
      <x:c r="H8" s="31" t="n">
        <x:f>IF(ISNUMBER('02_Historical_FS'!H83),'02_Historical_FS'!H83,"")</x:f>
        <x:v>37585.04</x:v>
      </x:c>
      <x:c r="I8" s="53" t="str">
        <x:f>IF(AND(ISNUMBER('05_Segment_Forecast'!I24),ISNUMBER('04_Drivers'!I84)),'05_Segment_Forecast'!I24*'04_Drivers'!I84/365,"")</x:f>
      </x:c>
      <x:c r="J8" s="53" t="str">
        <x:f>IF(AND(ISNUMBER('05_Segment_Forecast'!J24),ISNUMBER('04_Drivers'!J84)),'05_Segment_Forecast'!J24*'04_Drivers'!J84/365,"")</x:f>
      </x:c>
      <x:c r="K8" s="53" t="str">
        <x:f>IF(AND(ISNUMBER('05_Segment_Forecast'!K24),ISNUMBER('04_Drivers'!K84)),'05_Segment_Forecast'!K24*'04_Drivers'!K84/365,"")</x:f>
      </x:c>
      <x:c r="L8" s="53" t="str">
        <x:f>IF(AND(ISNUMBER('05_Segment_Forecast'!L24),ISNUMBER('04_Drivers'!L84)),'05_Segment_Forecast'!L24*'04_Drivers'!L84/365,"")</x:f>
      </x:c>
      <x:c r="M8" s="53" t="str">
        <x:f>IF(AND(ISNUMBER('05_Segment_Forecast'!M24),ISNUMBER('04_Drivers'!M84)),'05_Segment_Forecast'!M24*'04_Drivers'!M84/365,"")</x:f>
      </x:c>
      <x:c r="N8" s="2"/>
      <x:c r="O8" s="2"/>
      <x:c r="P8" s="2"/>
    </x:row>
    <x:row r="9" ht="19" customHeight="1">
      <x:c r="A9" s="2"/>
      <x:c r="B9" s="2"/>
      <x:c r="C9" s="2" t="str">
        <x:v>Non-current trade receivables</x:v>
      </x:c>
      <x:c r="D9" s="31" t="n">
        <x:f>IF(ISNUMBER('02_Historical_FS'!D75),'02_Historical_FS'!D75,"")</x:f>
        <x:v>799.31</x:v>
      </x:c>
      <x:c r="E9" s="31" t="n">
        <x:f>IF(ISNUMBER('02_Historical_FS'!E75),'02_Historical_FS'!E75,"")</x:f>
        <x:v>526.37</x:v>
      </x:c>
      <x:c r="F9" s="31" t="n">
        <x:f>IF(ISNUMBER('02_Historical_FS'!F75),'02_Historical_FS'!F75,"")</x:f>
        <x:v>1190.7</x:v>
      </x:c>
      <x:c r="G9" s="31" t="n">
        <x:f>IF(ISNUMBER('02_Historical_FS'!G75),'02_Historical_FS'!G75,"")</x:f>
        <x:v>2994.38</x:v>
      </x:c>
      <x:c r="H9" s="31" t="n">
        <x:f>IF(ISNUMBER('02_Historical_FS'!H75),'02_Historical_FS'!H75,"")</x:f>
        <x:v>4477.84</x:v>
      </x:c>
      <x:c r="I9" s="53" t="str">
        <x:f>IF(AND(ISNUMBER('05_Segment_Forecast'!I24),ISNUMBER('04_Drivers'!I104)),'05_Segment_Forecast'!I24*'04_Drivers'!I104,"")</x:f>
      </x:c>
      <x:c r="J9" s="53" t="str">
        <x:f>IF(AND(ISNUMBER('05_Segment_Forecast'!J24),ISNUMBER('04_Drivers'!J104)),'05_Segment_Forecast'!J24*'04_Drivers'!J104,"")</x:f>
      </x:c>
      <x:c r="K9" s="53" t="str">
        <x:f>IF(AND(ISNUMBER('05_Segment_Forecast'!K24),ISNUMBER('04_Drivers'!K104)),'05_Segment_Forecast'!K24*'04_Drivers'!K104,"")</x:f>
      </x:c>
      <x:c r="L9" s="53" t="str">
        <x:f>IF(AND(ISNUMBER('05_Segment_Forecast'!L24),ISNUMBER('04_Drivers'!L104)),'05_Segment_Forecast'!L24*'04_Drivers'!L104,"")</x:f>
      </x:c>
      <x:c r="M9" s="53" t="str">
        <x:f>IF(AND(ISNUMBER('05_Segment_Forecast'!M24),ISNUMBER('04_Drivers'!M104)),'05_Segment_Forecast'!M24*'04_Drivers'!M104,"")</x:f>
      </x:c>
      <x:c r="N9" s="2"/>
      <x:c r="O9" s="2"/>
      <x:c r="P9" s="2"/>
    </x:row>
    <x:row r="10" ht="19" customHeight="1">
      <x:c r="A10" s="2"/>
      <x:c r="B10" s="2"/>
      <x:c r="C10" s="2" t="str">
        <x:v>Inventories</x:v>
      </x:c>
      <x:c r="D10" s="31" t="n">
        <x:f>IF(ISNUMBER('02_Historical_FS'!D81),'02_Historical_FS'!D81,"")</x:f>
        <x:v>21996.47</x:v>
      </x:c>
      <x:c r="E10" s="31" t="n">
        <x:f>IF(ISNUMBER('02_Historical_FS'!E81),'02_Historical_FS'!E81,"")</x:f>
        <x:v>29513.84</x:v>
      </x:c>
      <x:c r="F10" s="31" t="n">
        <x:f>IF(ISNUMBER('02_Historical_FS'!F81),'02_Historical_FS'!F81,"")</x:f>
        <x:v>36751.14</x:v>
      </x:c>
      <x:c r="G10" s="31" t="n">
        <x:f>IF(ISNUMBER('02_Historical_FS'!G81),'02_Historical_FS'!G81,"")</x:f>
        <x:v>36613</x:v>
      </x:c>
      <x:c r="H10" s="31" t="n">
        <x:f>IF(ISNUMBER('02_Historical_FS'!H81),'02_Historical_FS'!H81,"")</x:f>
        <x:v>55595.98</x:v>
      </x:c>
      <x:c r="I10" s="53" t="str">
        <x:f>IF(AND(ISNUMBER('06_3Statement_Model'!I10),ISNUMBER('04_Drivers'!I89)),'06_3Statement_Model'!I10*'04_Drivers'!I89/365,"")</x:f>
      </x:c>
      <x:c r="J10" s="53" t="str">
        <x:f>IF(AND(ISNUMBER('06_3Statement_Model'!J10),ISNUMBER('04_Drivers'!J89)),'06_3Statement_Model'!J10*'04_Drivers'!J89/365,"")</x:f>
      </x:c>
      <x:c r="K10" s="53" t="str">
        <x:f>IF(AND(ISNUMBER('06_3Statement_Model'!K10),ISNUMBER('04_Drivers'!K89)),'06_3Statement_Model'!K10*'04_Drivers'!K89/365,"")</x:f>
      </x:c>
      <x:c r="L10" s="53" t="str">
        <x:f>IF(AND(ISNUMBER('06_3Statement_Model'!L10),ISNUMBER('04_Drivers'!L89)),'06_3Statement_Model'!L10*'04_Drivers'!L89/365,"")</x:f>
      </x:c>
      <x:c r="M10" s="53" t="str">
        <x:f>IF(AND(ISNUMBER('06_3Statement_Model'!M10),ISNUMBER('04_Drivers'!M89)),'06_3Statement_Model'!M10*'04_Drivers'!M89/365,"")</x:f>
      </x:c>
      <x:c r="N10" s="2"/>
      <x:c r="O10" s="2"/>
      <x:c r="P10" s="2"/>
    </x:row>
    <x:row r="11" ht="19" customHeight="1">
      <x:c r="A11" s="2"/>
      <x:c r="B11" s="2"/>
      <x:c r="C11" s="2" t="str">
        <x:v>Trade payables, excluding acceptances</x:v>
      </x:c>
      <x:c r="D11" s="31" t="n">
        <x:f>'02_Historical_FS'!D105+'02_Historical_FS'!D106</x:f>
        <x:v>5810.75</x:v>
      </x:c>
      <x:c r="E11" s="31" t="n">
        <x:f>'02_Historical_FS'!E105+'02_Historical_FS'!E106</x:f>
        <x:v>8068.88</x:v>
      </x:c>
      <x:c r="F11" s="31" t="n">
        <x:f>'02_Historical_FS'!F105+'02_Historical_FS'!F106</x:f>
        <x:v>10013.59</x:v>
      </x:c>
      <x:c r="G11" s="31" t="n">
        <x:f>'02_Historical_FS'!G105+'02_Historical_FS'!G106</x:f>
        <x:v>14295.19</x:v>
      </x:c>
      <x:c r="H11" s="31" t="n">
        <x:f>'02_Historical_FS'!H105+'02_Historical_FS'!H106</x:f>
        <x:v>17988.14</x:v>
      </x:c>
      <x:c r="I11" s="53" t="str">
        <x:f>IF(AND(ISNUMBER('06_3Statement_Model'!I10),ISNUMBER('04_Drivers'!I94)),'06_3Statement_Model'!I10*'04_Drivers'!I94/365,"")</x:f>
      </x:c>
      <x:c r="J11" s="53" t="str">
        <x:f>IF(AND(ISNUMBER('06_3Statement_Model'!J10),ISNUMBER('04_Drivers'!J94)),'06_3Statement_Model'!J10*'04_Drivers'!J94/365,"")</x:f>
      </x:c>
      <x:c r="K11" s="53" t="str">
        <x:f>IF(AND(ISNUMBER('06_3Statement_Model'!K10),ISNUMBER('04_Drivers'!K94)),'06_3Statement_Model'!K10*'04_Drivers'!K94/365,"")</x:f>
      </x:c>
      <x:c r="L11" s="53" t="str">
        <x:f>IF(AND(ISNUMBER('06_3Statement_Model'!L10),ISNUMBER('04_Drivers'!L94)),'06_3Statement_Model'!L10*'04_Drivers'!L94/365,"")</x:f>
      </x:c>
      <x:c r="M11" s="53" t="str">
        <x:f>IF(AND(ISNUMBER('06_3Statement_Model'!M10),ISNUMBER('04_Drivers'!M94)),'06_3Statement_Model'!M10*'04_Drivers'!M94/365,"")</x:f>
      </x:c>
      <x:c r="N11" s="2"/>
      <x:c r="O11" s="2"/>
      <x:c r="P11" s="2"/>
    </x:row>
    <x:row r="12" ht="19" customHeight="1">
      <x:c r="A12" s="2"/>
      <x:c r="B12" s="2"/>
      <x:c r="C12" s="2" t="str">
        <x:v>Acceptances</x:v>
      </x:c>
      <x:c r="D12" s="31" t="n">
        <x:f>IF(ISNUMBER('02_Historical_FS'!D104),'02_Historical_FS'!D104,"")</x:f>
        <x:v>6364.55</x:v>
      </x:c>
      <x:c r="E12" s="31" t="n">
        <x:f>IF(ISNUMBER('02_Historical_FS'!E104),'02_Historical_FS'!E104,"")</x:f>
        <x:v>12257.56</x:v>
      </x:c>
      <x:c r="F12" s="31" t="n">
        <x:f>IF(ISNUMBER('02_Historical_FS'!F104),'02_Historical_FS'!F104,"")</x:f>
        <x:v>18619.66</x:v>
      </x:c>
      <x:c r="G12" s="31" t="n">
        <x:f>IF(ISNUMBER('02_Historical_FS'!G104),'02_Historical_FS'!G104,"")</x:f>
        <x:v>13062.37</x:v>
      </x:c>
      <x:c r="H12" s="31" t="n">
        <x:f>IF(ISNUMBER('02_Historical_FS'!H104),'02_Historical_FS'!H104,"")</x:f>
        <x:v>42656.19</x:v>
      </x:c>
      <x:c r="I12" s="53" t="str">
        <x:f>IF(AND(ISNUMBER('06_3Statement_Model'!I10),ISNUMBER('04_Drivers'!I99)),'06_3Statement_Model'!I10*'04_Drivers'!I99/365,"")</x:f>
      </x:c>
      <x:c r="J12" s="53" t="str">
        <x:f>IF(AND(ISNUMBER('06_3Statement_Model'!J10),ISNUMBER('04_Drivers'!J99)),'06_3Statement_Model'!J10*'04_Drivers'!J99/365,"")</x:f>
      </x:c>
      <x:c r="K12" s="53" t="str">
        <x:f>IF(AND(ISNUMBER('06_3Statement_Model'!K10),ISNUMBER('04_Drivers'!K99)),'06_3Statement_Model'!K10*'04_Drivers'!K99/365,"")</x:f>
      </x:c>
      <x:c r="L12" s="53" t="str">
        <x:f>IF(AND(ISNUMBER('06_3Statement_Model'!L10),ISNUMBER('04_Drivers'!L99)),'06_3Statement_Model'!L10*'04_Drivers'!L99/365,"")</x:f>
      </x:c>
      <x:c r="M12" s="53" t="str">
        <x:f>IF(AND(ISNUMBER('06_3Statement_Model'!M10),ISNUMBER('04_Drivers'!M99)),'06_3Statement_Model'!M10*'04_Drivers'!M99/365,"")</x:f>
      </x:c>
      <x:c r="N12" s="2"/>
      <x:c r="O12" s="2"/>
      <x:c r="P12" s="2"/>
    </x:row>
    <x:row r="13" ht="19" customHeight="1">
      <x:c r="A13" s="2"/>
      <x:c r="B13" s="2"/>
      <x:c r="C13" s="2"/>
      <x:c r="D13" s="2"/>
      <x:c r="E13" s="2"/>
      <x:c r="F13" s="2"/>
      <x:c r="G13" s="2"/>
      <x:c r="H13" s="2"/>
      <x:c r="I13" s="34"/>
      <x:c r="J13" s="34"/>
      <x:c r="K13" s="34"/>
      <x:c r="L13" s="34"/>
      <x:c r="M13" s="34"/>
      <x:c r="N13" s="2"/>
      <x:c r="O13" s="2"/>
      <x:c r="P13" s="2"/>
    </x:row>
    <x:row r="14" ht="19" customHeight="1">
      <x:c r="A14" s="2"/>
      <x:c r="B14" s="2"/>
      <x:c r="C14" s="18" t="str">
        <x:v>Trade working capital, including acceptances</x:v>
      </x:c>
      <x:c r="D14" s="23" t="n">
        <x:f>SUM(D8:D10)-SUM(D11:D12)</x:f>
        <x:v>23584.420000000002</x:v>
      </x:c>
      <x:c r="E14" s="23" t="n">
        <x:f>SUM(E8:E10)-SUM(E11:E12)</x:f>
        <x:v>22179.73</x:v>
      </x:c>
      <x:c r="F14" s="23" t="n">
        <x:f>SUM(F8:F10)-SUM(F11:F12)</x:f>
        <x:v>29779.759999999995</x:v>
      </x:c>
      <x:c r="G14" s="23" t="n">
        <x:f>SUM(G8:G10)-SUM(G11:G12)</x:f>
        <x:v>38212.5</x:v>
      </x:c>
      <x:c r="H14" s="23" t="n">
        <x:f>SUM(H8:H10)-SUM(H11:H12)</x:f>
        <x:v>37014.53000000001</x:v>
      </x:c>
      <x:c r="I14" s="23" t="str">
        <x:f>IF(AND(ISNUMBER(I8),ISNUMBER(I9),ISNUMBER(I10),ISNUMBER(I11),ISNUMBER(I12)),SUM(I8:I10)-SUM(I11:I12),"")</x:f>
      </x:c>
      <x:c r="J14" s="23" t="str">
        <x:f>IF(AND(ISNUMBER(J8),ISNUMBER(J9),ISNUMBER(J10),ISNUMBER(J11),ISNUMBER(J12)),SUM(J8:J10)-SUM(J11:J12),"")</x:f>
      </x:c>
      <x:c r="K14" s="23" t="str">
        <x:f>IF(AND(ISNUMBER(K8),ISNUMBER(K9),ISNUMBER(K10),ISNUMBER(K11),ISNUMBER(K12)),SUM(K8:K10)-SUM(K11:K12),"")</x:f>
      </x:c>
      <x:c r="L14" s="23" t="str">
        <x:f>IF(AND(ISNUMBER(L8),ISNUMBER(L9),ISNUMBER(L10),ISNUMBER(L11),ISNUMBER(L12)),SUM(L8:L10)-SUM(L11:L12),"")</x:f>
      </x:c>
      <x:c r="M14" s="23" t="str">
        <x:f>IF(AND(ISNUMBER(M8),ISNUMBER(M9),ISNUMBER(M10),ISNUMBER(M11),ISNUMBER(M12)),SUM(M8:M10)-SUM(M11:M12),"")</x:f>
      </x:c>
      <x:c r="N14" s="2"/>
      <x:c r="O14" s="2"/>
      <x:c r="P14" s="2"/>
    </x:row>
    <x:row r="15" ht="19" customHeight="1">
      <x:c r="A15" s="2"/>
      <x:c r="B15" s="2"/>
      <x:c r="C15" s="2"/>
      <x:c r="D15" s="2"/>
      <x:c r="E15" s="2"/>
      <x:c r="F15" s="2"/>
      <x:c r="G15" s="2"/>
      <x:c r="H15" s="2"/>
      <x:c r="I15" s="34"/>
      <x:c r="J15" s="34"/>
      <x:c r="K15" s="34"/>
      <x:c r="L15" s="34"/>
      <x:c r="M15" s="34"/>
      <x:c r="N15" s="2"/>
      <x:c r="O15" s="2"/>
      <x:c r="P15" s="2"/>
    </x:row>
    <x:row r="16" ht="19" customHeight="1">
      <x:c r="A16" s="2"/>
      <x:c r="B16" s="2"/>
      <x:c r="C16" s="2" t="str">
        <x:v>Other non-cash assets, excluding fixed assets</x:v>
      </x:c>
      <x:c r="D16" s="31" t="n">
        <x:f>'02_Historical_FS'!D91-'08_Fixed_Assets'!D15-'02_Historical_FS'!D75-'02_Historical_FS'!D83-'02_Historical_FS'!D81-'02_Historical_FS'!D82-'02_Historical_FS'!D84-'02_Historical_FS'!D85</x:f>
        <x:v>6141.919999999993</x:v>
      </x:c>
      <x:c r="E16" s="31" t="n">
        <x:f>'02_Historical_FS'!E91-'08_Fixed_Assets'!E15-'02_Historical_FS'!E75-'02_Historical_FS'!E83-'02_Historical_FS'!E81-'02_Historical_FS'!E82-'02_Historical_FS'!E84-'02_Historical_FS'!E85</x:f>
        <x:v>8114.140000000007</x:v>
      </x:c>
      <x:c r="F16" s="31" t="n">
        <x:f>'02_Historical_FS'!F91-'08_Fixed_Assets'!F15-'02_Historical_FS'!F75-'02_Historical_FS'!F83-'02_Historical_FS'!F81-'02_Historical_FS'!F82-'02_Historical_FS'!F84-'02_Historical_FS'!F85</x:f>
        <x:v>10968.42</x:v>
      </x:c>
      <x:c r="G16" s="31" t="n">
        <x:f>'02_Historical_FS'!G91-'08_Fixed_Assets'!G15-'02_Historical_FS'!G75-'02_Historical_FS'!G83-'02_Historical_FS'!G81-'02_Historical_FS'!G82-'02_Historical_FS'!G84-'02_Historical_FS'!G85</x:f>
        <x:v>9797.880000000006</x:v>
      </x:c>
      <x:c r="H16" s="31" t="n">
        <x:f>'02_Historical_FS'!H91-'08_Fixed_Assets'!H15-'02_Historical_FS'!H75-'02_Historical_FS'!H83-'02_Historical_FS'!H81-'02_Historical_FS'!H82-'02_Historical_FS'!H84-'02_Historical_FS'!H85</x:f>
        <x:v>15436.549999999985</x:v>
      </x:c>
      <x:c r="I16" s="53" t="str">
        <x:f>IF(AND(ISNUMBER('05_Segment_Forecast'!I24),ISNUMBER('04_Drivers'!I109)),'05_Segment_Forecast'!I24*'04_Drivers'!I109,"")</x:f>
      </x:c>
      <x:c r="J16" s="53" t="str">
        <x:f>IF(AND(ISNUMBER('05_Segment_Forecast'!J24),ISNUMBER('04_Drivers'!J109)),'05_Segment_Forecast'!J24*'04_Drivers'!J109,"")</x:f>
      </x:c>
      <x:c r="K16" s="53" t="str">
        <x:f>IF(AND(ISNUMBER('05_Segment_Forecast'!K24),ISNUMBER('04_Drivers'!K109)),'05_Segment_Forecast'!K24*'04_Drivers'!K109,"")</x:f>
      </x:c>
      <x:c r="L16" s="53" t="str">
        <x:f>IF(AND(ISNUMBER('05_Segment_Forecast'!L24),ISNUMBER('04_Drivers'!L109)),'05_Segment_Forecast'!L24*'04_Drivers'!L109,"")</x:f>
      </x:c>
      <x:c r="M16" s="53" t="str">
        <x:f>IF(AND(ISNUMBER('05_Segment_Forecast'!M24),ISNUMBER('04_Drivers'!M109)),'05_Segment_Forecast'!M24*'04_Drivers'!M109,"")</x:f>
      </x:c>
      <x:c r="N16" s="2"/>
      <x:c r="O16" s="2"/>
      <x:c r="P16" s="2"/>
    </x:row>
    <x:row r="17" ht="19" customHeight="1">
      <x:c r="A17" s="2"/>
      <x:c r="B17" s="2"/>
      <x:c r="C17" s="2" t="str">
        <x:v>Other liabilities, excluding debt and leases</x:v>
      </x:c>
      <x:c r="D17" s="31" t="n">
        <x:f>'02_Historical_FS'!D38-'02_Historical_FS'!D33-'02_Historical_FS'!D96-'02_Historical_FS'!D103-D11-D12</x:f>
        <x:v>5074.170000000005</x:v>
      </x:c>
      <x:c r="E17" s="31" t="n">
        <x:f>'02_Historical_FS'!E38-'02_Historical_FS'!E33-'02_Historical_FS'!E96-'02_Historical_FS'!E103-E11-E12</x:f>
        <x:v>6089.009999999997</x:v>
      </x:c>
      <x:c r="F17" s="31" t="n">
        <x:f>'02_Historical_FS'!F38-'02_Historical_FS'!F33-'02_Historical_FS'!F96-'02_Historical_FS'!F103-F11-F12</x:f>
        <x:v>8111.25</x:v>
      </x:c>
      <x:c r="G17" s="31" t="n">
        <x:f>'02_Historical_FS'!G38-'02_Historical_FS'!G33-'02_Historical_FS'!G96-'02_Historical_FS'!G103-G11-G12</x:f>
        <x:v>9277.49</x:v>
      </x:c>
      <x:c r="H17" s="31" t="n">
        <x:f>'02_Historical_FS'!H38-'02_Historical_FS'!H33-'02_Historical_FS'!H96-'02_Historical_FS'!H103-H11-H12</x:f>
        <x:v>20494.710000000006</x:v>
      </x:c>
      <x:c r="I17" s="53" t="str">
        <x:f>IF(AND(ISNUMBER('05_Segment_Forecast'!I24),ISNUMBER('04_Drivers'!I114)),'05_Segment_Forecast'!I24*'04_Drivers'!I114,"")</x:f>
      </x:c>
      <x:c r="J17" s="53" t="str">
        <x:f>IF(AND(ISNUMBER('05_Segment_Forecast'!J24),ISNUMBER('04_Drivers'!J114)),'05_Segment_Forecast'!J24*'04_Drivers'!J114,"")</x:f>
      </x:c>
      <x:c r="K17" s="53" t="str">
        <x:f>IF(AND(ISNUMBER('05_Segment_Forecast'!K24),ISNUMBER('04_Drivers'!K114)),'05_Segment_Forecast'!K24*'04_Drivers'!K114,"")</x:f>
      </x:c>
      <x:c r="L17" s="53" t="str">
        <x:f>IF(AND(ISNUMBER('05_Segment_Forecast'!L24),ISNUMBER('04_Drivers'!L114)),'05_Segment_Forecast'!L24*'04_Drivers'!L114,"")</x:f>
      </x:c>
      <x:c r="M17" s="53" t="str">
        <x:f>IF(AND(ISNUMBER('05_Segment_Forecast'!M24),ISNUMBER('04_Drivers'!M114)),'05_Segment_Forecast'!M24*'04_Drivers'!M114,"")</x:f>
      </x:c>
      <x:c r="N17" s="2"/>
      <x:c r="O17" s="2"/>
      <x:c r="P17" s="2"/>
    </x:row>
    <x:row r="18" ht="19" customHeight="1">
      <x:c r="A18" s="2"/>
      <x:c r="B18" s="2"/>
      <x:c r="C18" s="2"/>
      <x:c r="D18" s="2"/>
      <x:c r="E18" s="2"/>
      <x:c r="F18" s="2"/>
      <x:c r="G18" s="2"/>
      <x:c r="H18" s="2"/>
      <x:c r="I18" s="34"/>
      <x:c r="J18" s="34"/>
      <x:c r="K18" s="34"/>
      <x:c r="L18" s="34"/>
      <x:c r="M18" s="34"/>
      <x:c r="N18" s="2"/>
      <x:c r="O18" s="2"/>
      <x:c r="P18" s="2"/>
    </x:row>
    <x:row r="19" ht="19" customHeight="1">
      <x:c r="A19" s="2"/>
      <x:c r="B19" s="2"/>
      <x:c r="C19" s="18" t="str">
        <x:v>Broad non-cash working-capital balance</x:v>
      </x:c>
      <x:c r="D19" s="23" t="n">
        <x:f>D14+D16-D17</x:f>
        <x:v>24652.16999999999</x:v>
      </x:c>
      <x:c r="E19" s="23" t="n">
        <x:f>E14+E16-E17</x:f>
        <x:v>24204.860000000008</x:v>
      </x:c>
      <x:c r="F19" s="23" t="n">
        <x:f>F14+F16-F17</x:f>
        <x:v>32636.929999999993</x:v>
      </x:c>
      <x:c r="G19" s="23" t="n">
        <x:f>G14+G16-G17</x:f>
        <x:v>38732.89000000001</x:v>
      </x:c>
      <x:c r="H19" s="23" t="n">
        <x:f>H14+H16-H17</x:f>
        <x:v>31956.369999999995</x:v>
      </x:c>
      <x:c r="I19" s="23" t="str">
        <x:f>IF(AND(ISNUMBER(I14),ISNUMBER(I16),ISNUMBER(I17)),I14+I16-I17,"")</x:f>
      </x:c>
      <x:c r="J19" s="23" t="str">
        <x:f>IF(AND(ISNUMBER(J14),ISNUMBER(J16),ISNUMBER(J17)),J14+J16-J17,"")</x:f>
      </x:c>
      <x:c r="K19" s="23" t="str">
        <x:f>IF(AND(ISNUMBER(K14),ISNUMBER(K16),ISNUMBER(K17)),K14+K16-K17,"")</x:f>
      </x:c>
      <x:c r="L19" s="23" t="str">
        <x:f>IF(AND(ISNUMBER(L14),ISNUMBER(L16),ISNUMBER(L17)),L14+L16-L17,"")</x:f>
      </x:c>
      <x:c r="M19" s="23" t="str">
        <x:f>IF(AND(ISNUMBER(M14),ISNUMBER(M16),ISNUMBER(M17)),M14+M16-M17,"")</x:f>
      </x:c>
      <x:c r="N19" s="2"/>
      <x:c r="O19" s="13" t="str">
        <x:v>Broad balance includes all non-cash non-fixed assets and liabilities except equity, borrowings, leases, current investments and other bank balances. DCF normalisation must consider tax and non-operating items.</x:v>
      </x:c>
      <x:c r="P19" s="2"/>
    </x:row>
    <x:row r="20" ht="19" customHeight="1">
      <x:c r="A20" s="2"/>
      <x:c r="B20" s="2"/>
      <x:c r="C20" s="2" t="str">
        <x:v>Increase / (release) in broad balance</x:v>
      </x:c>
      <x:c r="D20" s="11" t="str">
        <x:v>n.a.</x:v>
      </x:c>
      <x:c r="E20" s="24" t="n">
        <x:f>E19-D19</x:f>
        <x:v>-447.3099999999831</x:v>
      </x:c>
      <x:c r="F20" s="24" t="n">
        <x:f>F19-E19</x:f>
        <x:v>8432.069999999985</x:v>
      </x:c>
      <x:c r="G20" s="24" t="n">
        <x:f>G19-F19</x:f>
        <x:v>6095.960000000014</x:v>
      </x:c>
      <x:c r="H20" s="24" t="n">
        <x:f>H19-G19</x:f>
        <x:v>-6776.520000000011</x:v>
      </x:c>
      <x:c r="I20" s="52" t="str">
        <x:f>IF(AND(ISNUMBER(I19),ISNUMBER(H19)),I19-H19,"")</x:f>
      </x:c>
      <x:c r="J20" s="52" t="str">
        <x:f>IF(AND(ISNUMBER(J19),ISNUMBER(I19)),J19-I19,"")</x:f>
      </x:c>
      <x:c r="K20" s="52" t="str">
        <x:f>IF(AND(ISNUMBER(K19),ISNUMBER(J19)),K19-J19,"")</x:f>
      </x:c>
      <x:c r="L20" s="52" t="str">
        <x:f>IF(AND(ISNUMBER(L19),ISNUMBER(K19)),L19-K19,"")</x:f>
      </x:c>
      <x:c r="M20" s="52" t="str">
        <x:f>IF(AND(ISNUMBER(M19),ISNUMBER(L19)),M19-L19,"")</x:f>
      </x:c>
      <x:c r="N20" s="2"/>
      <x:c r="O20" s="2"/>
      <x:c r="P20" s="2"/>
    </x:row>
    <x:row r="21" ht="19" customHeight="1">
      <x:c r="A21" s="2"/>
      <x:c r="B21" s="2"/>
      <x:c r="C21" s="2"/>
      <x:c r="D21" s="2"/>
      <x:c r="E21" s="2"/>
      <x:c r="F21" s="2"/>
      <x:c r="G21" s="2"/>
      <x:c r="H21" s="2"/>
      <x:c r="I21" s="34"/>
      <x:c r="J21" s="34"/>
      <x:c r="K21" s="34"/>
      <x:c r="L21" s="34"/>
      <x:c r="M21" s="34"/>
      <x:c r="N21" s="2"/>
      <x:c r="O21" s="2"/>
      <x:c r="P21" s="2"/>
    </x:row>
    <x:row r="22" ht="19" customHeight="1">
      <x:c r="A22" s="2"/>
      <x:c r="B22" s="2"/>
      <x:c r="C22" s="2"/>
      <x:c r="D22" s="2"/>
      <x:c r="E22" s="2"/>
      <x:c r="F22" s="2"/>
      <x:c r="G22" s="2"/>
      <x:c r="H22" s="2"/>
      <x:c r="I22" s="34"/>
      <x:c r="J22" s="34"/>
      <x:c r="K22" s="34"/>
      <x:c r="L22" s="34"/>
      <x:c r="M22" s="34"/>
      <x:c r="N22" s="2"/>
      <x:c r="O22" s="2"/>
      <x:c r="P22" s="2"/>
    </x:row>
    <x:row r="23" ht="19" customHeight="1">
      <x:c r="A23" s="2"/>
      <x:c r="B23" s="2"/>
      <x:c r="C23" s="2" t="str">
        <x:v>Model closing receivable days</x:v>
      </x:c>
      <x:c r="D23" s="31" t="n">
        <x:f>D8/'02_Historical_FS'!D43*365</x:f>
        <x:v>38.773605120585366</x:v>
      </x:c>
      <x:c r="E23" s="31" t="n">
        <x:f>E8/'02_Historical_FS'!E43*365</x:f>
        <x:v>32.25224695200052</x:v>
      </x:c>
      <x:c r="F23" s="31" t="n">
        <x:f>F8/'02_Historical_FS'!F43*365</x:f>
        <x:v>41.4202181065004</x:v>
      </x:c>
      <x:c r="G23" s="31" t="n">
        <x:f>G8/'02_Historical_FS'!G43*365</x:f>
        <x:v>42.28956548402372</x:v>
      </x:c>
      <x:c r="H23" s="31" t="n">
        <x:f>H8/'02_Historical_FS'!H43*365</x:f>
        <x:v>47.49563215245423</x:v>
      </x:c>
      <x:c r="I23" s="53" t="str">
        <x:f>IF(ISNUMBER('04_Drivers'!I84),'04_Drivers'!I84,"")</x:f>
      </x:c>
      <x:c r="J23" s="53" t="str">
        <x:f>IF(ISNUMBER('04_Drivers'!J84),'04_Drivers'!J84,"")</x:f>
      </x:c>
      <x:c r="K23" s="53" t="str">
        <x:f>IF(ISNUMBER('04_Drivers'!K84),'04_Drivers'!K84,"")</x:f>
      </x:c>
      <x:c r="L23" s="53" t="str">
        <x:f>IF(ISNUMBER('04_Drivers'!L84),'04_Drivers'!L84,"")</x:f>
      </x:c>
      <x:c r="M23" s="53" t="str">
        <x:f>IF(ISNUMBER('04_Drivers'!M84),'04_Drivers'!M84,"")</x:f>
      </x:c>
      <x:c r="N23" s="2"/>
      <x:c r="O23" s="13" t="str">
        <x:v>Current receivables / revenue × 365. Inventory and payables use broad COGS. Not a reconstruction of company denominators.</x:v>
      </x:c>
      <x:c r="P23" s="2"/>
    </x:row>
    <x:row r="24" ht="19" customHeight="1">
      <x:c r="A24" s="2"/>
      <x:c r="B24" s="2"/>
      <x:c r="C24" s="2" t="str">
        <x:v>Model closing inventory days</x:v>
      </x:c>
      <x:c r="D24" s="31" t="n">
        <x:f>D10/'02_Historical_FS'!D11*365</x:f>
        <x:v>84.81920942571877</x:v>
      </x:c>
      <x:c r="E24" s="31" t="n">
        <x:f>E10/'02_Historical_FS'!E11*365</x:f>
        <x:v>102.4893748354089</x:v>
      </x:c>
      <x:c r="F24" s="31" t="n">
        <x:f>F10/'02_Historical_FS'!F11*365</x:f>
        <x:v>101.00799748439435</x:v>
      </x:c>
      <x:c r="G24" s="31" t="n">
        <x:f>G10/'02_Historical_FS'!G11*365</x:f>
        <x:v>79.4041520893037</x:v>
      </x:c>
      <x:c r="H24" s="31" t="n">
        <x:f>H10/'02_Historical_FS'!H11*365</x:f>
        <x:v>94.02702079924853</x:v>
      </x:c>
      <x:c r="I24" s="53" t="str">
        <x:f>IF(ISNUMBER('04_Drivers'!I89),'04_Drivers'!I89,"")</x:f>
      </x:c>
      <x:c r="J24" s="53" t="str">
        <x:f>IF(ISNUMBER('04_Drivers'!J89),'04_Drivers'!J89,"")</x:f>
      </x:c>
      <x:c r="K24" s="53" t="str">
        <x:f>IF(ISNUMBER('04_Drivers'!K89),'04_Drivers'!K89,"")</x:f>
      </x:c>
      <x:c r="L24" s="53" t="str">
        <x:f>IF(ISNUMBER('04_Drivers'!L89),'04_Drivers'!L89,"")</x:f>
      </x:c>
      <x:c r="M24" s="53" t="str">
        <x:f>IF(ISNUMBER('04_Drivers'!M89),'04_Drivers'!M89,"")</x:f>
      </x:c>
      <x:c r="N24" s="2"/>
      <x:c r="O24" s="2"/>
      <x:c r="P24" s="2"/>
    </x:row>
    <x:row r="25" ht="19" customHeight="1">
      <x:c r="A25" s="2"/>
      <x:c r="B25" s="2"/>
      <x:c r="C25" s="2" t="str">
        <x:v>Model closing payable days, excl acceptances</x:v>
      </x:c>
      <x:c r="D25" s="31" t="n">
        <x:f>D11/'02_Historical_FS'!D11*365</x:f>
        <x:v>22.40646890935206</x:v>
      </x:c>
      <x:c r="E25" s="31" t="n">
        <x:f>E11/'02_Historical_FS'!E11*365</x:f>
        <x:v>28.019887172320995</x:v>
      </x:c>
      <x:c r="F25" s="31" t="n">
        <x:f>F11/'02_Historical_FS'!F11*365</x:f>
        <x:v>27.521667995326307</x:v>
      </x:c>
      <x:c r="G25" s="31" t="n">
        <x:f>G11/'02_Historical_FS'!G11*365</x:f>
        <x:v>31.002579436415843</x:v>
      </x:c>
      <x:c r="H25" s="31" t="n">
        <x:f>H11/'02_Historical_FS'!H11*365</x:f>
        <x:v>30.42254518977441</x:v>
      </x:c>
      <x:c r="I25" s="53" t="str">
        <x:f>IF(ISNUMBER('04_Drivers'!I94),'04_Drivers'!I94,"")</x:f>
      </x:c>
      <x:c r="J25" s="53" t="str">
        <x:f>IF(ISNUMBER('04_Drivers'!J94),'04_Drivers'!J94,"")</x:f>
      </x:c>
      <x:c r="K25" s="53" t="str">
        <x:f>IF(ISNUMBER('04_Drivers'!K94),'04_Drivers'!K94,"")</x:f>
      </x:c>
      <x:c r="L25" s="53" t="str">
        <x:f>IF(ISNUMBER('04_Drivers'!L94),'04_Drivers'!L94,"")</x:f>
      </x:c>
      <x:c r="M25" s="53" t="str">
        <x:f>IF(ISNUMBER('04_Drivers'!M94),'04_Drivers'!M94,"")</x:f>
      </x:c>
      <x:c r="N25" s="2"/>
      <x:c r="O25" s="2"/>
      <x:c r="P25" s="2"/>
    </x:row>
    <x:row r="26" ht="19" customHeight="1">
      <x:c r="A26" s="2"/>
      <x:c r="B26" s="2"/>
      <x:c r="C26" s="2" t="str">
        <x:v>Model closing acceptance days</x:v>
      </x:c>
      <x:c r="D26" s="31" t="n">
        <x:f>D12/'02_Historical_FS'!D11*365</x:f>
        <x:v>24.54194238213942</x:v>
      </x:c>
      <x:c r="E26" s="31" t="n">
        <x:f>E12/'02_Historical_FS'!E11*365</x:f>
        <x:v>42.565442565505364</x:v>
      </x:c>
      <x:c r="F26" s="31" t="n">
        <x:f>F12/'02_Historical_FS'!F11*365</x:f>
        <x:v>51.174863431182764</x:v>
      </x:c>
      <x:c r="G26" s="31" t="n">
        <x:f>G12/'02_Historical_FS'!G11*365</x:f>
        <x:v>28.32891088211176</x:v>
      </x:c>
      <x:c r="H26" s="31" t="n">
        <x:f>H12/'02_Historical_FS'!H11*365</x:f>
        <x:v>72.14252657020701</x:v>
      </x:c>
      <x:c r="I26" s="53" t="str">
        <x:f>IF(ISNUMBER('04_Drivers'!I99),'04_Drivers'!I99,"")</x:f>
      </x:c>
      <x:c r="J26" s="53" t="str">
        <x:f>IF(ISNUMBER('04_Drivers'!J99),'04_Drivers'!J99,"")</x:f>
      </x:c>
      <x:c r="K26" s="53" t="str">
        <x:f>IF(ISNUMBER('04_Drivers'!K99),'04_Drivers'!K99,"")</x:f>
      </x:c>
      <x:c r="L26" s="53" t="str">
        <x:f>IF(ISNUMBER('04_Drivers'!L99),'04_Drivers'!L99,"")</x:f>
      </x:c>
      <x:c r="M26" s="53" t="str">
        <x:f>IF(ISNUMBER('04_Drivers'!M99),'04_Drivers'!M99,"")</x:f>
      </x:c>
      <x:c r="N26" s="2"/>
      <x:c r="O26" s="2"/>
      <x:c r="P26" s="2"/>
    </x:row>
    <x:row r="27" ht="19" customHeight="1">
      <x:c r="A27" s="2"/>
      <x:c r="B27" s="2"/>
      <x:c r="C27" s="2" t="str">
        <x:v>Model closing cash conversion cycle</x:v>
      </x:c>
      <x:c r="D27" s="24" t="n">
        <x:f>D23+D24-D25-D26</x:f>
        <x:v>76.64440325481266</x:v>
      </x:c>
      <x:c r="E27" s="24" t="n">
        <x:f>E23+E24-E25-E26</x:f>
        <x:v>64.15629204958307</x:v>
      </x:c>
      <x:c r="F27" s="24" t="n">
        <x:f>F23+F24-F25-F26</x:f>
        <x:v>63.731684164385676</x:v>
      </x:c>
      <x:c r="G27" s="24" t="n">
        <x:f>G23+G24-G25-G26</x:f>
        <x:v>62.362227254799805</x:v>
      </x:c>
      <x:c r="H27" s="24" t="n">
        <x:f>H23+H24-H25-H26</x:f>
        <x:v>38.95758119172133</x:v>
      </x:c>
      <x:c r="I27" s="52" t="str">
        <x:f>IF(AND(ISNUMBER(I23),ISNUMBER(I24),ISNUMBER(I25),ISNUMBER(I26)),I23+I24-I25-I26,"")</x:f>
      </x:c>
      <x:c r="J27" s="52" t="str">
        <x:f>IF(AND(ISNUMBER(J23),ISNUMBER(J24),ISNUMBER(J25),ISNUMBER(J26)),J23+J24-J25-J26,"")</x:f>
      </x:c>
      <x:c r="K27" s="52" t="str">
        <x:f>IF(AND(ISNUMBER(K23),ISNUMBER(K24),ISNUMBER(K25),ISNUMBER(K26)),K23+K24-K25-K26,"")</x:f>
      </x:c>
      <x:c r="L27" s="52" t="str">
        <x:f>IF(AND(ISNUMBER(L23),ISNUMBER(L24),ISNUMBER(L25),ISNUMBER(L26)),L23+L24-L25-L26,"")</x:f>
      </x:c>
      <x:c r="M27" s="52" t="str">
        <x:f>IF(AND(ISNUMBER(M23),ISNUMBER(M24),ISNUMBER(M25),ISNUMBER(M26)),M23+M24-M25-M26,"")</x:f>
      </x:c>
      <x:c r="N27" s="2"/>
      <x:c r="O27" s="2"/>
      <x:c r="P27" s="2"/>
    </x:row>
    <x:row r="28" ht="19" customHeight="1">
      <x:c r="A28" s="2"/>
      <x:c r="B28" s="2"/>
      <x:c r="C28" s="2"/>
      <x:c r="D28" s="2"/>
      <x:c r="E28" s="2"/>
      <x:c r="F28" s="2"/>
      <x:c r="G28" s="2"/>
      <x:c r="H28" s="2"/>
      <x:c r="I28" s="34"/>
      <x:c r="J28" s="34"/>
      <x:c r="K28" s="34"/>
      <x:c r="L28" s="34"/>
      <x:c r="M28" s="34"/>
      <x:c r="N28" s="2"/>
      <x:c r="O28" s="2"/>
      <x:c r="P28" s="2"/>
    </x:row>
    <x:row r="29" ht="19" customHeight="1">
      <x:c r="A29" s="2"/>
      <x:c r="B29" s="2"/>
      <x:c r="C29" s="2"/>
      <x:c r="D29" s="2"/>
      <x:c r="E29" s="2"/>
      <x:c r="F29" s="2"/>
      <x:c r="G29" s="2"/>
      <x:c r="H29" s="2"/>
      <x:c r="I29" s="34"/>
      <x:c r="J29" s="34"/>
      <x:c r="K29" s="34"/>
      <x:c r="L29" s="34"/>
      <x:c r="M29" s="34"/>
      <x:c r="N29" s="2"/>
      <x:c r="O29" s="2"/>
      <x:c r="P29" s="2"/>
    </x:row>
    <x:row r="30" ht="19" customHeight="1">
      <x:c r="A30" s="2"/>
      <x:c r="B30" s="2"/>
      <x:c r="C30" s="2" t="str">
        <x:v>Model average receivable days</x:v>
      </x:c>
      <x:c r="D30" s="31" t="n">
        <x:f>(D8+'01_Sources'!D27)/2/'02_Historical_FS'!D43*365</x:f>
        <x:v>40.857845585471566</x:v>
      </x:c>
      <x:c r="E30" s="31" t="n">
        <x:f>(E8+D8)/2/'02_Historical_FS'!E43*365</x:f>
        <x:v>32.8964401764757</x:v>
      </x:c>
      <x:c r="F30" s="31" t="n">
        <x:f>(F8+E8)/2/'02_Historical_FS'!F43*365</x:f>
        <x:v>33.32157146861067</x:v>
      </x:c>
      <x:c r="G30" s="31" t="n">
        <x:f>(G8+F8)/2/'02_Historical_FS'!G43*365</x:f>
        <x:v>37.81711557224321</x:v>
      </x:c>
      <x:c r="H30" s="31" t="n">
        <x:f>(H8+G8)/2/'02_Historical_FS'!H43*365</x:f>
        <x:v>40.15213411036889</x:v>
      </x:c>
      <x:c r="I30" s="53" t="str">
        <x:f>IF(AND(ISNUMBER(H8),ISNUMBER(I8),ISNUMBER('05_Segment_Forecast'!I24)),(H8+I8)/2/'05_Segment_Forecast'!I24*365,"")</x:f>
      </x:c>
      <x:c r="J30" s="53" t="str">
        <x:f>IF(AND(ISNUMBER(I8),ISNUMBER(J8),ISNUMBER('05_Segment_Forecast'!J24)),(I8+J8)/2/'05_Segment_Forecast'!J24*365,"")</x:f>
      </x:c>
      <x:c r="K30" s="53" t="str">
        <x:f>IF(AND(ISNUMBER(J8),ISNUMBER(K8),ISNUMBER('05_Segment_Forecast'!K24)),(J8+K8)/2/'05_Segment_Forecast'!K24*365,"")</x:f>
      </x:c>
      <x:c r="L30" s="53" t="str">
        <x:f>IF(AND(ISNUMBER(K8),ISNUMBER(L8),ISNUMBER('05_Segment_Forecast'!L24)),(K8+L8)/2/'05_Segment_Forecast'!L24*365,"")</x:f>
      </x:c>
      <x:c r="M30" s="53" t="str">
        <x:f>IF(AND(ISNUMBER(L8),ISNUMBER(M8),ISNUMBER('05_Segment_Forecast'!M24)),(L8+M8)/2/'05_Segment_Forecast'!M24*365,"")</x:f>
      </x:c>
      <x:c r="N30" s="2"/>
      <x:c r="O30" s="13" t="str">
        <x:v>Average = opening/closing mean. FY22 opening balances from AR22 FY21 comparative in Sources.</x:v>
      </x:c>
      <x:c r="P30" s="2"/>
    </x:row>
    <x:row r="31" ht="19" customHeight="1">
      <x:c r="A31" s="2"/>
      <x:c r="B31" s="2"/>
      <x:c r="C31" s="2" t="str">
        <x:v>Model average inventory days</x:v>
      </x:c>
      <x:c r="D31" s="31" t="n">
        <x:f>(D10+'01_Sources'!D28)/2/'02_Historical_FS'!D11*365</x:f>
        <x:v>80.73688054609094</x:v>
      </x:c>
      <x:c r="E31" s="31" t="n">
        <x:f>(E10+D10)/2/'02_Historical_FS'!E11*365</x:f>
        <x:v>89.43701445623665</x:v>
      </x:c>
      <x:c r="F31" s="31" t="n">
        <x:f>(F10+E10)/2/'02_Historical_FS'!F11*365</x:f>
        <x:v>91.06238518238403</x:v>
      </x:c>
      <x:c r="G31" s="31" t="n">
        <x:f>(G10+F10)/2/'02_Historical_FS'!G11*365</x:f>
        <x:v>79.55394710158917</x:v>
      </x:c>
      <x:c r="H31" s="31" t="n">
        <x:f>(H10+G10)/2/'02_Historical_FS'!H11*365</x:f>
        <x:v>77.97448376966727</x:v>
      </x:c>
      <x:c r="I31" s="53" t="str">
        <x:f>IF(AND(ISNUMBER(H10),ISNUMBER(I10),ISNUMBER('06_3Statement_Model'!I10)),(H10+I10)/2/'06_3Statement_Model'!I10*365,"")</x:f>
      </x:c>
      <x:c r="J31" s="53" t="str">
        <x:f>IF(AND(ISNUMBER(I10),ISNUMBER(J10),ISNUMBER('06_3Statement_Model'!J10)),(I10+J10)/2/'06_3Statement_Model'!J10*365,"")</x:f>
      </x:c>
      <x:c r="K31" s="53" t="str">
        <x:f>IF(AND(ISNUMBER(J10),ISNUMBER(K10),ISNUMBER('06_3Statement_Model'!K10)),(J10+K10)/2/'06_3Statement_Model'!K10*365,"")</x:f>
      </x:c>
      <x:c r="L31" s="53" t="str">
        <x:f>IF(AND(ISNUMBER(K10),ISNUMBER(L10),ISNUMBER('06_3Statement_Model'!L10)),(K10+L10)/2/'06_3Statement_Model'!L10*365,"")</x:f>
      </x:c>
      <x:c r="M31" s="53" t="str">
        <x:f>IF(AND(ISNUMBER(L10),ISNUMBER(M10),ISNUMBER('06_3Statement_Model'!M10)),(L10+M10)/2/'06_3Statement_Model'!M10*365,"")</x:f>
      </x:c>
      <x:c r="N31" s="2"/>
      <x:c r="O31" s="2"/>
      <x:c r="P31" s="2"/>
    </x:row>
    <x:row r="32" ht="19" customHeight="1">
      <x:c r="A32" s="2"/>
      <x:c r="B32" s="2"/>
      <x:c r="C32" s="2" t="str">
        <x:v>Model average payable days, incl acceptances</x:v>
      </x:c>
      <x:c r="D32" s="31" t="n">
        <x:f>(D11+D12+'01_Sources'!D29)/2/'02_Historical_FS'!D11*365</x:f>
        <x:v>49.46451420902214</x:v>
      </x:c>
      <x:c r="E32" s="31" t="n">
        <x:f>(E11+E12+SUM(D11:D12))/2/'02_Historical_FS'!E11*365</x:f>
        <x:v>56.43255865151744</x:v>
      </x:c>
      <x:c r="F32" s="31" t="n">
        <x:f>(F11+F12+SUM(E11:E12))/2/'02_Historical_FS'!F11*365</x:f>
        <x:v>67.28118154099067</x:v>
      </x:c>
      <x:c r="G32" s="31" t="n">
        <x:f>(G11+G12+SUM(F11:F12))/2/'02_Historical_FS'!G11*365</x:f>
        <x:v>60.714811581177536</x:v>
      </x:c>
      <x:c r="H32" s="31" t="n">
        <x:f>(H11+H12+SUM(G11:G12))/2/'02_Historical_FS'!H11*365</x:f>
        <x:v>74.41685119502509</x:v>
      </x:c>
      <x:c r="I32" s="53" t="str">
        <x:f>IF(AND(ISNUMBER(H11),ISNUMBER(H12),ISNUMBER(I11),ISNUMBER(I12),ISNUMBER('06_3Statement_Model'!I10)),(H11+H12+I11+I12)/2/'06_3Statement_Model'!I10*365,"")</x:f>
      </x:c>
      <x:c r="J32" s="53" t="str">
        <x:f>IF(AND(ISNUMBER(I11),ISNUMBER(I12),ISNUMBER(J11),ISNUMBER(J12),ISNUMBER('06_3Statement_Model'!J10)),(I11+I12+J11+J12)/2/'06_3Statement_Model'!J10*365,"")</x:f>
      </x:c>
      <x:c r="K32" s="53" t="str">
        <x:f>IF(AND(ISNUMBER(J11),ISNUMBER(J12),ISNUMBER(K11),ISNUMBER(K12),ISNUMBER('06_3Statement_Model'!K10)),(J11+J12+K11+K12)/2/'06_3Statement_Model'!K10*365,"")</x:f>
      </x:c>
      <x:c r="L32" s="53" t="str">
        <x:f>IF(AND(ISNUMBER(K11),ISNUMBER(K12),ISNUMBER(L11),ISNUMBER(L12),ISNUMBER('06_3Statement_Model'!L10)),(K11+K12+L11+L12)/2/'06_3Statement_Model'!L10*365,"")</x:f>
      </x:c>
      <x:c r="M32" s="53" t="str">
        <x:f>IF(AND(ISNUMBER(L11),ISNUMBER(L12),ISNUMBER(M11),ISNUMBER(M12),ISNUMBER('06_3Statement_Model'!M10)),(L11+L12+M11+M12)/2/'06_3Statement_Model'!M10*365,"")</x:f>
      </x:c>
      <x:c r="N32" s="2"/>
      <x:c r="O32" s="2"/>
      <x:c r="P32" s="2"/>
    </x:row>
    <x:row r="33" ht="19" customHeight="1">
      <x:c r="A33" s="2"/>
      <x:c r="B33" s="2"/>
      <x:c r="C33" s="2" t="str">
        <x:v>Model average cash conversion cycle</x:v>
      </x:c>
      <x:c r="D33" s="24" t="n">
        <x:f>SUM(D30:D31)-D32</x:f>
        <x:v>72.13021192254037</x:v>
      </x:c>
      <x:c r="E33" s="24" t="n">
        <x:f>SUM(E30:E31)-E32</x:f>
        <x:v>65.9008959811949</x:v>
      </x:c>
      <x:c r="F33" s="24" t="n">
        <x:f>SUM(F30:F31)-F32</x:f>
        <x:v>57.10277511000403</x:v>
      </x:c>
      <x:c r="G33" s="24" t="n">
        <x:f>SUM(G30:G31)-G32</x:f>
        <x:v>56.65625109265485</x:v>
      </x:c>
      <x:c r="H33" s="24" t="n">
        <x:f>SUM(H30:H31)-H32</x:f>
        <x:v>43.709766685011076</x:v>
      </x:c>
      <x:c r="I33" s="52" t="str">
        <x:f>IF(AND(ISNUMBER(I30),ISNUMBER(I31),ISNUMBER(I32)),I30+I31-I32,"")</x:f>
      </x:c>
      <x:c r="J33" s="52" t="str">
        <x:f>IF(AND(ISNUMBER(J30),ISNUMBER(J31),ISNUMBER(J32)),J30+J31-J32,"")</x:f>
      </x:c>
      <x:c r="K33" s="52" t="str">
        <x:f>IF(AND(ISNUMBER(K30),ISNUMBER(K31),ISNUMBER(K32)),K30+K31-K32,"")</x:f>
      </x:c>
      <x:c r="L33" s="52" t="str">
        <x:f>IF(AND(ISNUMBER(L30),ISNUMBER(L31),ISNUMBER(L32)),L30+L31-L32,"")</x:f>
      </x:c>
      <x:c r="M33" s="52" t="str">
        <x:f>IF(AND(ISNUMBER(M30),ISNUMBER(M31),ISNUMBER(M32)),M30+M31-M32,"")</x:f>
      </x:c>
      <x:c r="N33" s="2"/>
      <x:c r="O33" s="2"/>
      <x:c r="P33" s="2"/>
    </x:row>
    <x:row r="34" ht="19" customHeight="1">
      <x:c r="A34" s="2"/>
      <x:c r="B34" s="2"/>
      <x:c r="C34" s="2"/>
      <x:c r="D34" s="2"/>
      <x:c r="E34" s="2"/>
      <x:c r="F34" s="2"/>
      <x:c r="G34" s="2"/>
      <x:c r="H34" s="2"/>
      <x:c r="I34" s="34"/>
      <x:c r="J34" s="34"/>
      <x:c r="K34" s="34"/>
      <x:c r="L34" s="34"/>
      <x:c r="M34" s="34"/>
      <x:c r="N34" s="2"/>
      <x:c r="O34" s="2"/>
      <x:c r="P34" s="2"/>
    </x:row>
    <x:row r="35" ht="19" customHeight="1">
      <x:c r="A35" s="2"/>
      <x:c r="B35" s="2"/>
      <x:c r="C35" s="2"/>
      <x:c r="D35" s="2"/>
      <x:c r="E35" s="2"/>
      <x:c r="F35" s="2"/>
      <x:c r="G35" s="2"/>
      <x:c r="H35" s="2"/>
      <x:c r="I35" s="34"/>
      <x:c r="J35" s="34"/>
      <x:c r="K35" s="34"/>
      <x:c r="L35" s="34"/>
      <x:c r="M35" s="34"/>
      <x:c r="N35" s="2"/>
      <x:c r="O35" s="2"/>
      <x:c r="P35" s="2"/>
    </x:row>
    <x:row r="36" ht="19" customHeight="1">
      <x:c r="A36" s="2"/>
      <x:c r="B36" s="2"/>
      <x:c r="C36" s="2" t="str">
        <x:v>Company closing receivable days</x:v>
      </x:c>
      <x:c r="D36" s="31" t="n">
        <x:f>IF(ISNUMBER('02_Historical_FS'!D162),'02_Historical_FS'!D162,"")</x:f>
        <x:v>39</x:v>
      </x:c>
      <x:c r="E36" s="31" t="n">
        <x:f>IF(ISNUMBER('02_Historical_FS'!E162),'02_Historical_FS'!E162,"")</x:f>
        <x:v>32</x:v>
      </x:c>
      <x:c r="F36" s="31" t="n">
        <x:f>IF(ISNUMBER('02_Historical_FS'!F162),'02_Historical_FS'!F162,"")</x:f>
        <x:v>41</x:v>
      </x:c>
      <x:c r="G36" s="31" t="n">
        <x:f>IF(ISNUMBER('02_Historical_FS'!G162),'02_Historical_FS'!G162,"")</x:f>
        <x:v>42</x:v>
      </x:c>
      <x:c r="H36" s="31" t="n">
        <x:f>IF(ISNUMBER('02_Historical_FS'!H162),'02_Historical_FS'!H162,"")</x:f>
        <x:v>47</x:v>
      </x:c>
      <x:c r="I36" s="35"/>
      <x:c r="J36" s="35"/>
      <x:c r="K36" s="35"/>
      <x:c r="L36" s="35"/>
      <x:c r="M36" s="35"/>
      <x:c r="N36" s="2"/>
      <x:c r="O36" s="13" t="str">
        <x:v>AR26 p520 five-year series. FY25 presentation comparator conflicts; both are documented in Sources.</x:v>
      </x:c>
      <x:c r="P36" s="2"/>
    </x:row>
    <x:row r="37" ht="19" customHeight="1">
      <x:c r="A37" s="2"/>
      <x:c r="B37" s="2"/>
      <x:c r="C37" s="2" t="str">
        <x:v>Company closing inventory days</x:v>
      </x:c>
      <x:c r="D37" s="31" t="n">
        <x:f>IF(ISNUMBER('02_Historical_FS'!D163),'02_Historical_FS'!D163,"")</x:f>
        <x:v>85</x:v>
      </x:c>
      <x:c r="E37" s="31" t="n">
        <x:f>IF(ISNUMBER('02_Historical_FS'!E163),'02_Historical_FS'!E163,"")</x:f>
        <x:v>102</x:v>
      </x:c>
      <x:c r="F37" s="31" t="n">
        <x:f>IF(ISNUMBER('02_Historical_FS'!F163),'02_Historical_FS'!F163,"")</x:f>
        <x:v>101</x:v>
      </x:c>
      <x:c r="G37" s="31" t="n">
        <x:f>IF(ISNUMBER('02_Historical_FS'!G163),'02_Historical_FS'!G163,"")</x:f>
        <x:v>79</x:v>
      </x:c>
      <x:c r="H37" s="31" t="n">
        <x:f>IF(ISNUMBER('02_Historical_FS'!H163),'02_Historical_FS'!H163,"")</x:f>
        <x:v>94</x:v>
      </x:c>
      <x:c r="I37" s="35"/>
      <x:c r="J37" s="35"/>
      <x:c r="K37" s="35"/>
      <x:c r="L37" s="35"/>
      <x:c r="M37" s="35"/>
      <x:c r="N37" s="2"/>
      <x:c r="O37" s="2"/>
      <x:c r="P37" s="2"/>
    </x:row>
    <x:row r="38" ht="19" customHeight="1">
      <x:c r="A38" s="2"/>
      <x:c r="B38" s="2"/>
      <x:c r="C38" s="2" t="str">
        <x:v>Company closing payable days</x:v>
      </x:c>
      <x:c r="D38" s="31" t="n">
        <x:f>IF(ISNUMBER('02_Historical_FS'!D164),'02_Historical_FS'!D164,"")</x:f>
        <x:v>63</x:v>
      </x:c>
      <x:c r="E38" s="31" t="n">
        <x:f>IF(ISNUMBER('02_Historical_FS'!E164),'02_Historical_FS'!E164,"")</x:f>
        <x:v>85</x:v>
      </x:c>
      <x:c r="F38" s="31" t="n">
        <x:f>IF(ISNUMBER('02_Historical_FS'!F164),'02_Historical_FS'!F164,"")</x:f>
        <x:v>94</x:v>
      </x:c>
      <x:c r="G38" s="31" t="n">
        <x:f>IF(ISNUMBER('02_Historical_FS'!G164),'02_Historical_FS'!G164,"")</x:f>
        <x:v>72</x:v>
      </x:c>
      <x:c r="H38" s="31" t="n">
        <x:f>IF(ISNUMBER('02_Historical_FS'!H164),'02_Historical_FS'!H164,"")</x:f>
        <x:v>130</x:v>
      </x:c>
      <x:c r="I38" s="35"/>
      <x:c r="J38" s="35"/>
      <x:c r="K38" s="35"/>
      <x:c r="L38" s="35"/>
      <x:c r="M38" s="35"/>
      <x:c r="N38" s="2"/>
      <x:c r="O38" s="2"/>
      <x:c r="P38" s="2"/>
    </x:row>
    <x:row r="39" ht="19" customHeight="1">
      <x:c r="A39" s="2"/>
      <x:c r="B39" s="2"/>
      <x:c r="C39" s="2" t="str">
        <x:v>Company closing cash-cycle days</x:v>
      </x:c>
      <x:c r="D39" s="31" t="n">
        <x:f>IF(ISNUMBER('02_Historical_FS'!D165),'02_Historical_FS'!D165,"")</x:f>
        <x:v>61</x:v>
      </x:c>
      <x:c r="E39" s="31" t="n">
        <x:f>IF(ISNUMBER('02_Historical_FS'!E165),'02_Historical_FS'!E165,"")</x:f>
        <x:v>50</x:v>
      </x:c>
      <x:c r="F39" s="31" t="n">
        <x:f>IF(ISNUMBER('02_Historical_FS'!F165),'02_Historical_FS'!F165,"")</x:f>
        <x:v>48</x:v>
      </x:c>
      <x:c r="G39" s="31" t="n">
        <x:f>IF(ISNUMBER('02_Historical_FS'!G165),'02_Historical_FS'!G165,"")</x:f>
        <x:v>49</x:v>
      </x:c>
      <x:c r="H39" s="31" t="n">
        <x:f>IF(ISNUMBER('02_Historical_FS'!H165),'02_Historical_FS'!H165,"")</x:f>
        <x:v>11</x:v>
      </x:c>
      <x:c r="I39" s="35"/>
      <x:c r="J39" s="35"/>
      <x:c r="K39" s="35"/>
      <x:c r="L39" s="35"/>
      <x:c r="M39" s="35"/>
      <x:c r="N39" s="2"/>
      <x:c r="O39" s="2"/>
      <x:c r="P39" s="2"/>
    </x:row>
    <x:row r="40" ht="19" customHeight="1">
      <x:c r="A40" s="2"/>
      <x:c r="B40" s="2"/>
      <x:c r="C40" s="2"/>
      <x:c r="D40" s="2"/>
      <x:c r="E40" s="2"/>
      <x:c r="F40" s="2"/>
      <x:c r="G40" s="2"/>
      <x:c r="H40" s="2"/>
      <x:c r="I40" s="34"/>
      <x:c r="J40" s="34"/>
      <x:c r="K40" s="34"/>
      <x:c r="L40" s="34"/>
      <x:c r="M40" s="34"/>
      <x:c r="N40" s="2"/>
      <x:c r="O40" s="2"/>
      <x:c r="P40" s="2"/>
    </x:row>
    <x:row r="41" ht="19" customHeight="1">
      <x:c r="A41" s="2"/>
      <x:c r="B41" s="2"/>
      <x:c r="C41" s="2"/>
      <x:c r="D41" s="2"/>
      <x:c r="E41" s="2"/>
      <x:c r="F41" s="2"/>
      <x:c r="G41" s="2"/>
      <x:c r="H41" s="2"/>
      <x:c r="I41" s="34"/>
      <x:c r="J41" s="34"/>
      <x:c r="K41" s="34"/>
      <x:c r="L41" s="34"/>
      <x:c r="M41" s="34"/>
      <x:c r="N41" s="2"/>
      <x:c r="O41" s="2"/>
      <x:c r="P41" s="2"/>
    </x:row>
    <x:row r="42" ht="19" customHeight="1">
      <x:c r="A42" s="2"/>
      <x:c r="B42" s="2"/>
      <x:c r="C42" s="2"/>
      <x:c r="D42" s="2"/>
      <x:c r="E42" s="2"/>
      <x:c r="F42" s="2"/>
      <x:c r="G42" s="2"/>
      <x:c r="H42" s="2"/>
      <x:c r="I42" s="34"/>
      <x:c r="J42" s="34"/>
      <x:c r="K42" s="34"/>
      <x:c r="L42" s="34"/>
      <x:c r="M42" s="34"/>
      <x:c r="N42" s="2"/>
      <x:c r="O42" s="2"/>
      <x:c r="P42" s="2"/>
    </x:row>
    <x:row r="43" ht="19" customHeight="1">
      <x:c r="A43" s="2"/>
      <x:c r="B43" s="2"/>
      <x:c r="C43" s="2"/>
      <x:c r="D43" s="2"/>
      <x:c r="E43" s="2"/>
      <x:c r="F43" s="2"/>
      <x:c r="G43" s="2"/>
      <x:c r="H43" s="2"/>
      <x:c r="I43" s="34"/>
      <x:c r="J43" s="34"/>
      <x:c r="K43" s="34"/>
      <x:c r="L43" s="34"/>
      <x:c r="M43" s="34"/>
      <x:c r="N43" s="2"/>
      <x:c r="O43" s="2"/>
      <x:c r="P43" s="2"/>
    </x:row>
    <x:row r="44" ht="19" customHeight="1">
      <x:c r="A44" s="2"/>
      <x:c r="B44" s="2"/>
      <x:c r="C44" s="2"/>
      <x:c r="D44" s="2"/>
      <x:c r="E44" s="2"/>
      <x:c r="F44" s="2"/>
      <x:c r="G44" s="2"/>
      <x:c r="H44" s="2"/>
      <x:c r="I44" s="34"/>
      <x:c r="J44" s="34"/>
      <x:c r="K44" s="34"/>
      <x:c r="L44" s="34"/>
      <x:c r="M44" s="34"/>
      <x:c r="N44" s="2"/>
      <x:c r="O44" s="2"/>
      <x:c r="P44" s="2"/>
    </x:row>
    <x:row r="45" ht="19" customHeight="1">
      <x:c r="A45" s="2"/>
      <x:c r="B45" s="2"/>
      <x:c r="C45" s="2"/>
      <x:c r="D45" s="2"/>
      <x:c r="E45" s="2"/>
      <x:c r="F45" s="2"/>
      <x:c r="G45" s="2"/>
      <x:c r="H45" s="2"/>
      <x:c r="I45" s="34"/>
      <x:c r="J45" s="34"/>
      <x:c r="K45" s="34"/>
      <x:c r="L45" s="34"/>
      <x:c r="M45" s="34"/>
      <x:c r="N45" s="2"/>
      <x:c r="O45" s="2"/>
      <x:c r="P45" s="2"/>
    </x:row>
    <x:row r="46" ht="19" customHeight="1">
      <x:c r="A46" s="2"/>
      <x:c r="B46" s="2"/>
      <x:c r="C46" s="2"/>
      <x:c r="D46" s="2"/>
      <x:c r="E46" s="2"/>
      <x:c r="F46" s="2"/>
      <x:c r="G46" s="2"/>
      <x:c r="H46" s="2"/>
      <x:c r="I46" s="34"/>
      <x:c r="J46" s="34"/>
      <x:c r="K46" s="34"/>
      <x:c r="L46" s="34"/>
      <x:c r="M46" s="34"/>
      <x:c r="N46" s="2"/>
      <x:c r="O46" s="2"/>
      <x:c r="P46" s="2"/>
    </x:row>
    <x:row r="47" ht="19" customHeight="1">
      <x:c r="A47" s="2"/>
      <x:c r="B47" s="2"/>
      <x:c r="C47" s="2"/>
      <x:c r="D47" s="2"/>
      <x:c r="E47" s="2"/>
      <x:c r="F47" s="2"/>
      <x:c r="G47" s="2"/>
      <x:c r="H47" s="2"/>
      <x:c r="I47" s="34"/>
      <x:c r="J47" s="34"/>
      <x:c r="K47" s="34"/>
      <x:c r="L47" s="34"/>
      <x:c r="M47" s="34"/>
      <x:c r="N47" s="2"/>
      <x:c r="O47" s="2"/>
      <x:c r="P47" s="2"/>
    </x:row>
    <x:row r="48" ht="19" customHeight="1">
      <x:c r="A48" s="2"/>
      <x:c r="B48" s="2"/>
      <x:c r="C48" s="2"/>
      <x:c r="D48" s="2"/>
      <x:c r="E48" s="2"/>
      <x:c r="F48" s="2"/>
      <x:c r="G48" s="2"/>
      <x:c r="H48" s="2"/>
      <x:c r="I48" s="34"/>
      <x:c r="J48" s="34"/>
      <x:c r="K48" s="34"/>
      <x:c r="L48" s="34"/>
      <x:c r="M48" s="34"/>
      <x:c r="N48" s="2"/>
      <x:c r="O48" s="2"/>
      <x:c r="P48" s="2"/>
    </x:row>
    <x:row r="49" ht="19" customHeight="1">
      <x:c r="A49" s="2"/>
      <x:c r="B49" s="2"/>
      <x:c r="C49" s="2"/>
      <x:c r="D49" s="2"/>
      <x:c r="E49" s="2"/>
      <x:c r="F49" s="2"/>
      <x:c r="G49" s="2"/>
      <x:c r="H49" s="2"/>
      <x:c r="I49" s="34"/>
      <x:c r="J49" s="34"/>
      <x:c r="K49" s="34"/>
      <x:c r="L49" s="34"/>
      <x:c r="M49" s="34"/>
      <x:c r="N49" s="2"/>
      <x:c r="O49" s="2"/>
      <x:c r="P49" s="2"/>
    </x:row>
    <x:row r="50" ht="19" customHeight="1">
      <x:c r="A50" s="2"/>
      <x:c r="B50" s="2"/>
      <x:c r="C50" s="2"/>
      <x:c r="D50" s="2"/>
      <x:c r="E50" s="2"/>
      <x:c r="F50" s="2"/>
      <x:c r="G50" s="2"/>
      <x:c r="H50" s="2"/>
      <x:c r="I50" s="34"/>
      <x:c r="J50" s="34"/>
      <x:c r="K50" s="34"/>
      <x:c r="L50" s="34"/>
      <x:c r="M50" s="34"/>
      <x:c r="N50" s="2"/>
      <x:c r="O50" s="2"/>
      <x:c r="P50" s="2"/>
    </x:row>
    <x:row r="51" ht="19" customHeight="1">
      <x:c r="A51" s="2"/>
      <x:c r="B51" s="2"/>
      <x:c r="C51" s="2"/>
      <x:c r="D51" s="2"/>
      <x:c r="E51" s="2"/>
      <x:c r="F51" s="2"/>
      <x:c r="G51" s="2"/>
      <x:c r="H51" s="2"/>
      <x:c r="I51" s="34"/>
      <x:c r="J51" s="34"/>
      <x:c r="K51" s="34"/>
      <x:c r="L51" s="34"/>
      <x:c r="M51" s="34"/>
      <x:c r="N51" s="2"/>
      <x:c r="O51" s="2"/>
      <x:c r="P51" s="2"/>
    </x:row>
    <x:row r="52" ht="19" customHeight="1">
      <x:c r="A52" s="2"/>
      <x:c r="B52" s="2"/>
      <x:c r="C52" s="2"/>
      <x:c r="D52" s="2"/>
      <x:c r="E52" s="2"/>
      <x:c r="F52" s="2"/>
      <x:c r="G52" s="2"/>
      <x:c r="H52" s="2"/>
      <x:c r="I52" s="34"/>
      <x:c r="J52" s="34"/>
      <x:c r="K52" s="34"/>
      <x:c r="L52" s="34"/>
      <x:c r="M52" s="34"/>
      <x:c r="N52" s="2"/>
      <x:c r="O52" s="2"/>
      <x:c r="P52" s="2"/>
    </x:row>
    <x:row r="53" ht="19" customHeight="1">
      <x:c r="A53" s="2"/>
      <x:c r="B53" s="2"/>
      <x:c r="C53" s="2"/>
      <x:c r="D53" s="2"/>
      <x:c r="E53" s="2"/>
      <x:c r="F53" s="2"/>
      <x:c r="G53" s="2"/>
      <x:c r="H53" s="2"/>
      <x:c r="I53" s="34"/>
      <x:c r="J53" s="34"/>
      <x:c r="K53" s="34"/>
      <x:c r="L53" s="34"/>
      <x:c r="M53" s="34"/>
      <x:c r="N53" s="2"/>
      <x:c r="O53" s="2"/>
      <x:c r="P53" s="2"/>
    </x:row>
    <x:row r="54" ht="19" customHeight="1">
      <x:c r="A54" s="2"/>
      <x:c r="B54" s="2"/>
      <x:c r="C54" s="2"/>
      <x:c r="D54" s="2"/>
      <x:c r="E54" s="2"/>
      <x:c r="F54" s="2"/>
      <x:c r="G54" s="2"/>
      <x:c r="H54" s="2"/>
      <x:c r="I54" s="34"/>
      <x:c r="J54" s="34"/>
      <x:c r="K54" s="34"/>
      <x:c r="L54" s="34"/>
      <x:c r="M54" s="34"/>
      <x:c r="N54" s="2"/>
      <x:c r="O54" s="2"/>
      <x:c r="P54" s="2"/>
    </x:row>
    <x:row r="55" ht="19" customHeight="1">
      <x:c r="A55" s="2"/>
      <x:c r="B55" s="2"/>
      <x:c r="C55" s="2"/>
      <x:c r="D55" s="2"/>
      <x:c r="E55" s="2"/>
      <x:c r="F55" s="2"/>
      <x:c r="G55" s="2"/>
      <x:c r="H55" s="2"/>
      <x:c r="I55" s="34"/>
      <x:c r="J55" s="34"/>
      <x:c r="K55" s="34"/>
      <x:c r="L55" s="34"/>
      <x:c r="M55" s="34"/>
      <x:c r="N55" s="2"/>
      <x:c r="O55" s="2"/>
      <x:c r="P55" s="2"/>
    </x:row>
    <x:row r="56" ht="19" customHeight="1">
      <x:c r="A56" s="2"/>
      <x:c r="B56" s="2"/>
      <x:c r="C56" s="2"/>
      <x:c r="D56" s="2"/>
      <x:c r="E56" s="2"/>
      <x:c r="F56" s="2"/>
      <x:c r="G56" s="2"/>
      <x:c r="H56" s="2"/>
      <x:c r="I56" s="34"/>
      <x:c r="J56" s="34"/>
      <x:c r="K56" s="34"/>
      <x:c r="L56" s="34"/>
      <x:c r="M56" s="34"/>
      <x:c r="N56" s="2"/>
      <x:c r="O56" s="2"/>
      <x:c r="P56" s="2"/>
    </x:row>
    <x:row r="57" ht="19" customHeight="1">
      <x:c r="A57" s="2"/>
      <x:c r="B57" s="2"/>
      <x:c r="C57" s="2"/>
      <x:c r="D57" s="2"/>
      <x:c r="E57" s="2"/>
      <x:c r="F57" s="2"/>
      <x:c r="G57" s="2"/>
      <x:c r="H57" s="2"/>
      <x:c r="I57" s="34"/>
      <x:c r="J57" s="34"/>
      <x:c r="K57" s="34"/>
      <x:c r="L57" s="34"/>
      <x:c r="M57" s="34"/>
      <x:c r="N57" s="2"/>
      <x:c r="O57" s="2"/>
      <x:c r="P57" s="2"/>
    </x:row>
    <x:row r="58" ht="19" customHeight="1">
      <x:c r="A58" s="2"/>
      <x:c r="B58" s="2"/>
      <x:c r="C58" s="2"/>
      <x:c r="D58" s="2"/>
      <x:c r="E58" s="2"/>
      <x:c r="F58" s="2"/>
      <x:c r="G58" s="2"/>
      <x:c r="H58" s="2"/>
      <x:c r="I58" s="34"/>
      <x:c r="J58" s="34"/>
      <x:c r="K58" s="34"/>
      <x:c r="L58" s="34"/>
      <x:c r="M58" s="34"/>
      <x:c r="N58" s="2"/>
      <x:c r="O58" s="2"/>
      <x:c r="P58" s="2"/>
    </x:row>
    <x:row r="59" ht="19" customHeight="1">
      <x:c r="A59" s="2"/>
      <x:c r="B59" s="2"/>
      <x:c r="C59" s="2"/>
      <x:c r="D59" s="2"/>
      <x:c r="E59" s="2"/>
      <x:c r="F59" s="2"/>
      <x:c r="G59" s="2"/>
      <x:c r="H59" s="2"/>
      <x:c r="I59" s="34"/>
      <x:c r="J59" s="34"/>
      <x:c r="K59" s="34"/>
      <x:c r="L59" s="34"/>
      <x:c r="M59" s="34"/>
      <x:c r="N59" s="2"/>
      <x:c r="O59" s="2"/>
      <x:c r="P59" s="2"/>
    </x:row>
    <x:row r="60" ht="19" customHeight="1">
      <x:c r="A60" s="2"/>
      <x:c r="B60" s="2"/>
      <x:c r="C60" s="2"/>
      <x:c r="D60" s="2"/>
      <x:c r="E60" s="2"/>
      <x:c r="F60" s="2"/>
      <x:c r="G60" s="2"/>
      <x:c r="H60" s="2"/>
      <x:c r="I60" s="34"/>
      <x:c r="J60" s="34"/>
      <x:c r="K60" s="34"/>
      <x:c r="L60" s="34"/>
      <x:c r="M60" s="34"/>
      <x:c r="N60" s="2"/>
      <x:c r="O60" s="2"/>
      <x:c r="P60" s="2"/>
    </x:row>
    <x:row r="61" ht="19" customHeight="1">
      <x:c r="A61" s="2"/>
      <x:c r="B61" s="2"/>
      <x:c r="C61" s="2"/>
      <x:c r="D61" s="2"/>
      <x:c r="E61" s="2"/>
      <x:c r="F61" s="2"/>
      <x:c r="G61" s="2"/>
      <x:c r="H61" s="2"/>
      <x:c r="I61" s="34"/>
      <x:c r="J61" s="34"/>
      <x:c r="K61" s="34"/>
      <x:c r="L61" s="34"/>
      <x:c r="M61" s="34"/>
      <x:c r="N61" s="2"/>
      <x:c r="O61" s="2"/>
      <x:c r="P61" s="2"/>
    </x:row>
    <x:row r="62" ht="19" customHeight="1">
      <x:c r="A62" s="2"/>
      <x:c r="B62" s="2"/>
      <x:c r="C62" s="2"/>
      <x:c r="D62" s="2"/>
      <x:c r="E62" s="2"/>
      <x:c r="F62" s="2"/>
      <x:c r="G62" s="2"/>
      <x:c r="H62" s="2"/>
      <x:c r="I62" s="34"/>
      <x:c r="J62" s="34"/>
      <x:c r="K62" s="34"/>
      <x:c r="L62" s="34"/>
      <x:c r="M62" s="34"/>
      <x:c r="N62" s="2"/>
      <x:c r="O62" s="2"/>
      <x:c r="P62" s="2"/>
    </x:row>
    <x:row r="63" ht="19" customHeight="1">
      <x:c r="A63" s="2"/>
      <x:c r="B63" s="2"/>
      <x:c r="C63" s="2"/>
      <x:c r="D63" s="2"/>
      <x:c r="E63" s="2"/>
      <x:c r="F63" s="2"/>
      <x:c r="G63" s="2"/>
      <x:c r="H63" s="2"/>
      <x:c r="I63" s="34"/>
      <x:c r="J63" s="34"/>
      <x:c r="K63" s="34"/>
      <x:c r="L63" s="34"/>
      <x:c r="M63" s="34"/>
      <x:c r="N63" s="2"/>
      <x:c r="O63" s="2"/>
      <x:c r="P63" s="2"/>
    </x:row>
    <x:row r="64" ht="19" customHeight="1">
      <x:c r="A64" s="2"/>
      <x:c r="B64" s="2"/>
      <x:c r="C64" s="2"/>
      <x:c r="D64" s="2"/>
      <x:c r="E64" s="2"/>
      <x:c r="F64" s="2"/>
      <x:c r="G64" s="2"/>
      <x:c r="H64" s="2"/>
      <x:c r="I64" s="34"/>
      <x:c r="J64" s="34"/>
      <x:c r="K64" s="34"/>
      <x:c r="L64" s="34"/>
      <x:c r="M64" s="34"/>
      <x:c r="N64" s="2"/>
      <x:c r="O64" s="2"/>
      <x:c r="P64" s="2"/>
    </x:row>
    <x:row r="65" ht="19" customHeight="1">
      <x:c r="A65" s="2"/>
      <x:c r="B65" s="2"/>
      <x:c r="C65" s="2"/>
      <x:c r="D65" s="2"/>
      <x:c r="E65" s="2"/>
      <x:c r="F65" s="2"/>
      <x:c r="G65" s="2"/>
      <x:c r="H65" s="2"/>
      <x:c r="I65" s="34"/>
      <x:c r="J65" s="34"/>
      <x:c r="K65" s="34"/>
      <x:c r="L65" s="34"/>
      <x:c r="M65" s="34"/>
      <x:c r="N65" s="2"/>
      <x:c r="O65" s="2"/>
      <x:c r="P65" s="2"/>
    </x:row>
  </x:sheetData>
  <x:mergeCells>
    <x:mergeCell ref="C4:M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7791AA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5" hidden="0" customWidth="1"/>
    <x:col min="16" max="16" width="3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9" customHeight="1">
      <x:c r="A2" s="2"/>
      <x:c r="B2" s="2"/>
      <x:c r="C2" s="3" t="str">
        <x:v>Fixed assets and capital expenditure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</x:row>
    <x:row r="4" ht="30" customHeight="1">
      <x:c r="A4" s="2"/>
      <x:c r="B4" s="2"/>
      <x:c r="C4" s="84" t="str">
        <x:v>Cash capex and book assets use separate definitions. Future cash-to-book adjustments require inputs.</x:v>
      </x:c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2"/>
      <x:c r="O4" s="2" t="str">
        <x:v>Active case</x:v>
      </x:c>
      <x:c r="P4" s="2"/>
    </x:row>
    <x:row r="5" ht="1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70" t="str">
        <x:f>CHOOSE('00_Cover'!D10,"Base","Bull","Bear")</x:f>
        <x:v>Base</x:v>
      </x:c>
      <x:c r="P5" s="2"/>
    </x:row>
    <x:row r="6" ht="19" customHeight="1">
      <x:c r="A6" s="2"/>
      <x:c r="B6" s="2"/>
      <x:c r="C6" s="2" t="str">
        <x:v>INR million, unless specified</x:v>
      </x:c>
      <x:c r="D6" s="8" t="str">
        <x:v>FY22A</x:v>
      </x:c>
      <x:c r="E6" s="8" t="str">
        <x:v>FY23A</x:v>
      </x:c>
      <x:c r="F6" s="8" t="str">
        <x:v>FY24A</x:v>
      </x:c>
      <x:c r="G6" s="8" t="str">
        <x:v>FY25A</x:v>
      </x:c>
      <x:c r="H6" s="8" t="str">
        <x:v>FY26A</x:v>
      </x:c>
      <x:c r="I6" s="33" t="str">
        <x:v>FY27E</x:v>
      </x:c>
      <x:c r="J6" s="33" t="str">
        <x:v>FY28E</x:v>
      </x:c>
      <x:c r="K6" s="33" t="str">
        <x:v>FY29E</x:v>
      </x:c>
      <x:c r="L6" s="33" t="str">
        <x:v>FY30E</x:v>
      </x:c>
      <x:c r="M6" s="33" t="str">
        <x:v>FY31E</x:v>
      </x:c>
      <x:c r="N6" s="2"/>
      <x:c r="O6" s="2"/>
      <x:c r="P6" s="2"/>
    </x:row>
    <x:row r="7" ht="19" customHeight="1">
      <x:c r="A7" s="2"/>
      <x:c r="B7" s="2"/>
      <x:c r="C7" s="2"/>
      <x:c r="D7" s="2"/>
      <x:c r="E7" s="2"/>
      <x:c r="F7" s="2"/>
      <x:c r="G7" s="2"/>
      <x:c r="H7" s="2"/>
      <x:c r="I7" s="34"/>
      <x:c r="J7" s="34"/>
      <x:c r="K7" s="34"/>
      <x:c r="L7" s="34"/>
      <x:c r="M7" s="34"/>
      <x:c r="N7" s="2"/>
      <x:c r="O7" s="2"/>
      <x:c r="P7" s="2"/>
    </x:row>
    <x:row r="8" ht="19" customHeight="1">
      <x:c r="A8" s="2"/>
      <x:c r="B8" s="2"/>
      <x:c r="C8" s="2" t="str">
        <x:v>PPE, net</x:v>
      </x:c>
      <x:c r="D8" s="31" t="n">
        <x:f>IF(ISNUMBER('02_Historical_FS'!D68),'02_Historical_FS'!D68,"")</x:f>
        <x:v>16170.25</x:v>
      </x:c>
      <x:c r="E8" s="31" t="n">
        <x:f>IF(ISNUMBER('02_Historical_FS'!E68),'02_Historical_FS'!E68,"")</x:f>
        <x:v>20104.28</x:v>
      </x:c>
      <x:c r="F8" s="31" t="n">
        <x:f>IF(ISNUMBER('02_Historical_FS'!F68),'02_Historical_FS'!F68,"")</x:f>
        <x:v>21677.57</x:v>
      </x:c>
      <x:c r="G8" s="31" t="n">
        <x:f>IF(ISNUMBER('02_Historical_FS'!G68),'02_Historical_FS'!G68,"")</x:f>
        <x:v>27913.26</x:v>
      </x:c>
      <x:c r="H8" s="31" t="n">
        <x:f>IF(ISNUMBER('02_Historical_FS'!H68),'02_Historical_FS'!H68,"")</x:f>
        <x:v>35050.71</x:v>
      </x:c>
      <x:c r="I8" s="35"/>
      <x:c r="J8" s="35"/>
      <x:c r="K8" s="35"/>
      <x:c r="L8" s="35"/>
      <x:c r="M8" s="35"/>
      <x:c r="N8" s="2"/>
      <x:c r="O8" s="2"/>
      <x:c r="P8" s="2"/>
    </x:row>
    <x:row r="9" ht="19" customHeight="1">
      <x:c r="A9" s="2"/>
      <x:c r="B9" s="2"/>
      <x:c r="C9" s="2" t="str">
        <x:v>Capital work-in-progress</x:v>
      </x:c>
      <x:c r="D9" s="31" t="n">
        <x:f>IF(ISNUMBER('02_Historical_FS'!D69),'02_Historical_FS'!D69,"")</x:f>
        <x:v>3754.5</x:v>
      </x:c>
      <x:c r="E9" s="31" t="n">
        <x:f>IF(ISNUMBER('02_Historical_FS'!E69),'02_Historical_FS'!E69,"")</x:f>
        <x:v>2507.67</x:v>
      </x:c>
      <x:c r="F9" s="31" t="n">
        <x:f>IF(ISNUMBER('02_Historical_FS'!F69),'02_Historical_FS'!F69,"")</x:f>
        <x:v>5784.46</x:v>
      </x:c>
      <x:c r="G9" s="31" t="n">
        <x:f>IF(ISNUMBER('02_Historical_FS'!G69),'02_Historical_FS'!G69,"")</x:f>
        <x:v>7081.44</x:v>
      </x:c>
      <x:c r="H9" s="31" t="n">
        <x:f>IF(ISNUMBER('02_Historical_FS'!H69),'02_Historical_FS'!H69,"")</x:f>
        <x:v>11392.59</x:v>
      </x:c>
      <x:c r="I9" s="35"/>
      <x:c r="J9" s="35"/>
      <x:c r="K9" s="35"/>
      <x:c r="L9" s="35"/>
      <x:c r="M9" s="35"/>
      <x:c r="N9" s="2"/>
      <x:c r="O9" s="2"/>
      <x:c r="P9" s="2"/>
    </x:row>
    <x:row r="10" ht="19" customHeight="1">
      <x:c r="A10" s="2"/>
      <x:c r="B10" s="2"/>
      <x:c r="C10" s="2" t="str">
        <x:v>Right-of-use assets</x:v>
      </x:c>
      <x:c r="D10" s="31" t="n">
        <x:f>IF(ISNUMBER('02_Historical_FS'!D71),'02_Historical_FS'!D71,"")</x:f>
        <x:v>351.36</x:v>
      </x:c>
      <x:c r="E10" s="31" t="n">
        <x:f>IF(ISNUMBER('02_Historical_FS'!E71),'02_Historical_FS'!E71,"")</x:f>
        <x:v>361.82</x:v>
      </x:c>
      <x:c r="F10" s="31" t="n">
        <x:f>IF(ISNUMBER('02_Historical_FS'!F71),'02_Historical_FS'!F71,"")</x:f>
        <x:v>728.26</x:v>
      </x:c>
      <x:c r="G10" s="31" t="n">
        <x:f>IF(ISNUMBER('02_Historical_FS'!G71),'02_Historical_FS'!G71,"")</x:f>
        <x:v>1309.71</x:v>
      </x:c>
      <x:c r="H10" s="31" t="n">
        <x:f>IF(ISNUMBER('02_Historical_FS'!H71),'02_Historical_FS'!H71,"")</x:f>
        <x:v>1426.27</x:v>
      </x:c>
      <x:c r="I10" s="35"/>
      <x:c r="J10" s="35"/>
      <x:c r="K10" s="35"/>
      <x:c r="L10" s="35"/>
      <x:c r="M10" s="35"/>
      <x:c r="N10" s="2"/>
      <x:c r="O10" s="2"/>
      <x:c r="P10" s="2"/>
    </x:row>
    <x:row r="11" ht="19" customHeight="1">
      <x:c r="A11" s="2"/>
      <x:c r="B11" s="2"/>
      <x:c r="C11" s="2" t="str">
        <x:v>Intangible assets</x:v>
      </x:c>
      <x:c r="D11" s="31" t="n">
        <x:f>IF(ISNUMBER('02_Historical_FS'!D72),'02_Historical_FS'!D72,"")</x:f>
        <x:v>183.4</x:v>
      </x:c>
      <x:c r="E11" s="31" t="n">
        <x:f>IF(ISNUMBER('02_Historical_FS'!E72),'02_Historical_FS'!E72,"")</x:f>
        <x:v>157.08</x:v>
      </x:c>
      <x:c r="F11" s="31" t="n">
        <x:f>IF(ISNUMBER('02_Historical_FS'!F72),'02_Historical_FS'!F72,"")</x:f>
        <x:v>160.17</x:v>
      </x:c>
      <x:c r="G11" s="31" t="n">
        <x:f>IF(ISNUMBER('02_Historical_FS'!G72),'02_Historical_FS'!G72,"")</x:f>
        <x:v>98.45</x:v>
      </x:c>
      <x:c r="H11" s="31" t="n">
        <x:f>IF(ISNUMBER('02_Historical_FS'!H72),'02_Historical_FS'!H72,"")</x:f>
        <x:v>40.97</x:v>
      </x:c>
      <x:c r="I11" s="35"/>
      <x:c r="J11" s="35"/>
      <x:c r="K11" s="35"/>
      <x:c r="L11" s="35"/>
      <x:c r="M11" s="35"/>
      <x:c r="N11" s="2"/>
      <x:c r="O11" s="2"/>
      <x:c r="P11" s="2"/>
    </x:row>
    <x:row r="12" ht="19" customHeight="1">
      <x:c r="A12" s="2"/>
      <x:c r="B12" s="2"/>
      <x:c r="C12" s="2" t="str">
        <x:v>Investment property under construction</x:v>
      </x:c>
      <x:c r="D12" s="31" t="n">
        <x:f>IF(ISNUMBER('02_Historical_FS'!D70),'02_Historical_FS'!D70,"")</x:f>
        <x:v>0</x:v>
      </x:c>
      <x:c r="E12" s="31" t="n">
        <x:f>IF(ISNUMBER('02_Historical_FS'!E70),'02_Historical_FS'!E70,"")</x:f>
        <x:v>0</x:v>
      </x:c>
      <x:c r="F12" s="31" t="n">
        <x:f>IF(ISNUMBER('02_Historical_FS'!F70),'02_Historical_FS'!F70,"")</x:f>
        <x:v>762.98</x:v>
      </x:c>
      <x:c r="G12" s="31" t="n">
        <x:f>IF(ISNUMBER('02_Historical_FS'!G70),'02_Historical_FS'!G70,"")</x:f>
        <x:v>790.08</x:v>
      </x:c>
      <x:c r="H12" s="31" t="n">
        <x:f>IF(ISNUMBER('02_Historical_FS'!H70),'02_Historical_FS'!H70,"")</x:f>
        <x:v>883.02</x:v>
      </x:c>
      <x:c r="I12" s="35"/>
      <x:c r="J12" s="35"/>
      <x:c r="K12" s="35"/>
      <x:c r="L12" s="35"/>
      <x:c r="M12" s="35"/>
      <x:c r="N12" s="2"/>
      <x:c r="O12" s="2"/>
      <x:c r="P12" s="2"/>
    </x:row>
    <x:row r="13" ht="19" customHeight="1">
      <x:c r="A13" s="2"/>
      <x:c r="B13" s="2"/>
      <x:c r="C13" s="2" t="str">
        <x:v>Goodwill</x:v>
      </x:c>
      <x:c r="D13" s="31" t="n">
        <x:f>IF(ISNUMBER('02_Historical_FS'!D73),'02_Historical_FS'!D73,"")</x:f>
        <x:v>46.22</x:v>
      </x:c>
      <x:c r="E13" s="31" t="n">
        <x:f>IF(ISNUMBER('02_Historical_FS'!E73),'02_Historical_FS'!E73,"")</x:f>
        <x:v>46.22</x:v>
      </x:c>
      <x:c r="F13" s="31" t="n">
        <x:f>IF(ISNUMBER('02_Historical_FS'!F73),'02_Historical_FS'!F73,"")</x:f>
        <x:v>46.22</x:v>
      </x:c>
      <x:c r="G13" s="31" t="n">
        <x:f>IF(ISNUMBER('02_Historical_FS'!G73),'02_Historical_FS'!G73,"")</x:f>
        <x:v>0</x:v>
      </x:c>
      <x:c r="H13" s="31" t="n">
        <x:f>IF(ISNUMBER('02_Historical_FS'!H73),'02_Historical_FS'!H73,"")</x:f>
        <x:v>0</x:v>
      </x:c>
      <x:c r="I13" s="35"/>
      <x:c r="J13" s="35"/>
      <x:c r="K13" s="35"/>
      <x:c r="L13" s="35"/>
      <x:c r="M13" s="35"/>
      <x:c r="N13" s="2"/>
      <x:c r="O13" s="2"/>
      <x:c r="P13" s="2"/>
    </x:row>
    <x:row r="14" ht="19" customHeight="1">
      <x:c r="A14" s="2"/>
      <x:c r="B14" s="2"/>
      <x:c r="C14" s="2"/>
      <x:c r="D14" s="2"/>
      <x:c r="E14" s="2"/>
      <x:c r="F14" s="2"/>
      <x:c r="G14" s="2"/>
      <x:c r="H14" s="2"/>
      <x:c r="I14" s="34"/>
      <x:c r="J14" s="34"/>
      <x:c r="K14" s="34"/>
      <x:c r="L14" s="34"/>
      <x:c r="M14" s="34"/>
      <x:c r="N14" s="2"/>
      <x:c r="O14" s="2"/>
      <x:c r="P14" s="2"/>
    </x:row>
    <x:row r="15" ht="19" customHeight="1">
      <x:c r="A15" s="2"/>
      <x:c r="B15" s="2"/>
      <x:c r="C15" s="18" t="str">
        <x:v>Total fixed assets, model perimeter</x:v>
      </x:c>
      <x:c r="D15" s="23" t="n">
        <x:f>SUM(D8:D13)</x:f>
        <x:v>20505.730000000003</x:v>
      </x:c>
      <x:c r="E15" s="23" t="n">
        <x:f>SUM(E8:E13)</x:f>
        <x:v>23177.07</x:v>
      </x:c>
      <x:c r="F15" s="23" t="n">
        <x:f>SUM(F8:F13)</x:f>
        <x:v>29159.659999999996</x:v>
      </x:c>
      <x:c r="G15" s="23" t="n">
        <x:f>SUM(G8:G13)</x:f>
        <x:v>37192.939999999995</x:v>
      </x:c>
      <x:c r="H15" s="23" t="n">
        <x:f>SUM(H8:H13)</x:f>
        <x:v>48793.56</x:v>
      </x:c>
      <x:c r="I15" s="23" t="str">
        <x:f>IF(AND(ISNUMBER(I23)),I23,"")</x:f>
      </x:c>
      <x:c r="J15" s="23" t="str">
        <x:f>IF(AND(ISNUMBER(J23)),J23,"")</x:f>
      </x:c>
      <x:c r="K15" s="23" t="str">
        <x:f>IF(AND(ISNUMBER(K23)),K23,"")</x:f>
      </x:c>
      <x:c r="L15" s="23" t="str">
        <x:f>IF(AND(ISNUMBER(L23)),L23,"")</x:f>
      </x:c>
      <x:c r="M15" s="23" t="str">
        <x:f>IF(AND(ISNUMBER(M23)),M23,"")</x:f>
      </x:c>
      <x:c r="N15" s="2"/>
      <x:c r="O15" s="2"/>
      <x:c r="P15" s="2"/>
    </x:row>
    <x:row r="16" ht="19" customHeight="1">
      <x:c r="A16" s="2"/>
      <x:c r="B16" s="2"/>
      <x:c r="C16" s="2"/>
      <x:c r="D16" s="2"/>
      <x:c r="E16" s="2"/>
      <x:c r="F16" s="2"/>
      <x:c r="G16" s="2"/>
      <x:c r="H16" s="2"/>
      <x:c r="I16" s="34"/>
      <x:c r="J16" s="34"/>
      <x:c r="K16" s="34"/>
      <x:c r="L16" s="34"/>
      <x:c r="M16" s="34"/>
      <x:c r="N16" s="2"/>
      <x:c r="O16" s="2"/>
      <x:c r="P16" s="2"/>
    </x:row>
    <x:row r="17" ht="19" customHeight="1">
      <x:c r="A17" s="2"/>
      <x:c r="B17" s="2"/>
      <x:c r="C17" s="2" t="str">
        <x:v>Opening net fixed assets</x:v>
      </x:c>
      <x:c r="D17" s="31" t="n">
        <x:f>'01_Sources'!D31</x:f>
        <x:v>19686.5</x:v>
      </x:c>
      <x:c r="E17" s="24" t="n">
        <x:f>D15</x:f>
        <x:v>20505.730000000003</x:v>
      </x:c>
      <x:c r="F17" s="24" t="n">
        <x:f>E15</x:f>
        <x:v>23177.07</x:v>
      </x:c>
      <x:c r="G17" s="24" t="n">
        <x:f>F15</x:f>
        <x:v>29159.659999999996</x:v>
      </x:c>
      <x:c r="H17" s="24" t="n">
        <x:f>G15</x:f>
        <x:v>37192.939999999995</x:v>
      </x:c>
      <x:c r="I17" s="52" t="n">
        <x:f>IF(AND(ISNUMBER(H15)),H15,"")</x:f>
        <x:v>48793.56</x:v>
      </x:c>
      <x:c r="J17" s="52" t="str">
        <x:f>IF(AND(ISNUMBER(I15)),I15,"")</x:f>
      </x:c>
      <x:c r="K17" s="52" t="str">
        <x:f>IF(AND(ISNUMBER(J15)),J15,"")</x:f>
      </x:c>
      <x:c r="L17" s="52" t="str">
        <x:f>IF(AND(ISNUMBER(K15)),K15,"")</x:f>
      </x:c>
      <x:c r="M17" s="52" t="str">
        <x:f>IF(AND(ISNUMBER(L15)),L15,"")</x:f>
      </x:c>
      <x:c r="N17" s="2"/>
      <x:c r="O17" s="2"/>
      <x:c r="P17" s="2"/>
    </x:row>
    <x:row r="18" ht="19" customHeight="1">
      <x:c r="A18" s="2"/>
      <x:c r="B18" s="2"/>
      <x:c r="C18" s="2" t="str">
        <x:v>Gross cash capex</x:v>
      </x:c>
      <x:c r="D18" s="31" t="n">
        <x:f>IF(ISNUMBER('02_Historical_FS'!D28),'02_Historical_FS'!D28,"")</x:f>
        <x:v>5266.929999999999</x:v>
      </x:c>
      <x:c r="E18" s="31" t="n">
        <x:f>IF(ISNUMBER('02_Historical_FS'!E28),'02_Historical_FS'!E28,"")</x:f>
        <x:v>4794.53</x:v>
      </x:c>
      <x:c r="F18" s="31" t="n">
        <x:f>IF(ISNUMBER('02_Historical_FS'!F28),'02_Historical_FS'!F28,"")</x:f>
        <x:v>8585.189999999999</x:v>
      </x:c>
      <x:c r="G18" s="31" t="n">
        <x:f>IF(ISNUMBER('02_Historical_FS'!G28),'02_Historical_FS'!G28,"")</x:f>
        <x:v>9724.44</x:v>
      </x:c>
      <x:c r="H18" s="31" t="n">
        <x:f>IF(ISNUMBER('02_Historical_FS'!H28),'02_Historical_FS'!H28,"")</x:f>
        <x:v>14898.080000000002</x:v>
      </x:c>
      <x:c r="I18" s="53" t="str">
        <x:f>IF(AND(ISNUMBER('05_Segment_Forecast'!I24),ISNUMBER('04_Drivers'!I69)),'05_Segment_Forecast'!I24*'04_Drivers'!I69,"")</x:f>
      </x:c>
      <x:c r="J18" s="53" t="str">
        <x:f>IF(AND(ISNUMBER('05_Segment_Forecast'!J24),ISNUMBER('04_Drivers'!J69)),'05_Segment_Forecast'!J24*'04_Drivers'!J69,"")</x:f>
      </x:c>
      <x:c r="K18" s="53" t="str">
        <x:f>IF(AND(ISNUMBER('05_Segment_Forecast'!K24),ISNUMBER('04_Drivers'!K69)),'05_Segment_Forecast'!K24*'04_Drivers'!K69,"")</x:f>
      </x:c>
      <x:c r="L18" s="53" t="str">
        <x:f>IF(AND(ISNUMBER('05_Segment_Forecast'!L24),ISNUMBER('04_Drivers'!L69)),'05_Segment_Forecast'!L24*'04_Drivers'!L69,"")</x:f>
      </x:c>
      <x:c r="M18" s="53" t="str">
        <x:f>IF(AND(ISNUMBER('05_Segment_Forecast'!M24),ISNUMBER('04_Drivers'!M69)),'05_Segment_Forecast'!M24*'04_Drivers'!M69,"")</x:f>
      </x:c>
      <x:c r="N18" s="2"/>
      <x:c r="O18" s="2"/>
      <x:c r="P18" s="2"/>
    </x:row>
    <x:row r="19" ht="19" customHeight="1">
      <x:c r="A19" s="2"/>
      <x:c r="B19" s="2"/>
      <x:c r="C19" s="2" t="str">
        <x:v>PPE disposal cash proceeds</x:v>
      </x:c>
      <x:c r="D19" s="31" t="n">
        <x:f>IF(ISNUMBER('02_Historical_FS'!D129),'02_Historical_FS'!D129,"")</x:f>
        <x:v>66.9</x:v>
      </x:c>
      <x:c r="E19" s="31" t="n">
        <x:f>IF(ISNUMBER('02_Historical_FS'!E129),'02_Historical_FS'!E129,"")</x:f>
        <x:v>210.35</x:v>
      </x:c>
      <x:c r="F19" s="31" t="n">
        <x:f>IF(ISNUMBER('02_Historical_FS'!F129),'02_Historical_FS'!F129,"")</x:f>
        <x:v>5.47</x:v>
      </x:c>
      <x:c r="G19" s="31" t="n">
        <x:f>IF(ISNUMBER('02_Historical_FS'!G129),'02_Historical_FS'!G129,"")</x:f>
        <x:v>141.07</x:v>
      </x:c>
      <x:c r="H19" s="31" t="n">
        <x:f>IF(ISNUMBER('02_Historical_FS'!H129),'02_Historical_FS'!H129,"")</x:f>
        <x:v>98.74</x:v>
      </x:c>
      <x:c r="I19" s="53" t="str">
        <x:f>IF(ISNUMBER('04_Drivers'!I79),'04_Drivers'!I79,"")</x:f>
      </x:c>
      <x:c r="J19" s="53" t="str">
        <x:f>IF(ISNUMBER('04_Drivers'!J79),'04_Drivers'!J79,"")</x:f>
      </x:c>
      <x:c r="K19" s="53" t="str">
        <x:f>IF(ISNUMBER('04_Drivers'!K79),'04_Drivers'!K79,"")</x:f>
      </x:c>
      <x:c r="L19" s="53" t="str">
        <x:f>IF(ISNUMBER('04_Drivers'!L79),'04_Drivers'!L79,"")</x:f>
      </x:c>
      <x:c r="M19" s="53" t="str">
        <x:f>IF(ISNUMBER('04_Drivers'!M79),'04_Drivers'!M79,"")</x:f>
      </x:c>
      <x:c r="N19" s="2"/>
      <x:c r="O19" s="2"/>
      <x:c r="P19" s="2"/>
    </x:row>
    <x:row r="20" ht="19" customHeight="1">
      <x:c r="A20" s="2"/>
      <x:c r="B20" s="2"/>
      <x:c r="C20" s="2" t="str">
        <x:v>Net cash capex</x:v>
      </x:c>
      <x:c r="D20" s="31" t="n">
        <x:f>IF(ISNUMBER('02_Historical_FS'!D29),'02_Historical_FS'!D29,"")</x:f>
        <x:v>5200.03</x:v>
      </x:c>
      <x:c r="E20" s="31" t="n">
        <x:f>IF(ISNUMBER('02_Historical_FS'!E29),'02_Historical_FS'!E29,"")</x:f>
        <x:v>4584.179999999999</x:v>
      </x:c>
      <x:c r="F20" s="31" t="n">
        <x:f>IF(ISNUMBER('02_Historical_FS'!F29),'02_Historical_FS'!F29,"")</x:f>
        <x:v>8579.72</x:v>
      </x:c>
      <x:c r="G20" s="31" t="n">
        <x:f>IF(ISNUMBER('02_Historical_FS'!G29),'02_Historical_FS'!G29,"")</x:f>
        <x:v>9583.37</x:v>
      </x:c>
      <x:c r="H20" s="31" t="n">
        <x:f>IF(ISNUMBER('02_Historical_FS'!H29),'02_Historical_FS'!H29,"")</x:f>
        <x:v>14799.340000000002</x:v>
      </x:c>
      <x:c r="I20" s="52" t="str">
        <x:f>IF(AND(ISNUMBER(I18),ISNUMBER(I19)),I18-I19,"")</x:f>
      </x:c>
      <x:c r="J20" s="52" t="str">
        <x:f>IF(AND(ISNUMBER(J18),ISNUMBER(J19)),J18-J19,"")</x:f>
      </x:c>
      <x:c r="K20" s="52" t="str">
        <x:f>IF(AND(ISNUMBER(K18),ISNUMBER(K19)),K18-K19,"")</x:f>
      </x:c>
      <x:c r="L20" s="52" t="str">
        <x:f>IF(AND(ISNUMBER(L18),ISNUMBER(L19)),L18-L19,"")</x:f>
      </x:c>
      <x:c r="M20" s="52" t="str">
        <x:f>IF(AND(ISNUMBER(M18),ISNUMBER(M19)),M18-M19,"")</x:f>
      </x:c>
      <x:c r="N20" s="2"/>
      <x:c r="O20" s="2"/>
      <x:c r="P20" s="2"/>
    </x:row>
    <x:row r="21" ht="19" customHeight="1">
      <x:c r="A21" s="2"/>
      <x:c r="B21" s="2"/>
      <x:c r="C21" s="2" t="str">
        <x:v>Depreciation and amortisation</x:v>
      </x:c>
      <x:c r="D21" s="31" t="n">
        <x:f>IF(ISNUMBER('02_Historical_FS'!D51),'02_Historical_FS'!D51,"")</x:f>
        <x:v>2015.19</x:v>
      </x:c>
      <x:c r="E21" s="31" t="n">
        <x:f>IF(ISNUMBER('02_Historical_FS'!E51),'02_Historical_FS'!E51,"")</x:f>
        <x:v>2091.64</x:v>
      </x:c>
      <x:c r="F21" s="31" t="n">
        <x:f>IF(ISNUMBER('02_Historical_FS'!F51),'02_Historical_FS'!F51,"")</x:f>
        <x:v>2450.4</x:v>
      </x:c>
      <x:c r="G21" s="31" t="n">
        <x:f>IF(ISNUMBER('02_Historical_FS'!G51),'02_Historical_FS'!G51,"")</x:f>
        <x:v>2981.03</x:v>
      </x:c>
      <x:c r="H21" s="31" t="n">
        <x:f>IF(ISNUMBER('02_Historical_FS'!H51),'02_Historical_FS'!H51,"")</x:f>
        <x:v>3858.69</x:v>
      </x:c>
      <x:c r="I21" s="53" t="str">
        <x:f>IF(AND(ISNUMBER('05_Segment_Forecast'!I24),ISNUMBER('04_Drivers'!I64)),'05_Segment_Forecast'!I24*'04_Drivers'!I64,"")</x:f>
      </x:c>
      <x:c r="J21" s="53" t="str">
        <x:f>IF(AND(ISNUMBER('05_Segment_Forecast'!J24),ISNUMBER('04_Drivers'!J64)),'05_Segment_Forecast'!J24*'04_Drivers'!J64,"")</x:f>
      </x:c>
      <x:c r="K21" s="53" t="str">
        <x:f>IF(AND(ISNUMBER('05_Segment_Forecast'!K24),ISNUMBER('04_Drivers'!K64)),'05_Segment_Forecast'!K24*'04_Drivers'!K64,"")</x:f>
      </x:c>
      <x:c r="L21" s="53" t="str">
        <x:f>IF(AND(ISNUMBER('05_Segment_Forecast'!L24),ISNUMBER('04_Drivers'!L64)),'05_Segment_Forecast'!L24*'04_Drivers'!L64,"")</x:f>
      </x:c>
      <x:c r="M21" s="53" t="str">
        <x:f>IF(AND(ISNUMBER('05_Segment_Forecast'!M24),ISNUMBER('04_Drivers'!M64)),'05_Segment_Forecast'!M24*'04_Drivers'!M64,"")</x:f>
      </x:c>
      <x:c r="N21" s="2"/>
      <x:c r="O21" s="2"/>
      <x:c r="P21" s="2"/>
    </x:row>
    <x:row r="22" ht="19" customHeight="1">
      <x:c r="A22" s="2"/>
      <x:c r="B22" s="2"/>
      <x:c r="C22" s="2" t="str">
        <x:v>Other book changes and cash-to-book difference</x:v>
      </x:c>
      <x:c r="D22" s="24" t="n">
        <x:f>D15-D17-D18+D21</x:f>
        <x:v>-2432.509999999996</x:v>
      </x:c>
      <x:c r="E22" s="24" t="n">
        <x:f>E15-E17-E18+E21</x:f>
        <x:v>-31.550000000003365</x:v>
      </x:c>
      <x:c r="F22" s="24" t="n">
        <x:f>F15-F17-F18+F21</x:f>
        <x:v>-152.2000000000021</x:v>
      </x:c>
      <x:c r="G22" s="24" t="n">
        <x:f>G15-G17-G18+G21</x:f>
        <x:v>1289.8699999999985</x:v>
      </x:c>
      <x:c r="H22" s="24" t="n">
        <x:f>H15-H17-H18+H21</x:f>
        <x:v>561.2300000000009</x:v>
      </x:c>
      <x:c r="I22" s="53" t="str">
        <x:f>IF(ISNUMBER('04_Drivers'!I74),'04_Drivers'!I74,"")</x:f>
      </x:c>
      <x:c r="J22" s="53" t="str">
        <x:f>IF(ISNUMBER('04_Drivers'!J74),'04_Drivers'!J74,"")</x:f>
      </x:c>
      <x:c r="K22" s="53" t="str">
        <x:f>IF(ISNUMBER('04_Drivers'!K74),'04_Drivers'!K74,"")</x:f>
      </x:c>
      <x:c r="L22" s="53" t="str">
        <x:f>IF(ISNUMBER('04_Drivers'!L74),'04_Drivers'!L74,"")</x:f>
      </x:c>
      <x:c r="M22" s="53" t="str">
        <x:f>IF(ISNUMBER('04_Drivers'!M74),'04_Drivers'!M74,"")</x:f>
      </x:c>
      <x:c r="N22" s="2"/>
      <x:c r="O22" s="13" t="str">
        <x:v>Historical residual = closing - opening - gross cash capex + D&amp;A. Includes non-cash grants, ROU changes, acquisitions, disposals, FX and capital-payable timing. Not a forecast plug.</x:v>
      </x:c>
      <x:c r="P22" s="2"/>
    </x:row>
    <x:row r="23" ht="19" customHeight="1">
      <x:c r="A23" s="2"/>
      <x:c r="B23" s="2"/>
      <x:c r="C23" s="18" t="str">
        <x:v>Closing net fixed assets</x:v>
      </x:c>
      <x:c r="D23" s="23" t="n">
        <x:f>D17+D18-D21+D22</x:f>
        <x:v>20505.730000000007</x:v>
      </x:c>
      <x:c r="E23" s="23" t="n">
        <x:f>E17+E18-E21+E22</x:f>
        <x:v>23177.07</x:v>
      </x:c>
      <x:c r="F23" s="23" t="n">
        <x:f>F17+F18-F21+F22</x:f>
        <x:v>29159.659999999996</x:v>
      </x:c>
      <x:c r="G23" s="23" t="n">
        <x:f>G17+G18-G21+G22</x:f>
        <x:v>37192.939999999995</x:v>
      </x:c>
      <x:c r="H23" s="23" t="n">
        <x:f>H17+H18-H21+H22</x:f>
        <x:v>48793.56</x:v>
      </x:c>
      <x:c r="I23" s="23" t="str">
        <x:f>IF(AND(ISNUMBER(I17),ISNUMBER(I18),ISNUMBER(I21),ISNUMBER(I22)),I17+I18-I21+I22,"")</x:f>
      </x:c>
      <x:c r="J23" s="23" t="str">
        <x:f>IF(AND(ISNUMBER(J17),ISNUMBER(J18),ISNUMBER(J21),ISNUMBER(J22)),J17+J18-J21+J22,"")</x:f>
      </x:c>
      <x:c r="K23" s="23" t="str">
        <x:f>IF(AND(ISNUMBER(K17),ISNUMBER(K18),ISNUMBER(K21),ISNUMBER(K22)),K17+K18-K21+K22,"")</x:f>
      </x:c>
      <x:c r="L23" s="23" t="str">
        <x:f>IF(AND(ISNUMBER(L17),ISNUMBER(L18),ISNUMBER(L21),ISNUMBER(L22)),L17+L18-L21+L22,"")</x:f>
      </x:c>
      <x:c r="M23" s="23" t="str">
        <x:f>IF(AND(ISNUMBER(M17),ISNUMBER(M18),ISNUMBER(M21),ISNUMBER(M22)),M17+M18-M21+M22,"")</x:f>
      </x:c>
      <x:c r="N23" s="2"/>
      <x:c r="O23" s="2"/>
      <x:c r="P23" s="2"/>
    </x:row>
    <x:row r="24" ht="19" customHeight="1">
      <x:c r="A24" s="2"/>
      <x:c r="B24" s="2"/>
      <x:c r="C24" s="2" t="str">
        <x:v>Roll-forward less balance-sheet fixed assets</x:v>
      </x:c>
      <x:c r="D24" s="93" t="n">
        <x:f>D23-D15</x:f>
        <x:v>3.637978807091713e-12</x:v>
      </x:c>
      <x:c r="E24" s="93" t="n">
        <x:f>E23-E15</x:f>
        <x:v>0</x:v>
      </x:c>
      <x:c r="F24" s="93" t="n">
        <x:f>F23-F15</x:f>
        <x:v>0</x:v>
      </x:c>
      <x:c r="G24" s="93" t="n">
        <x:f>G23-G15</x:f>
        <x:v>0</x:v>
      </x:c>
      <x:c r="H24" s="93" t="n">
        <x:f>H23-H15</x:f>
        <x:v>0</x:v>
      </x:c>
      <x:c r="I24" s="94"/>
      <x:c r="J24" s="94"/>
      <x:c r="K24" s="94"/>
      <x:c r="L24" s="94"/>
      <x:c r="M24" s="94"/>
      <x:c r="N24" s="2"/>
      <x:c r="O24" s="2"/>
      <x:c r="P24" s="2"/>
    </x:row>
    <x:row r="25" ht="19" customHeight="1">
      <x:c r="A25" s="2"/>
      <x:c r="B25" s="2"/>
      <x:c r="C25" s="2"/>
      <x:c r="D25" s="2"/>
      <x:c r="E25" s="2"/>
      <x:c r="F25" s="2"/>
      <x:c r="G25" s="2"/>
      <x:c r="H25" s="2"/>
      <x:c r="I25" s="34"/>
      <x:c r="J25" s="34"/>
      <x:c r="K25" s="34"/>
      <x:c r="L25" s="34"/>
      <x:c r="M25" s="34"/>
      <x:c r="N25" s="2"/>
      <x:c r="O25" s="2"/>
      <x:c r="P25" s="2"/>
    </x:row>
    <x:row r="26" ht="19" customHeight="1">
      <x:c r="A26" s="2"/>
      <x:c r="B26" s="2"/>
      <x:c r="C26" s="2"/>
      <x:c r="D26" s="2"/>
      <x:c r="E26" s="2"/>
      <x:c r="F26" s="2"/>
      <x:c r="G26" s="2"/>
      <x:c r="H26" s="2"/>
      <x:c r="I26" s="34"/>
      <x:c r="J26" s="34"/>
      <x:c r="K26" s="34"/>
      <x:c r="L26" s="34"/>
      <x:c r="M26" s="34"/>
      <x:c r="N26" s="2"/>
      <x:c r="O26" s="2"/>
      <x:c r="P26" s="2"/>
    </x:row>
    <x:row r="27" ht="19" customHeight="1">
      <x:c r="A27" s="2"/>
      <x:c r="B27" s="2"/>
      <x:c r="C27" s="21" t="str">
        <x:v>Gross cash capex / revenue</x:v>
      </x:c>
      <x:c r="D27" s="32" t="n">
        <x:f>D18/'02_Historical_FS'!D43</x:f>
        <x:v>0.043158252607536314</x:v>
      </x:c>
      <x:c r="E27" s="32" t="n">
        <x:f>E18/'02_Historical_FS'!E43</x:f>
        <x:v>0.033985011672284605</x:v>
      </x:c>
      <x:c r="F27" s="32" t="n">
        <x:f>F18/'02_Historical_FS'!F43</x:f>
        <x:v>0.04759121179122815</x:v>
      </x:c>
      <x:c r="G27" s="32" t="n">
        <x:f>G18/'02_Historical_FS'!G43</x:f>
        <x:v>0.04339657340559283</x:v>
      </x:c>
      <x:c r="H27" s="32" t="n">
        <x:f>H18/'02_Historical_FS'!H43</x:f>
        <x:v>0.05157937711225729</x:v>
      </x:c>
      <x:c r="I27" s="51" t="str">
        <x:f>IF(ISNUMBER('04_Drivers'!I69),'04_Drivers'!I69,"")</x:f>
      </x:c>
      <x:c r="J27" s="51" t="str">
        <x:f>IF(ISNUMBER('04_Drivers'!J69),'04_Drivers'!J69,"")</x:f>
      </x:c>
      <x:c r="K27" s="51" t="str">
        <x:f>IF(ISNUMBER('04_Drivers'!K69),'04_Drivers'!K69,"")</x:f>
      </x:c>
      <x:c r="L27" s="51" t="str">
        <x:f>IF(ISNUMBER('04_Drivers'!L69),'04_Drivers'!L69,"")</x:f>
      </x:c>
      <x:c r="M27" s="51" t="str">
        <x:f>IF(ISNUMBER('04_Drivers'!M69),'04_Drivers'!M69,"")</x:f>
      </x:c>
      <x:c r="N27" s="2"/>
      <x:c r="O27" s="2"/>
      <x:c r="P27" s="2"/>
    </x:row>
    <x:row r="28" ht="19" customHeight="1">
      <x:c r="A28" s="2"/>
      <x:c r="B28" s="2"/>
      <x:c r="C28" s="21" t="str">
        <x:v>D&amp;A / revenue</x:v>
      </x:c>
      <x:c r="D28" s="32" t="n">
        <x:f>D21/'02_Historical_FS'!D43</x:f>
        <x:v>0.016512860256768385</x:v>
      </x:c>
      <x:c r="E28" s="32" t="n">
        <x:f>E21/'02_Historical_FS'!E43</x:f>
        <x:v>0.014826147675417064</x:v>
      </x:c>
      <x:c r="F28" s="32" t="n">
        <x:f>F21/'02_Historical_FS'!F43</x:f>
        <x:v>0.013583567209721098</x:v>
      </x:c>
      <x:c r="G28" s="32" t="n">
        <x:f>G21/'02_Historical_FS'!G43</x:f>
        <x:v>0.01330323259943754</x:v>
      </x:c>
      <x:c r="H28" s="32" t="n">
        <x:f>H21/'02_Historical_FS'!H43</x:f>
        <x:v>0.013359360848464773</x:v>
      </x:c>
      <x:c r="I28" s="51" t="str">
        <x:f>IF(ISNUMBER('04_Drivers'!I64),'04_Drivers'!I64,"")</x:f>
      </x:c>
      <x:c r="J28" s="51" t="str">
        <x:f>IF(ISNUMBER('04_Drivers'!J64),'04_Drivers'!J64,"")</x:f>
      </x:c>
      <x:c r="K28" s="51" t="str">
        <x:f>IF(ISNUMBER('04_Drivers'!K64),'04_Drivers'!K64,"")</x:f>
      </x:c>
      <x:c r="L28" s="51" t="str">
        <x:f>IF(ISNUMBER('04_Drivers'!L64),'04_Drivers'!L64,"")</x:f>
      </x:c>
      <x:c r="M28" s="51" t="str">
        <x:f>IF(ISNUMBER('04_Drivers'!M64),'04_Drivers'!M64,"")</x:f>
      </x:c>
      <x:c r="N28" s="2"/>
      <x:c r="O28" s="2"/>
      <x:c r="P28" s="2"/>
    </x:row>
    <x:row r="29" ht="19" customHeight="1">
      <x:c r="A29" s="2"/>
      <x:c r="B29" s="2"/>
      <x:c r="C29" s="2"/>
      <x:c r="D29" s="2"/>
      <x:c r="E29" s="2"/>
      <x:c r="F29" s="2"/>
      <x:c r="G29" s="2"/>
      <x:c r="H29" s="2"/>
      <x:c r="I29" s="34"/>
      <x:c r="J29" s="34"/>
      <x:c r="K29" s="34"/>
      <x:c r="L29" s="34"/>
      <x:c r="M29" s="34"/>
      <x:c r="N29" s="2"/>
      <x:c r="O29" s="2"/>
      <x:c r="P29" s="2"/>
    </x:row>
    <x:row r="30" ht="19" customHeight="1">
      <x:c r="A30" s="2"/>
      <x:c r="B30" s="2"/>
      <x:c r="C30" s="2"/>
      <x:c r="D30" s="2"/>
      <x:c r="E30" s="2"/>
      <x:c r="F30" s="2"/>
      <x:c r="G30" s="2"/>
      <x:c r="H30" s="2"/>
      <x:c r="I30" s="34"/>
      <x:c r="J30" s="34"/>
      <x:c r="K30" s="34"/>
      <x:c r="L30" s="34"/>
      <x:c r="M30" s="34"/>
      <x:c r="N30" s="2"/>
      <x:c r="O30" s="2"/>
      <x:c r="P30" s="2"/>
    </x:row>
    <x:row r="31" ht="19" customHeight="1">
      <x:c r="A31" s="2"/>
      <x:c r="B31" s="2"/>
      <x:c r="C31" s="2" t="str">
        <x:v>Company capex, net of disposal</x:v>
      </x:c>
      <x:c r="D31" s="31" t="n">
        <x:f>IF(ISNUMBER('02_Historical_FS'!D158),'02_Historical_FS'!D158,"")</x:f>
        <x:v>5200.03</x:v>
      </x:c>
      <x:c r="E31" s="31" t="n">
        <x:f>IF(ISNUMBER('02_Historical_FS'!E158),'02_Historical_FS'!E158,"")</x:f>
        <x:v>4584.18</x:v>
      </x:c>
      <x:c r="F31" s="31" t="n">
        <x:f>IF(ISNUMBER('02_Historical_FS'!F158),'02_Historical_FS'!F158,"")</x:f>
        <x:v>8579.73</x:v>
      </x:c>
      <x:c r="G31" s="31" t="n">
        <x:f>IF(ISNUMBER('02_Historical_FS'!G158),'02_Historical_FS'!G158,"")</x:f>
        <x:v>9583.35</x:v>
      </x:c>
      <x:c r="H31" s="31" t="n">
        <x:f>IF(ISNUMBER('02_Historical_FS'!H158),'02_Historical_FS'!H158,"")</x:f>
        <x:v>14799.34</x:v>
      </x:c>
      <x:c r="I31" s="35"/>
      <x:c r="J31" s="35"/>
      <x:c r="K31" s="35"/>
      <x:c r="L31" s="35"/>
      <x:c r="M31" s="35"/>
      <x:c r="N31" s="2"/>
      <x:c r="O31" s="2"/>
      <x:c r="P31" s="2"/>
    </x:row>
    <x:row r="32" ht="19" customHeight="1">
      <x:c r="A32" s="2"/>
      <x:c r="B32" s="2"/>
      <x:c r="C32" s="2" t="str">
        <x:v>Company capex less model net cash capex</x:v>
      </x:c>
      <x:c r="D32" s="93" t="n">
        <x:f>D31-D20</x:f>
        <x:v>0</x:v>
      </x:c>
      <x:c r="E32" s="93" t="n">
        <x:f>E31-E20</x:f>
        <x:v>9.094947017729282e-13</x:v>
      </x:c>
      <x:c r="F32" s="93" t="n">
        <x:f>F31-F20</x:f>
        <x:v>0.010000000000218279</x:v>
      </x:c>
      <x:c r="G32" s="93" t="n">
        <x:f>G31-G20</x:f>
        <x:v>-0.020000000000436557</x:v>
      </x:c>
      <x:c r="H32" s="93" t="n">
        <x:f>H31-H20</x:f>
        <x:v>-1.8189894035458565e-12</x:v>
      </x:c>
      <x:c r="I32" s="94"/>
      <x:c r="J32" s="94"/>
      <x:c r="K32" s="94"/>
      <x:c r="L32" s="94"/>
      <x:c r="M32" s="94"/>
      <x:c r="N32" s="2"/>
      <x:c r="O32" s="2"/>
      <x:c r="P32" s="2"/>
    </x:row>
    <x:row r="33" ht="19" customHeight="1">
      <x:c r="A33" s="2"/>
      <x:c r="B33" s="2"/>
      <x:c r="C33" s="2"/>
      <x:c r="D33" s="2"/>
      <x:c r="E33" s="2"/>
      <x:c r="F33" s="2"/>
      <x:c r="G33" s="2"/>
      <x:c r="H33" s="2"/>
      <x:c r="I33" s="34"/>
      <x:c r="J33" s="34"/>
      <x:c r="K33" s="34"/>
      <x:c r="L33" s="34"/>
      <x:c r="M33" s="34"/>
      <x:c r="N33" s="2"/>
      <x:c r="O33" s="2"/>
      <x:c r="P33" s="2"/>
    </x:row>
    <x:row r="34" ht="19" customHeight="1">
      <x:c r="A34" s="2"/>
      <x:c r="B34" s="2"/>
      <x:c r="C34" s="2" t="str">
        <x:v>PPE acquired through government grants</x:v>
      </x:c>
      <x:c r="D34" s="31" t="n">
        <x:f>IF(ISNUMBER('02_Historical_FS'!D155),'02_Historical_FS'!D155,"")</x:f>
        <x:v>57.07</x:v>
      </x:c>
      <x:c r="E34" s="31" t="n">
        <x:f>IF(ISNUMBER('02_Historical_FS'!E155),'02_Historical_FS'!E155,"")</x:f>
        <x:v>129.18</x:v>
      </x:c>
      <x:c r="F34" s="31" t="n">
        <x:f>IF(ISNUMBER('02_Historical_FS'!F155),'02_Historical_FS'!F155,"")</x:f>
        <x:v>453.5</x:v>
      </x:c>
      <x:c r="G34" s="31" t="n">
        <x:f>IF(ISNUMBER('02_Historical_FS'!G155),'02_Historical_FS'!G155,"")</x:f>
        <x:v>673.05</x:v>
      </x:c>
      <x:c r="H34" s="31" t="n">
        <x:f>IF(ISNUMBER('02_Historical_FS'!H155),'02_Historical_FS'!H155,"")</x:f>
        <x:v>1163.61</x:v>
      </x:c>
      <x:c r="I34" s="35"/>
      <x:c r="J34" s="35"/>
      <x:c r="K34" s="35"/>
      <x:c r="L34" s="35"/>
      <x:c r="M34" s="35"/>
      <x:c r="N34" s="2"/>
      <x:c r="O34" s="13" t="str">
        <x:v>Supplemental disclosures are explanatory subsets of the residual and must not be added again.</x:v>
      </x:c>
      <x:c r="P34" s="2"/>
    </x:row>
    <x:row r="35" ht="19" customHeight="1">
      <x:c r="A35" s="2"/>
      <x:c r="B35" s="2"/>
      <x:c r="C35" s="2" t="str">
        <x:v>Non-cash right-of-use additions</x:v>
      </x:c>
      <x:c r="D35" s="31" t="n">
        <x:f>IF(ISNUMBER('02_Historical_FS'!D156),'02_Historical_FS'!D156,"")</x:f>
        <x:v>194.23</x:v>
      </x:c>
      <x:c r="E35" s="31" t="n">
        <x:f>IF(ISNUMBER('02_Historical_FS'!E156),'02_Historical_FS'!E156,"")</x:f>
        <x:v>173.44</x:v>
      </x:c>
      <x:c r="F35" s="31" t="n">
        <x:f>IF(ISNUMBER('02_Historical_FS'!F156),'02_Historical_FS'!F156,"")</x:f>
        <x:v>572.56</x:v>
      </x:c>
      <x:c r="G35" s="31" t="n">
        <x:f>IF(ISNUMBER('02_Historical_FS'!G156),'02_Historical_FS'!G156,"")</x:f>
        <x:v>899.01</x:v>
      </x:c>
      <x:c r="H35" s="31" t="n">
        <x:f>IF(ISNUMBER('02_Historical_FS'!H156),'02_Historical_FS'!H156,"")</x:f>
        <x:v>429.11</x:v>
      </x:c>
      <x:c r="I35" s="35"/>
      <x:c r="J35" s="35"/>
      <x:c r="K35" s="35"/>
      <x:c r="L35" s="35"/>
      <x:c r="M35" s="35"/>
      <x:c r="N35" s="2"/>
      <x:c r="O35" s="2"/>
      <x:c r="P35" s="2"/>
    </x:row>
    <x:row r="36" ht="19" customHeight="1">
      <x:c r="A36" s="2"/>
      <x:c r="B36" s="2"/>
      <x:c r="C36" s="2"/>
      <x:c r="D36" s="2"/>
      <x:c r="E36" s="2"/>
      <x:c r="F36" s="2"/>
      <x:c r="G36" s="2"/>
      <x:c r="H36" s="2"/>
      <x:c r="I36" s="34"/>
      <x:c r="J36" s="34"/>
      <x:c r="K36" s="34"/>
      <x:c r="L36" s="34"/>
      <x:c r="M36" s="34"/>
      <x:c r="N36" s="2"/>
      <x:c r="O36" s="2"/>
      <x:c r="P36" s="2"/>
    </x:row>
    <x:row r="37" ht="19" customHeight="1">
      <x:c r="A37" s="2"/>
      <x:c r="B37" s="2"/>
      <x:c r="C37" s="2"/>
      <x:c r="D37" s="2"/>
      <x:c r="E37" s="2"/>
      <x:c r="F37" s="2"/>
      <x:c r="G37" s="2"/>
      <x:c r="H37" s="2"/>
      <x:c r="I37" s="34"/>
      <x:c r="J37" s="34"/>
      <x:c r="K37" s="34"/>
      <x:c r="L37" s="34"/>
      <x:c r="M37" s="34"/>
      <x:c r="N37" s="2"/>
      <x:c r="O37" s="2"/>
      <x:c r="P37" s="2"/>
    </x:row>
    <x:row r="38" ht="19" customHeight="1">
      <x:c r="A38" s="2"/>
      <x:c r="B38" s="2"/>
      <x:c r="C38" s="2"/>
      <x:c r="D38" s="2"/>
      <x:c r="E38" s="2"/>
      <x:c r="F38" s="2"/>
      <x:c r="G38" s="2"/>
      <x:c r="H38" s="2"/>
      <x:c r="I38" s="34"/>
      <x:c r="J38" s="34"/>
      <x:c r="K38" s="34"/>
      <x:c r="L38" s="34"/>
      <x:c r="M38" s="34"/>
      <x:c r="N38" s="2"/>
      <x:c r="O38" s="2"/>
      <x:c r="P38" s="2"/>
    </x:row>
    <x:row r="39" ht="19" customHeight="1">
      <x:c r="A39" s="2"/>
      <x:c r="B39" s="2"/>
      <x:c r="C39" s="2"/>
      <x:c r="D39" s="2"/>
      <x:c r="E39" s="2"/>
      <x:c r="F39" s="2"/>
      <x:c r="G39" s="2"/>
      <x:c r="H39" s="2"/>
      <x:c r="I39" s="34"/>
      <x:c r="J39" s="34"/>
      <x:c r="K39" s="34"/>
      <x:c r="L39" s="34"/>
      <x:c r="M39" s="34"/>
      <x:c r="N39" s="2"/>
      <x:c r="O39" s="2"/>
      <x:c r="P39" s="2"/>
    </x:row>
    <x:row r="40" ht="19" customHeight="1">
      <x:c r="A40" s="2"/>
      <x:c r="B40" s="2"/>
      <x:c r="C40" s="2"/>
      <x:c r="D40" s="2"/>
      <x:c r="E40" s="2"/>
      <x:c r="F40" s="2"/>
      <x:c r="G40" s="2"/>
      <x:c r="H40" s="2"/>
      <x:c r="I40" s="34"/>
      <x:c r="J40" s="34"/>
      <x:c r="K40" s="34"/>
      <x:c r="L40" s="34"/>
      <x:c r="M40" s="34"/>
      <x:c r="N40" s="2"/>
      <x:c r="O40" s="2"/>
      <x:c r="P40" s="2"/>
    </x:row>
    <x:row r="41" ht="19" customHeight="1">
      <x:c r="A41" s="2"/>
      <x:c r="B41" s="2"/>
      <x:c r="C41" s="2"/>
      <x:c r="D41" s="2"/>
      <x:c r="E41" s="2"/>
      <x:c r="F41" s="2"/>
      <x:c r="G41" s="2"/>
      <x:c r="H41" s="2"/>
      <x:c r="I41" s="34"/>
      <x:c r="J41" s="34"/>
      <x:c r="K41" s="34"/>
      <x:c r="L41" s="34"/>
      <x:c r="M41" s="34"/>
      <x:c r="N41" s="2"/>
      <x:c r="O41" s="2"/>
      <x:c r="P41" s="2"/>
    </x:row>
    <x:row r="42" ht="19" customHeight="1">
      <x:c r="A42" s="2"/>
      <x:c r="B42" s="2"/>
      <x:c r="C42" s="2"/>
      <x:c r="D42" s="2"/>
      <x:c r="E42" s="2"/>
      <x:c r="F42" s="2"/>
      <x:c r="G42" s="2"/>
      <x:c r="H42" s="2"/>
      <x:c r="I42" s="34"/>
      <x:c r="J42" s="34"/>
      <x:c r="K42" s="34"/>
      <x:c r="L42" s="34"/>
      <x:c r="M42" s="34"/>
      <x:c r="N42" s="2"/>
      <x:c r="O42" s="2"/>
      <x:c r="P42" s="2"/>
    </x:row>
    <x:row r="43" ht="19" customHeight="1">
      <x:c r="A43" s="2"/>
      <x:c r="B43" s="2"/>
      <x:c r="C43" s="2"/>
      <x:c r="D43" s="2"/>
      <x:c r="E43" s="2"/>
      <x:c r="F43" s="2"/>
      <x:c r="G43" s="2"/>
      <x:c r="H43" s="2"/>
      <x:c r="I43" s="34"/>
      <x:c r="J43" s="34"/>
      <x:c r="K43" s="34"/>
      <x:c r="L43" s="34"/>
      <x:c r="M43" s="34"/>
      <x:c r="N43" s="2"/>
      <x:c r="O43" s="2"/>
      <x:c r="P43" s="2"/>
    </x:row>
    <x:row r="44" ht="19" customHeight="1">
      <x:c r="A44" s="2"/>
      <x:c r="B44" s="2"/>
      <x:c r="C44" s="2"/>
      <x:c r="D44" s="2"/>
      <x:c r="E44" s="2"/>
      <x:c r="F44" s="2"/>
      <x:c r="G44" s="2"/>
      <x:c r="H44" s="2"/>
      <x:c r="I44" s="34"/>
      <x:c r="J44" s="34"/>
      <x:c r="K44" s="34"/>
      <x:c r="L44" s="34"/>
      <x:c r="M44" s="34"/>
      <x:c r="N44" s="2"/>
      <x:c r="O44" s="2"/>
      <x:c r="P44" s="2"/>
    </x:row>
    <x:row r="45" ht="19" customHeight="1">
      <x:c r="A45" s="2"/>
      <x:c r="B45" s="2"/>
      <x:c r="C45" s="2"/>
      <x:c r="D45" s="2"/>
      <x:c r="E45" s="2"/>
      <x:c r="F45" s="2"/>
      <x:c r="G45" s="2"/>
      <x:c r="H45" s="2"/>
      <x:c r="I45" s="34"/>
      <x:c r="J45" s="34"/>
      <x:c r="K45" s="34"/>
      <x:c r="L45" s="34"/>
      <x:c r="M45" s="34"/>
      <x:c r="N45" s="2"/>
      <x:c r="O45" s="2"/>
      <x:c r="P45" s="2"/>
    </x:row>
    <x:row r="46" ht="19" customHeight="1">
      <x:c r="A46" s="2"/>
      <x:c r="B46" s="2"/>
      <x:c r="C46" s="2"/>
      <x:c r="D46" s="2"/>
      <x:c r="E46" s="2"/>
      <x:c r="F46" s="2"/>
      <x:c r="G46" s="2"/>
      <x:c r="H46" s="2"/>
      <x:c r="I46" s="34"/>
      <x:c r="J46" s="34"/>
      <x:c r="K46" s="34"/>
      <x:c r="L46" s="34"/>
      <x:c r="M46" s="34"/>
      <x:c r="N46" s="2"/>
      <x:c r="O46" s="2"/>
      <x:c r="P46" s="2"/>
    </x:row>
    <x:row r="47" ht="19" customHeight="1">
      <x:c r="A47" s="2"/>
      <x:c r="B47" s="2"/>
      <x:c r="C47" s="2"/>
      <x:c r="D47" s="2"/>
      <x:c r="E47" s="2"/>
      <x:c r="F47" s="2"/>
      <x:c r="G47" s="2"/>
      <x:c r="H47" s="2"/>
      <x:c r="I47" s="34"/>
      <x:c r="J47" s="34"/>
      <x:c r="K47" s="34"/>
      <x:c r="L47" s="34"/>
      <x:c r="M47" s="34"/>
      <x:c r="N47" s="2"/>
      <x:c r="O47" s="2"/>
      <x:c r="P47" s="2"/>
    </x:row>
    <x:row r="48" ht="19" customHeight="1">
      <x:c r="A48" s="2"/>
      <x:c r="B48" s="2"/>
      <x:c r="C48" s="2"/>
      <x:c r="D48" s="2"/>
      <x:c r="E48" s="2"/>
      <x:c r="F48" s="2"/>
      <x:c r="G48" s="2"/>
      <x:c r="H48" s="2"/>
      <x:c r="I48" s="34"/>
      <x:c r="J48" s="34"/>
      <x:c r="K48" s="34"/>
      <x:c r="L48" s="34"/>
      <x:c r="M48" s="34"/>
      <x:c r="N48" s="2"/>
      <x:c r="O48" s="2"/>
      <x:c r="P48" s="2"/>
    </x:row>
    <x:row r="49" ht="19" customHeight="1">
      <x:c r="A49" s="2"/>
      <x:c r="B49" s="2"/>
      <x:c r="C49" s="2"/>
      <x:c r="D49" s="2"/>
      <x:c r="E49" s="2"/>
      <x:c r="F49" s="2"/>
      <x:c r="G49" s="2"/>
      <x:c r="H49" s="2"/>
      <x:c r="I49" s="34"/>
      <x:c r="J49" s="34"/>
      <x:c r="K49" s="34"/>
      <x:c r="L49" s="34"/>
      <x:c r="M49" s="34"/>
      <x:c r="N49" s="2"/>
      <x:c r="O49" s="2"/>
      <x:c r="P49" s="2"/>
    </x:row>
    <x:row r="50" ht="19" customHeight="1">
      <x:c r="A50" s="2"/>
      <x:c r="B50" s="2"/>
      <x:c r="C50" s="2"/>
      <x:c r="D50" s="2"/>
      <x:c r="E50" s="2"/>
      <x:c r="F50" s="2"/>
      <x:c r="G50" s="2"/>
      <x:c r="H50" s="2"/>
      <x:c r="I50" s="34"/>
      <x:c r="J50" s="34"/>
      <x:c r="K50" s="34"/>
      <x:c r="L50" s="34"/>
      <x:c r="M50" s="34"/>
      <x:c r="N50" s="2"/>
      <x:c r="O50" s="2"/>
      <x:c r="P50" s="2"/>
    </x:row>
    <x:row r="51" ht="19" customHeight="1">
      <x:c r="A51" s="2"/>
      <x:c r="B51" s="2"/>
      <x:c r="C51" s="2"/>
      <x:c r="D51" s="2"/>
      <x:c r="E51" s="2"/>
      <x:c r="F51" s="2"/>
      <x:c r="G51" s="2"/>
      <x:c r="H51" s="2"/>
      <x:c r="I51" s="34"/>
      <x:c r="J51" s="34"/>
      <x:c r="K51" s="34"/>
      <x:c r="L51" s="34"/>
      <x:c r="M51" s="34"/>
      <x:c r="N51" s="2"/>
      <x:c r="O51" s="2"/>
      <x:c r="P51" s="2"/>
    </x:row>
    <x:row r="52" ht="19" customHeight="1">
      <x:c r="A52" s="2"/>
      <x:c r="B52" s="2"/>
      <x:c r="C52" s="2"/>
      <x:c r="D52" s="2"/>
      <x:c r="E52" s="2"/>
      <x:c r="F52" s="2"/>
      <x:c r="G52" s="2"/>
      <x:c r="H52" s="2"/>
      <x:c r="I52" s="34"/>
      <x:c r="J52" s="34"/>
      <x:c r="K52" s="34"/>
      <x:c r="L52" s="34"/>
      <x:c r="M52" s="34"/>
      <x:c r="N52" s="2"/>
      <x:c r="O52" s="2"/>
      <x:c r="P52" s="2"/>
    </x:row>
    <x:row r="53" ht="19" customHeight="1">
      <x:c r="A53" s="2"/>
      <x:c r="B53" s="2"/>
      <x:c r="C53" s="2"/>
      <x:c r="D53" s="2"/>
      <x:c r="E53" s="2"/>
      <x:c r="F53" s="2"/>
      <x:c r="G53" s="2"/>
      <x:c r="H53" s="2"/>
      <x:c r="I53" s="34"/>
      <x:c r="J53" s="34"/>
      <x:c r="K53" s="34"/>
      <x:c r="L53" s="34"/>
      <x:c r="M53" s="34"/>
      <x:c r="N53" s="2"/>
      <x:c r="O53" s="2"/>
      <x:c r="P53" s="2"/>
    </x:row>
    <x:row r="54" ht="19" customHeight="1">
      <x:c r="A54" s="2"/>
      <x:c r="B54" s="2"/>
      <x:c r="C54" s="2"/>
      <x:c r="D54" s="2"/>
      <x:c r="E54" s="2"/>
      <x:c r="F54" s="2"/>
      <x:c r="G54" s="2"/>
      <x:c r="H54" s="2"/>
      <x:c r="I54" s="34"/>
      <x:c r="J54" s="34"/>
      <x:c r="K54" s="34"/>
      <x:c r="L54" s="34"/>
      <x:c r="M54" s="34"/>
      <x:c r="N54" s="2"/>
      <x:c r="O54" s="2"/>
      <x:c r="P54" s="2"/>
    </x:row>
    <x:row r="55" ht="19" customHeight="1">
      <x:c r="A55" s="2"/>
      <x:c r="B55" s="2"/>
      <x:c r="C55" s="2"/>
      <x:c r="D55" s="2"/>
      <x:c r="E55" s="2"/>
      <x:c r="F55" s="2"/>
      <x:c r="G55" s="2"/>
      <x:c r="H55" s="2"/>
      <x:c r="I55" s="34"/>
      <x:c r="J55" s="34"/>
      <x:c r="K55" s="34"/>
      <x:c r="L55" s="34"/>
      <x:c r="M55" s="34"/>
      <x:c r="N55" s="2"/>
      <x:c r="O55" s="2"/>
      <x:c r="P55" s="2"/>
    </x:row>
  </x:sheetData>
  <x:mergeCells>
    <x:mergeCell ref="C4:M4"/>
  </x:mergeCells>
  <x:conditionalFormatting sqref="D24:M24">
    <x:cfRule type="cellIs" dxfId="7" priority="1" operator="notBetween">
      <x:formula>-0.1</x:formula>
      <x:formula>0.1</x:formula>
    </x:cfRule>
  </x:conditionalFormatting>
  <x:conditionalFormatting sqref="D32:M32">
    <x:cfRule type="cellIs" dxfId="8" priority="2" operator="notBetween">
      <x:formula>-0.1</x:formula>
      <x:formula>0.1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7791AA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5" hidden="0" customWidth="1"/>
    <x:col min="16" max="16" width="3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9" customHeight="1">
      <x:c r="A2" s="2"/>
      <x:c r="B2" s="2"/>
      <x:c r="C2" s="3" t="str">
        <x:v>Free cash flow and DCF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</x:row>
    <x:row r="4" ht="30" customHeight="1">
      <x:c r="A4" s="2"/>
      <x:c r="B4" s="2"/>
      <x:c r="C4" s="84" t="str">
        <x:v>March 2026 valuation anchor. Year-end discounting. No valuation until assumptions are supplied.</x:v>
      </x:c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2"/>
      <x:c r="O4" s="2" t="str">
        <x:v>Active case</x:v>
      </x:c>
      <x:c r="P4" s="2"/>
    </x:row>
    <x:row r="5" ht="1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70" t="str">
        <x:f>CHOOSE('00_Cover'!D10,"Base","Bull","Bear")</x:f>
        <x:v>Base</x:v>
      </x:c>
      <x:c r="P5" s="2"/>
    </x:row>
    <x:row r="6" ht="19" customHeight="1">
      <x:c r="A6" s="2"/>
      <x:c r="B6" s="2"/>
      <x:c r="C6" s="2" t="str">
        <x:v>INR million, unless specified</x:v>
      </x:c>
      <x:c r="D6" s="8" t="str">
        <x:v>FY22A</x:v>
      </x:c>
      <x:c r="E6" s="8" t="str">
        <x:v>FY23A</x:v>
      </x:c>
      <x:c r="F6" s="8" t="str">
        <x:v>FY24A</x:v>
      </x:c>
      <x:c r="G6" s="8" t="str">
        <x:v>FY25A</x:v>
      </x:c>
      <x:c r="H6" s="8" t="str">
        <x:v>FY26A</x:v>
      </x:c>
      <x:c r="I6" s="33" t="str">
        <x:v>FY27E</x:v>
      </x:c>
      <x:c r="J6" s="33" t="str">
        <x:v>FY28E</x:v>
      </x:c>
      <x:c r="K6" s="33" t="str">
        <x:v>FY29E</x:v>
      </x:c>
      <x:c r="L6" s="33" t="str">
        <x:v>FY30E</x:v>
      </x:c>
      <x:c r="M6" s="33" t="str">
        <x:v>FY31E</x:v>
      </x:c>
      <x:c r="N6" s="2"/>
      <x:c r="O6" s="2"/>
      <x:c r="P6" s="2"/>
    </x:row>
    <x:row r="7" ht="19" customHeight="1">
      <x:c r="A7" s="2"/>
      <x:c r="B7" s="2"/>
      <x:c r="C7" s="2"/>
      <x:c r="D7" s="2"/>
      <x:c r="E7" s="2"/>
      <x:c r="F7" s="2"/>
      <x:c r="G7" s="2"/>
      <x:c r="H7" s="2"/>
      <x:c r="I7" s="34"/>
      <x:c r="J7" s="34"/>
      <x:c r="K7" s="34"/>
      <x:c r="L7" s="34"/>
      <x:c r="M7" s="34"/>
      <x:c r="N7" s="2"/>
      <x:c r="O7" s="2"/>
      <x:c r="P7" s="2"/>
    </x:row>
    <x:row r="8" ht="19" customHeight="1">
      <x:c r="A8" s="2"/>
      <x:c r="B8" s="2"/>
      <x:c r="C8" s="2"/>
      <x:c r="D8" s="2"/>
      <x:c r="E8" s="2"/>
      <x:c r="F8" s="2"/>
      <x:c r="G8" s="2"/>
      <x:c r="H8" s="2"/>
      <x:c r="I8" s="34"/>
      <x:c r="J8" s="34"/>
      <x:c r="K8" s="34"/>
      <x:c r="L8" s="34"/>
      <x:c r="M8" s="34"/>
      <x:c r="N8" s="2"/>
      <x:c r="O8" s="2"/>
      <x:c r="P8" s="2"/>
    </x:row>
    <x:row r="9" ht="19" customHeight="1">
      <x:c r="A9" s="2"/>
      <x:c r="B9" s="2"/>
      <x:c r="C9" s="2" t="str">
        <x:v>Operating EBIT, excluding other income / JV</x:v>
      </x:c>
      <x:c r="D9" s="31" t="n">
        <x:f>IF(ISNUMBER('06_3Statement_Model'!D15),'06_3Statement_Model'!D15,"")</x:f>
        <x:v>10636.79999999999</x:v>
      </x:c>
      <x:c r="E9" s="31" t="n">
        <x:f>IF(ISNUMBER('06_3Statement_Model'!E15),'06_3Statement_Model'!E15,"")</x:f>
        <x:v>16429.500000000007</x:v>
      </x:c>
      <x:c r="F9" s="31" t="n">
        <x:f>IF(ISNUMBER('06_3Statement_Model'!F15),'06_3Statement_Model'!F15,"")</x:f>
        <x:v>22467.649999999994</x:v>
      </x:c>
      <x:c r="G9" s="31" t="n">
        <x:f>IF(ISNUMBER('06_3Statement_Model'!G15),'06_3Statement_Model'!G15,"")</x:f>
        <x:v>26621.370000000017</x:v>
      </x:c>
      <x:c r="H9" s="31" t="n">
        <x:f>IF(ISNUMBER('06_3Statement_Model'!H15),'06_3Statement_Model'!H15,"")</x:f>
        <x:v>36198.58999999995</x:v>
      </x:c>
      <x:c r="I9" s="53" t="str">
        <x:f>IF(ISNUMBER('06_3Statement_Model'!I15),'06_3Statement_Model'!I15,"")</x:f>
      </x:c>
      <x:c r="J9" s="53" t="str">
        <x:f>IF(ISNUMBER('06_3Statement_Model'!J15),'06_3Statement_Model'!J15,"")</x:f>
      </x:c>
      <x:c r="K9" s="53" t="str">
        <x:f>IF(ISNUMBER('06_3Statement_Model'!K15),'06_3Statement_Model'!K15,"")</x:f>
      </x:c>
      <x:c r="L9" s="53" t="str">
        <x:f>IF(ISNUMBER('06_3Statement_Model'!L15),'06_3Statement_Model'!L15,"")</x:f>
      </x:c>
      <x:c r="M9" s="53" t="str">
        <x:f>IF(ISNUMBER('06_3Statement_Model'!M15),'06_3Statement_Model'!M15,"")</x:f>
      </x:c>
      <x:c r="N9" s="2"/>
      <x:c r="O9" s="2"/>
      <x:c r="P9" s="2"/>
    </x:row>
    <x:row r="10" ht="19" customHeight="1">
      <x:c r="A10" s="2"/>
      <x:c r="B10" s="2"/>
      <x:c r="C10" s="21" t="str">
        <x:v>Operating tax rate</x:v>
      </x:c>
      <x:c r="D10" s="32" t="n">
        <x:f>IF(ISNUMBER('04_Drivers'!D134),'04_Drivers'!D134,"")</x:f>
        <x:v>0.24252817114722483</x:v>
      </x:c>
      <x:c r="E10" s="32" t="n">
        <x:f>IF(ISNUMBER('04_Drivers'!E134),'04_Drivers'!E134,"")</x:f>
        <x:v>0.2484513160299334</x:v>
      </x:c>
      <x:c r="F10" s="32" t="n">
        <x:f>IF(ISNUMBER('04_Drivers'!F134),'04_Drivers'!F134,"")</x:f>
        <x:v>0.23582545670325944</x:v>
      </x:c>
      <x:c r="G10" s="32" t="n">
        <x:f>IF(ISNUMBER('04_Drivers'!G134),'04_Drivers'!G134,"")</x:f>
        <x:v>0.24263073223380088</x:v>
      </x:c>
      <x:c r="H10" s="32" t="n">
        <x:f>IF(ISNUMBER('04_Drivers'!H134),'04_Drivers'!H134,"")</x:f>
        <x:v>0.2503817385468057</x:v>
      </x:c>
      <x:c r="I10" s="51" t="str">
        <x:f>IF(ISNUMBER('04_Drivers'!I134),'04_Drivers'!I134,"")</x:f>
      </x:c>
      <x:c r="J10" s="51" t="str">
        <x:f>IF(ISNUMBER('04_Drivers'!J134),'04_Drivers'!J134,"")</x:f>
      </x:c>
      <x:c r="K10" s="51" t="str">
        <x:f>IF(ISNUMBER('04_Drivers'!K134),'04_Drivers'!K134,"")</x:f>
      </x:c>
      <x:c r="L10" s="51" t="str">
        <x:f>IF(ISNUMBER('04_Drivers'!L134),'04_Drivers'!L134,"")</x:f>
      </x:c>
      <x:c r="M10" s="51" t="str">
        <x:f>IF(ISNUMBER('04_Drivers'!M134),'04_Drivers'!M134,"")</x:f>
      </x:c>
      <x:c r="N10" s="2"/>
      <x:c r="O10" s="2"/>
      <x:c r="P10" s="2"/>
    </x:row>
    <x:row r="11" ht="19" customHeight="1">
      <x:c r="A11" s="2"/>
      <x:c r="B11" s="2"/>
      <x:c r="C11" s="18" t="str">
        <x:v>NOPAT</x:v>
      </x:c>
      <x:c r="D11" s="23" t="n">
        <x:f>IF(AND(ISNUMBER(D9),ISNUMBER(D10)),D9*(1-D10),"")</x:f>
        <x:v>8057.076349141192</x:v>
      </x:c>
      <x:c r="E11" s="23" t="n">
        <x:f>IF(AND(ISNUMBER(E9),ISNUMBER(E10)),E9*(1-E10),"")</x:f>
        <x:v>12347.569103286214</x:v>
      </x:c>
      <x:c r="F11" s="23" t="n">
        <x:f>IF(AND(ISNUMBER(F9),ISNUMBER(F10)),F9*(1-F10),"")</x:f>
        <x:v>17169.20617770101</x:v>
      </x:c>
      <x:c r="G11" s="23" t="n">
        <x:f>IF(AND(ISNUMBER(G9),ISNUMBER(G10)),G9*(1-G10),"")</x:f>
        <x:v>20162.207503833073</x:v>
      </x:c>
      <x:c r="H11" s="23" t="n">
        <x:f>IF(AND(ISNUMBER(H9),ISNUMBER(H10)),H9*(1-H10),"")</x:f>
        <x:v>27135.12410285695</x:v>
      </x:c>
      <x:c r="I11" s="23" t="str">
        <x:f>IF(AND(ISNUMBER(I9),ISNUMBER(I10)),I9*(1-I10),"")</x:f>
      </x:c>
      <x:c r="J11" s="23" t="str">
        <x:f>IF(AND(ISNUMBER(J9),ISNUMBER(J10)),J9*(1-J10),"")</x:f>
      </x:c>
      <x:c r="K11" s="23" t="str">
        <x:f>IF(AND(ISNUMBER(K9),ISNUMBER(K10)),K9*(1-K10),"")</x:f>
      </x:c>
      <x:c r="L11" s="23" t="str">
        <x:f>IF(AND(ISNUMBER(L9),ISNUMBER(L10)),L9*(1-L10),"")</x:f>
      </x:c>
      <x:c r="M11" s="23" t="str">
        <x:f>IF(AND(ISNUMBER(M9),ISNUMBER(M10)),M9*(1-M10),"")</x:f>
      </x:c>
      <x:c r="N11" s="2"/>
      <x:c r="O11" s="2"/>
      <x:c r="P11" s="2"/>
    </x:row>
    <x:row r="12" ht="19" customHeight="1">
      <x:c r="A12" s="2"/>
      <x:c r="B12" s="2"/>
      <x:c r="C12" s="2" t="str">
        <x:v>D&amp;A</x:v>
      </x:c>
      <x:c r="D12" s="31" t="n">
        <x:f>IF(ISNUMBER('08_Fixed_Assets'!D21),'08_Fixed_Assets'!D21,"")</x:f>
        <x:v>2015.19</x:v>
      </x:c>
      <x:c r="E12" s="31" t="n">
        <x:f>IF(ISNUMBER('08_Fixed_Assets'!E21),'08_Fixed_Assets'!E21,"")</x:f>
        <x:v>2091.64</x:v>
      </x:c>
      <x:c r="F12" s="31" t="n">
        <x:f>IF(ISNUMBER('08_Fixed_Assets'!F21),'08_Fixed_Assets'!F21,"")</x:f>
        <x:v>2450.4</x:v>
      </x:c>
      <x:c r="G12" s="31" t="n">
        <x:f>IF(ISNUMBER('08_Fixed_Assets'!G21),'08_Fixed_Assets'!G21,"")</x:f>
        <x:v>2981.03</x:v>
      </x:c>
      <x:c r="H12" s="31" t="n">
        <x:f>IF(ISNUMBER('08_Fixed_Assets'!H21),'08_Fixed_Assets'!H21,"")</x:f>
        <x:v>3858.69</x:v>
      </x:c>
      <x:c r="I12" s="53" t="str">
        <x:f>IF(ISNUMBER('08_Fixed_Assets'!I21),'08_Fixed_Assets'!I21,"")</x:f>
      </x:c>
      <x:c r="J12" s="53" t="str">
        <x:f>IF(ISNUMBER('08_Fixed_Assets'!J21),'08_Fixed_Assets'!J21,"")</x:f>
      </x:c>
      <x:c r="K12" s="53" t="str">
        <x:f>IF(ISNUMBER('08_Fixed_Assets'!K21),'08_Fixed_Assets'!K21,"")</x:f>
      </x:c>
      <x:c r="L12" s="53" t="str">
        <x:f>IF(ISNUMBER('08_Fixed_Assets'!L21),'08_Fixed_Assets'!L21,"")</x:f>
      </x:c>
      <x:c r="M12" s="53" t="str">
        <x:f>IF(ISNUMBER('08_Fixed_Assets'!M21),'08_Fixed_Assets'!M21,"")</x:f>
      </x:c>
      <x:c r="N12" s="2"/>
      <x:c r="O12" s="2"/>
      <x:c r="P12" s="2"/>
    </x:row>
    <x:row r="13" ht="19" customHeight="1">
      <x:c r="A13" s="2"/>
      <x:c r="B13" s="2"/>
      <x:c r="C13" s="2" t="str">
        <x:v>Gross cash capex</x:v>
      </x:c>
      <x:c r="D13" s="31" t="n">
        <x:f>IF(ISNUMBER('08_Fixed_Assets'!D18),'08_Fixed_Assets'!D18,"")</x:f>
        <x:v>5266.929999999999</x:v>
      </x:c>
      <x:c r="E13" s="31" t="n">
        <x:f>IF(ISNUMBER('08_Fixed_Assets'!E18),'08_Fixed_Assets'!E18,"")</x:f>
        <x:v>4794.53</x:v>
      </x:c>
      <x:c r="F13" s="31" t="n">
        <x:f>IF(ISNUMBER('08_Fixed_Assets'!F18),'08_Fixed_Assets'!F18,"")</x:f>
        <x:v>8585.189999999999</x:v>
      </x:c>
      <x:c r="G13" s="31" t="n">
        <x:f>IF(ISNUMBER('08_Fixed_Assets'!G18),'08_Fixed_Assets'!G18,"")</x:f>
        <x:v>9724.44</x:v>
      </x:c>
      <x:c r="H13" s="31" t="n">
        <x:f>IF(ISNUMBER('08_Fixed_Assets'!H18),'08_Fixed_Assets'!H18,"")</x:f>
        <x:v>14898.080000000002</x:v>
      </x:c>
      <x:c r="I13" s="53" t="str">
        <x:f>IF(ISNUMBER('08_Fixed_Assets'!I18),'08_Fixed_Assets'!I18,"")</x:f>
      </x:c>
      <x:c r="J13" s="53" t="str">
        <x:f>IF(ISNUMBER('08_Fixed_Assets'!J18),'08_Fixed_Assets'!J18,"")</x:f>
      </x:c>
      <x:c r="K13" s="53" t="str">
        <x:f>IF(ISNUMBER('08_Fixed_Assets'!K18),'08_Fixed_Assets'!K18,"")</x:f>
      </x:c>
      <x:c r="L13" s="53" t="str">
        <x:f>IF(ISNUMBER('08_Fixed_Assets'!L18),'08_Fixed_Assets'!L18,"")</x:f>
      </x:c>
      <x:c r="M13" s="53" t="str">
        <x:f>IF(ISNUMBER('08_Fixed_Assets'!M18),'08_Fixed_Assets'!M18,"")</x:f>
      </x:c>
      <x:c r="N13" s="2"/>
      <x:c r="O13" s="2"/>
      <x:c r="P13" s="2"/>
    </x:row>
    <x:row r="14" ht="19" customHeight="1">
      <x:c r="A14" s="2"/>
      <x:c r="B14" s="2"/>
      <x:c r="C14" s="2" t="str">
        <x:v>Increase in broad non-cash working capital</x:v>
      </x:c>
      <x:c r="D14" s="31" t="str">
        <x:f>IF(ISNUMBER('07_Working_Capital'!D20),'07_Working_Capital'!D20,"")</x:f>
      </x:c>
      <x:c r="E14" s="31" t="n">
        <x:f>IF(ISNUMBER('07_Working_Capital'!E20),'07_Working_Capital'!E20,"")</x:f>
        <x:v>-447.3099999999831</x:v>
      </x:c>
      <x:c r="F14" s="31" t="n">
        <x:f>IF(ISNUMBER('07_Working_Capital'!F20),'07_Working_Capital'!F20,"")</x:f>
        <x:v>8432.069999999985</x:v>
      </x:c>
      <x:c r="G14" s="31" t="n">
        <x:f>IF(ISNUMBER('07_Working_Capital'!G20),'07_Working_Capital'!G20,"")</x:f>
        <x:v>6095.960000000014</x:v>
      </x:c>
      <x:c r="H14" s="31" t="n">
        <x:f>IF(ISNUMBER('07_Working_Capital'!H20),'07_Working_Capital'!H20,"")</x:f>
        <x:v>-6776.520000000011</x:v>
      </x:c>
      <x:c r="I14" s="53" t="str">
        <x:f>IF(ISNUMBER('07_Working_Capital'!I20),'07_Working_Capital'!I20,"")</x:f>
      </x:c>
      <x:c r="J14" s="53" t="str">
        <x:f>IF(ISNUMBER('07_Working_Capital'!J20),'07_Working_Capital'!J20,"")</x:f>
      </x:c>
      <x:c r="K14" s="53" t="str">
        <x:f>IF(ISNUMBER('07_Working_Capital'!K20),'07_Working_Capital'!K20,"")</x:f>
      </x:c>
      <x:c r="L14" s="53" t="str">
        <x:f>IF(ISNUMBER('07_Working_Capital'!L20),'07_Working_Capital'!L20,"")</x:f>
      </x:c>
      <x:c r="M14" s="53" t="str">
        <x:f>IF(ISNUMBER('07_Working_Capital'!M20),'07_Working_Capital'!M20,"")</x:f>
      </x:c>
      <x:c r="N14" s="2"/>
      <x:c r="O14" s="2"/>
      <x:c r="P14" s="2"/>
    </x:row>
    <x:row r="15" ht="19" customHeight="1">
      <x:c r="A15" s="2"/>
      <x:c r="B15" s="2"/>
      <x:c r="C15" s="2" t="str">
        <x:v>FCFF normalisation adjustment</x:v>
      </x:c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2"/>
      <x:c r="O15" s="13" t="str">
        <x:v>Input required even when zero: remove non-operating balances, discontinued effects, taxes/financing items and reconcile lease/acceptance treatment. Historical FCFF is not presented as normalised automatically.</x:v>
      </x:c>
      <x:c r="P15" s="2"/>
    </x:row>
    <x:row r="16" ht="19" customHeight="1">
      <x:c r="A16" s="2"/>
      <x:c r="B16" s="2"/>
      <x:c r="C16" s="2"/>
      <x:c r="D16" s="2"/>
      <x:c r="E16" s="2"/>
      <x:c r="F16" s="2"/>
      <x:c r="G16" s="2"/>
      <x:c r="H16" s="2"/>
      <x:c r="I16" s="34"/>
      <x:c r="J16" s="34"/>
      <x:c r="K16" s="34"/>
      <x:c r="L16" s="34"/>
      <x:c r="M16" s="34"/>
      <x:c r="N16" s="2"/>
      <x:c r="O16" s="2"/>
      <x:c r="P16" s="2"/>
    </x:row>
    <x:row r="17" ht="19" customHeight="1">
      <x:c r="A17" s="2"/>
      <x:c r="B17" s="2"/>
      <x:c r="C17" s="18" t="str">
        <x:v>Unlevered free cash flow</x:v>
      </x:c>
      <x:c r="D17" s="23" t="str">
        <x:f>IF(AND(ISNUMBER(D11),ISNUMBER(D12),ISNUMBER(D13),ISNUMBER(D14),ISNUMBER(D15)),D11+D12-D13-D14+D15,"")</x:f>
      </x:c>
      <x:c r="E17" s="23" t="str">
        <x:f>IF(AND(ISNUMBER(E11),ISNUMBER(E12),ISNUMBER(E13),ISNUMBER(E14),ISNUMBER(E15)),E11+E12-E13-E14+E15,"")</x:f>
      </x:c>
      <x:c r="F17" s="23" t="str">
        <x:f>IF(AND(ISNUMBER(F11),ISNUMBER(F12),ISNUMBER(F13),ISNUMBER(F14),ISNUMBER(F15)),F11+F12-F13-F14+F15,"")</x:f>
      </x:c>
      <x:c r="G17" s="23" t="str">
        <x:f>IF(AND(ISNUMBER(G11),ISNUMBER(G12),ISNUMBER(G13),ISNUMBER(G14),ISNUMBER(G15)),G11+G12-G13-G14+G15,"")</x:f>
      </x:c>
      <x:c r="H17" s="23" t="str">
        <x:f>IF(AND(ISNUMBER(H11),ISNUMBER(H12),ISNUMBER(H13),ISNUMBER(H14),ISNUMBER(H15)),H11+H12-H13-H14+H15,"")</x:f>
      </x:c>
      <x:c r="I17" s="23" t="str">
        <x:f>IF(AND(ISNUMBER(I11),ISNUMBER(I12),ISNUMBER(I13),ISNUMBER(I14),ISNUMBER(I15)),I11+I12-I13-I14+I15,"")</x:f>
      </x:c>
      <x:c r="J17" s="23" t="str">
        <x:f>IF(AND(ISNUMBER(J11),ISNUMBER(J12),ISNUMBER(J13),ISNUMBER(J14),ISNUMBER(J15)),J11+J12-J13-J14+J15,"")</x:f>
      </x:c>
      <x:c r="K17" s="23" t="str">
        <x:f>IF(AND(ISNUMBER(K11),ISNUMBER(K12),ISNUMBER(K13),ISNUMBER(K14),ISNUMBER(K15)),K11+K12-K13-K14+K15,"")</x:f>
      </x:c>
      <x:c r="L17" s="23" t="str">
        <x:f>IF(AND(ISNUMBER(L11),ISNUMBER(L12),ISNUMBER(L13),ISNUMBER(L14),ISNUMBER(L15)),L11+L12-L13-L14+L15,"")</x:f>
      </x:c>
      <x:c r="M17" s="23" t="str">
        <x:f>IF(AND(ISNUMBER(M11),ISNUMBER(M12),ISNUMBER(M13),ISNUMBER(M14),ISNUMBER(M15)),M11+M12-M13-M14+M15,"")</x:f>
      </x:c>
      <x:c r="N17" s="2"/>
      <x:c r="O17" s="2"/>
      <x:c r="P17" s="2"/>
    </x:row>
    <x:row r="18" ht="19" customHeight="1">
      <x:c r="A18" s="2"/>
      <x:c r="B18" s="2"/>
      <x:c r="C18" s="2"/>
      <x:c r="D18" s="2"/>
      <x:c r="E18" s="2"/>
      <x:c r="F18" s="2"/>
      <x:c r="G18" s="2"/>
      <x:c r="H18" s="2"/>
      <x:c r="I18" s="34"/>
      <x:c r="J18" s="34"/>
      <x:c r="K18" s="34"/>
      <x:c r="L18" s="34"/>
      <x:c r="M18" s="34"/>
      <x:c r="N18" s="2"/>
      <x:c r="O18" s="2"/>
      <x:c r="P18" s="2"/>
    </x:row>
    <x:row r="19" ht="19" customHeight="1">
      <x:c r="A19" s="2"/>
      <x:c r="B19" s="2"/>
      <x:c r="C19" s="2" t="str">
        <x:v>Discount period, years</x:v>
      </x:c>
      <x:c r="D19" s="11"/>
      <x:c r="E19" s="11"/>
      <x:c r="F19" s="11"/>
      <x:c r="G19" s="11"/>
      <x:c r="H19" s="11"/>
      <x:c r="I19" s="35" t="n">
        <x:v>1</x:v>
      </x:c>
      <x:c r="J19" s="35" t="n">
        <x:v>2</x:v>
      </x:c>
      <x:c r="K19" s="35" t="n">
        <x:v>3</x:v>
      </x:c>
      <x:c r="L19" s="35" t="n">
        <x:v>4</x:v>
      </x:c>
      <x:c r="M19" s="35" t="n">
        <x:v>5</x:v>
      </x:c>
      <x:c r="N19" s="2"/>
      <x:c r="O19" s="2"/>
      <x:c r="P19" s="2"/>
    </x:row>
    <x:row r="20" ht="19" customHeight="1">
      <x:c r="A20" s="2"/>
      <x:c r="B20" s="2"/>
      <x:c r="C20" s="2" t="str">
        <x:v>Discount factor</x:v>
      </x:c>
      <x:c r="D20" s="11"/>
      <x:c r="E20" s="11"/>
      <x:c r="F20" s="11"/>
      <x:c r="G20" s="11"/>
      <x:c r="H20" s="11"/>
      <x:c r="I20" s="52" t="str">
        <x:f>IF(AND(ISNUMBER($H$27),$H$27&gt;-1),1/(1+$H$27)^I19,"")</x:f>
      </x:c>
      <x:c r="J20" s="52" t="str">
        <x:f>IF(AND(ISNUMBER($H$27),$H$27&gt;-1),1/(1+$H$27)^J19,"")</x:f>
      </x:c>
      <x:c r="K20" s="52" t="str">
        <x:f>IF(AND(ISNUMBER($H$27),$H$27&gt;-1),1/(1+$H$27)^K19,"")</x:f>
      </x:c>
      <x:c r="L20" s="52" t="str">
        <x:f>IF(AND(ISNUMBER($H$27),$H$27&gt;-1),1/(1+$H$27)^L19,"")</x:f>
      </x:c>
      <x:c r="M20" s="52" t="str">
        <x:f>IF(AND(ISNUMBER($H$27),$H$27&gt;-1),1/(1+$H$27)^M19,"")</x:f>
      </x:c>
      <x:c r="N20" s="2"/>
      <x:c r="O20" s="2"/>
      <x:c r="P20" s="2"/>
    </x:row>
    <x:row r="21" ht="19" customHeight="1">
      <x:c r="A21" s="2"/>
      <x:c r="B21" s="2"/>
      <x:c r="C21" s="18" t="str">
        <x:v>Present value of FCFF</x:v>
      </x:c>
      <x:c r="D21" s="19"/>
      <x:c r="E21" s="19"/>
      <x:c r="F21" s="19"/>
      <x:c r="G21" s="19"/>
      <x:c r="H21" s="19"/>
      <x:c r="I21" s="23" t="str">
        <x:f>IF(AND(ISNUMBER(I17),ISNUMBER(I20)),I17*I20,"")</x:f>
      </x:c>
      <x:c r="J21" s="23" t="str">
        <x:f>IF(AND(ISNUMBER(J17),ISNUMBER(J20)),J17*J20,"")</x:f>
      </x:c>
      <x:c r="K21" s="23" t="str">
        <x:f>IF(AND(ISNUMBER(K17),ISNUMBER(K20)),K17*K20,"")</x:f>
      </x:c>
      <x:c r="L21" s="23" t="str">
        <x:f>IF(AND(ISNUMBER(L17),ISNUMBER(L20)),L17*L20,"")</x:f>
      </x:c>
      <x:c r="M21" s="23" t="str">
        <x:f>IF(AND(ISNUMBER(M17),ISNUMBER(M20)),M17*M20,"")</x:f>
      </x:c>
      <x:c r="N21" s="2"/>
      <x:c r="O21" s="2"/>
      <x:c r="P21" s="2"/>
    </x:row>
    <x:row r="22" ht="19" customHeight="1">
      <x:c r="A22" s="2"/>
      <x:c r="B22" s="2"/>
      <x:c r="C22" s="2"/>
      <x:c r="D22" s="2"/>
      <x:c r="E22" s="2"/>
      <x:c r="F22" s="2"/>
      <x:c r="G22" s="2"/>
      <x:c r="H22" s="2"/>
      <x:c r="I22" s="34"/>
      <x:c r="J22" s="34"/>
      <x:c r="K22" s="34"/>
      <x:c r="L22" s="34"/>
      <x:c r="M22" s="34"/>
      <x:c r="N22" s="2"/>
      <x:c r="O22" s="2"/>
      <x:c r="P22" s="2"/>
    </x:row>
    <x:row r="23" ht="19" customHeight="1">
      <x:c r="A23" s="2"/>
      <x:c r="B23" s="2"/>
      <x:c r="C23" s="2"/>
      <x:c r="D23" s="2"/>
      <x:c r="E23" s="2"/>
      <x:c r="F23" s="2"/>
      <x:c r="G23" s="2"/>
      <x:c r="H23" s="2"/>
      <x:c r="I23" s="34"/>
      <x:c r="J23" s="34"/>
      <x:c r="K23" s="34"/>
      <x:c r="L23" s="34"/>
      <x:c r="M23" s="34"/>
      <x:c r="N23" s="2"/>
      <x:c r="O23" s="2"/>
      <x:c r="P23" s="2"/>
    </x:row>
    <x:row r="24" ht="19" customHeight="1">
      <x:c r="A24" s="2"/>
      <x:c r="B24" s="2"/>
      <x:c r="C24" s="2"/>
      <x:c r="D24" s="2"/>
      <x:c r="E24" s="2"/>
      <x:c r="F24" s="2"/>
      <x:c r="G24" s="2"/>
      <x:c r="H24" s="2"/>
      <x:c r="I24" s="34"/>
      <x:c r="J24" s="34"/>
      <x:c r="K24" s="34"/>
      <x:c r="L24" s="34"/>
      <x:c r="M24" s="34"/>
      <x:c r="N24" s="2"/>
      <x:c r="O24" s="2"/>
      <x:c r="P24" s="2"/>
    </x:row>
    <x:row r="25" ht="19" customHeight="1">
      <x:c r="A25" s="2"/>
      <x:c r="B25" s="2"/>
      <x:c r="C25" s="2"/>
      <x:c r="D25" s="2"/>
      <x:c r="E25" s="2"/>
      <x:c r="F25" s="2"/>
      <x:c r="G25" s="2"/>
      <x:c r="H25" s="2"/>
      <x:c r="I25" s="34"/>
      <x:c r="J25" s="34"/>
      <x:c r="K25" s="34"/>
      <x:c r="L25" s="34"/>
      <x:c r="M25" s="34"/>
      <x:c r="N25" s="2"/>
      <x:c r="O25" s="2"/>
      <x:c r="P25" s="2"/>
    </x:row>
    <x:row r="26" ht="19" customHeight="1">
      <x:c r="A26" s="2"/>
      <x:c r="B26" s="2"/>
      <x:c r="C26" s="2"/>
      <x:c r="D26" s="2"/>
      <x:c r="E26" s="2"/>
      <x:c r="F26" s="2"/>
      <x:c r="G26" s="2"/>
      <x:c r="H26" s="2"/>
      <x:c r="I26" s="34"/>
      <x:c r="J26" s="34"/>
      <x:c r="K26" s="34"/>
      <x:c r="L26" s="34"/>
      <x:c r="M26" s="34"/>
      <x:c r="N26" s="2"/>
      <x:c r="O26" s="2"/>
      <x:c r="P26" s="2"/>
    </x:row>
    <x:row r="27" ht="19" customHeight="1">
      <x:c r="A27" s="2"/>
      <x:c r="B27" s="2"/>
      <x:c r="C27" s="21" t="str">
        <x:v>WACC</x:v>
      </x:c>
      <x:c r="D27" s="22"/>
      <x:c r="E27" s="22"/>
      <x:c r="F27" s="22"/>
      <x:c r="G27" s="22"/>
      <x:c r="H27" s="45"/>
      <x:c r="I27" s="37"/>
      <x:c r="J27" s="37"/>
      <x:c r="K27" s="37"/>
      <x:c r="L27" s="37"/>
      <x:c r="M27" s="37"/>
      <x:c r="N27" s="2"/>
      <x:c r="O27" s="2"/>
      <x:c r="P27" s="2"/>
    </x:row>
    <x:row r="28" ht="19" customHeight="1">
      <x:c r="A28" s="2"/>
      <x:c r="B28" s="2"/>
      <x:c r="C28" s="21" t="str">
        <x:v>Terminal growth rate</x:v>
      </x:c>
      <x:c r="D28" s="22"/>
      <x:c r="E28" s="22"/>
      <x:c r="F28" s="22"/>
      <x:c r="G28" s="22"/>
      <x:c r="H28" s="45"/>
      <x:c r="I28" s="37"/>
      <x:c r="J28" s="37"/>
      <x:c r="K28" s="37"/>
      <x:c r="L28" s="37"/>
      <x:c r="M28" s="37"/>
      <x:c r="N28" s="2"/>
      <x:c r="O28" s="2"/>
      <x:c r="P28" s="2"/>
    </x:row>
    <x:row r="29" ht="19" customHeight="1">
      <x:c r="A29" s="2"/>
      <x:c r="B29" s="2"/>
      <x:c r="C29" s="2" t="str">
        <x:v>Adjusted net debt (negative = net cash)</x:v>
      </x:c>
      <x:c r="D29" s="11"/>
      <x:c r="E29" s="11"/>
      <x:c r="F29" s="11"/>
      <x:c r="G29" s="11"/>
      <x:c r="H29" s="48"/>
      <x:c r="I29" s="35"/>
      <x:c r="J29" s="35"/>
      <x:c r="K29" s="35"/>
      <x:c r="L29" s="35"/>
      <x:c r="M29" s="35"/>
      <x:c r="N29" s="2"/>
      <x:c r="O29" s="13" t="str">
        <x:v>Review availability of deposits/investments and treatment of leases, supplier acceptances and NCI. Deliberately not populated from the liquidity proxy.</x:v>
      </x:c>
      <x:c r="P29" s="2"/>
    </x:row>
    <x:row r="30" ht="19" customHeight="1">
      <x:c r="A30" s="2"/>
      <x:c r="B30" s="2"/>
      <x:c r="C30" s="2" t="str">
        <x:v>Other claims on equity value</x:v>
      </x:c>
      <x:c r="D30" s="11"/>
      <x:c r="E30" s="11"/>
      <x:c r="F30" s="11"/>
      <x:c r="G30" s="11"/>
      <x:c r="H30" s="48"/>
      <x:c r="I30" s="35"/>
      <x:c r="J30" s="35"/>
      <x:c r="K30" s="35"/>
      <x:c r="L30" s="35"/>
      <x:c r="M30" s="35"/>
      <x:c r="N30" s="2"/>
      <x:c r="O30" s="2"/>
      <x:c r="P30" s="2"/>
    </x:row>
    <x:row r="31" ht="19" customHeight="1">
      <x:c r="A31" s="2"/>
      <x:c r="B31" s="2"/>
      <x:c r="C31" s="2" t="str">
        <x:v>Diluted shares at valuation date (million)</x:v>
      </x:c>
      <x:c r="D31" s="11"/>
      <x:c r="E31" s="11"/>
      <x:c r="F31" s="11"/>
      <x:c r="G31" s="11"/>
      <x:c r="H31" s="48"/>
      <x:c r="I31" s="35"/>
      <x:c r="J31" s="35"/>
      <x:c r="K31" s="35"/>
      <x:c r="L31" s="35"/>
      <x:c r="M31" s="35"/>
      <x:c r="N31" s="2"/>
      <x:c r="O31" s="2"/>
      <x:c r="P31" s="2"/>
    </x:row>
    <x:row r="32" ht="19" customHeight="1">
      <x:c r="A32" s="2"/>
      <x:c r="B32" s="2"/>
      <x:c r="C32" s="2"/>
      <x:c r="D32" s="2"/>
      <x:c r="E32" s="2"/>
      <x:c r="F32" s="2"/>
      <x:c r="G32" s="2"/>
      <x:c r="H32" s="2"/>
      <x:c r="I32" s="34"/>
      <x:c r="J32" s="34"/>
      <x:c r="K32" s="34"/>
      <x:c r="L32" s="34"/>
      <x:c r="M32" s="34"/>
      <x:c r="N32" s="2"/>
      <x:c r="O32" s="2"/>
      <x:c r="P32" s="2"/>
    </x:row>
    <x:row r="33" ht="19" customHeight="1">
      <x:c r="A33" s="2"/>
      <x:c r="B33" s="2"/>
      <x:c r="C33" s="2"/>
      <x:c r="D33" s="2"/>
      <x:c r="E33" s="2"/>
      <x:c r="F33" s="2"/>
      <x:c r="G33" s="2"/>
      <x:c r="H33" s="2"/>
      <x:c r="I33" s="34"/>
      <x:c r="J33" s="34"/>
      <x:c r="K33" s="34"/>
      <x:c r="L33" s="34"/>
      <x:c r="M33" s="34"/>
      <x:c r="N33" s="2"/>
      <x:c r="O33" s="2"/>
      <x:c r="P33" s="2"/>
    </x:row>
    <x:row r="34" ht="19" customHeight="1">
      <x:c r="A34" s="2"/>
      <x:c r="B34" s="2"/>
      <x:c r="C34" s="2" t="str">
        <x:v>PV of explicit forecast</x:v>
      </x:c>
      <x:c r="D34" s="11"/>
      <x:c r="E34" s="11"/>
      <x:c r="F34" s="11"/>
      <x:c r="G34" s="11"/>
      <x:c r="H34" s="24" t="str">
        <x:f>IF(AND(ISNUMBER(I21),ISNUMBER(J21),ISNUMBER(K21),ISNUMBER(L21),ISNUMBER(M21)),SUM(I21:M21),"")</x:f>
      </x:c>
      <x:c r="I34" s="35"/>
      <x:c r="J34" s="35"/>
      <x:c r="K34" s="35"/>
      <x:c r="L34" s="35"/>
      <x:c r="M34" s="35"/>
      <x:c r="N34" s="2"/>
      <x:c r="O34" s="2"/>
      <x:c r="P34" s="2"/>
    </x:row>
    <x:row r="35" ht="19" customHeight="1">
      <x:c r="A35" s="2"/>
      <x:c r="B35" s="2"/>
      <x:c r="C35" s="2" t="str">
        <x:v>Terminal-year normalised FCFF</x:v>
      </x:c>
      <x:c r="D35" s="11"/>
      <x:c r="E35" s="11"/>
      <x:c r="F35" s="11"/>
      <x:c r="G35" s="11"/>
      <x:c r="H35" s="48"/>
      <x:c r="I35" s="35"/>
      <x:c r="J35" s="35"/>
      <x:c r="K35" s="35"/>
      <x:c r="L35" s="35"/>
      <x:c r="M35" s="35"/>
      <x:c r="N35" s="2"/>
      <x:c r="O35" s="13" t="str">
        <x:v>Terminal FCFF is an explicit normalisation input; do not assume FY31 capex or working capital is steady-state.</x:v>
      </x:c>
      <x:c r="P35" s="2"/>
    </x:row>
    <x:row r="36" ht="19" customHeight="1">
      <x:c r="A36" s="2"/>
      <x:c r="B36" s="2"/>
      <x:c r="C36" s="2" t="str">
        <x:v>Terminal value</x:v>
      </x:c>
      <x:c r="D36" s="11"/>
      <x:c r="E36" s="11"/>
      <x:c r="F36" s="11"/>
      <x:c r="G36" s="11"/>
      <x:c r="H36" s="24" t="str">
        <x:f>IF(AND(ISNUMBER(H35),ISNUMBER(H27),ISNUMBER(H28),H27&gt;H28),H35/(H27-H28),"")</x:f>
      </x:c>
      <x:c r="I36" s="35"/>
      <x:c r="J36" s="35"/>
      <x:c r="K36" s="35"/>
      <x:c r="L36" s="35"/>
      <x:c r="M36" s="35"/>
      <x:c r="N36" s="2"/>
      <x:c r="O36" s="2"/>
      <x:c r="P36" s="2"/>
    </x:row>
    <x:row r="37" ht="19" customHeight="1">
      <x:c r="A37" s="2"/>
      <x:c r="B37" s="2"/>
      <x:c r="C37" s="2" t="str">
        <x:v>PV of terminal value</x:v>
      </x:c>
      <x:c r="D37" s="11"/>
      <x:c r="E37" s="11"/>
      <x:c r="F37" s="11"/>
      <x:c r="G37" s="11"/>
      <x:c r="H37" s="24" t="str">
        <x:f>IF(AND(ISNUMBER(H36),ISNUMBER(M20)),H36*M20,"")</x:f>
      </x:c>
      <x:c r="I37" s="35"/>
      <x:c r="J37" s="35"/>
      <x:c r="K37" s="35"/>
      <x:c r="L37" s="35"/>
      <x:c r="M37" s="35"/>
      <x:c r="N37" s="2"/>
      <x:c r="O37" s="2"/>
      <x:c r="P37" s="2"/>
    </x:row>
    <x:row r="38" ht="19" customHeight="1">
      <x:c r="A38" s="2"/>
      <x:c r="B38" s="2"/>
      <x:c r="C38" s="2"/>
      <x:c r="D38" s="2"/>
      <x:c r="E38" s="2"/>
      <x:c r="F38" s="2"/>
      <x:c r="G38" s="2"/>
      <x:c r="H38" s="2"/>
      <x:c r="I38" s="34"/>
      <x:c r="J38" s="34"/>
      <x:c r="K38" s="34"/>
      <x:c r="L38" s="34"/>
      <x:c r="M38" s="34"/>
      <x:c r="N38" s="2"/>
      <x:c r="O38" s="2"/>
      <x:c r="P38" s="2"/>
    </x:row>
    <x:row r="39" ht="19" customHeight="1">
      <x:c r="A39" s="2"/>
      <x:c r="B39" s="2"/>
      <x:c r="C39" s="18" t="str">
        <x:v>Enterprise value</x:v>
      </x:c>
      <x:c r="D39" s="19"/>
      <x:c r="E39" s="19"/>
      <x:c r="F39" s="19"/>
      <x:c r="G39" s="19"/>
      <x:c r="H39" s="23" t="str">
        <x:f>IF(AND(ISNUMBER(H34),ISNUMBER(H37)),SUM(H34,H37),"")</x:f>
      </x:c>
      <x:c r="I39" s="19"/>
      <x:c r="J39" s="19"/>
      <x:c r="K39" s="19"/>
      <x:c r="L39" s="19"/>
      <x:c r="M39" s="19"/>
      <x:c r="N39" s="2"/>
      <x:c r="O39" s="2"/>
      <x:c r="P39" s="2"/>
    </x:row>
    <x:row r="40" ht="19" customHeight="1">
      <x:c r="A40" s="2"/>
      <x:c r="B40" s="2"/>
      <x:c r="C40" s="18" t="str">
        <x:v>Equity value</x:v>
      </x:c>
      <x:c r="D40" s="19"/>
      <x:c r="E40" s="19"/>
      <x:c r="F40" s="19"/>
      <x:c r="G40" s="19"/>
      <x:c r="H40" s="23" t="str">
        <x:f>IF(AND(ISNUMBER(H39),ISNUMBER(H29),ISNUMBER(H30)),H39-H29-H30,"")</x:f>
      </x:c>
      <x:c r="I40" s="19"/>
      <x:c r="J40" s="19"/>
      <x:c r="K40" s="19"/>
      <x:c r="L40" s="19"/>
      <x:c r="M40" s="19"/>
      <x:c r="N40" s="2"/>
      <x:c r="O40" s="2"/>
      <x:c r="P40" s="2"/>
    </x:row>
    <x:row r="41" ht="19" customHeight="1">
      <x:c r="A41" s="2"/>
      <x:c r="B41" s="2"/>
      <x:c r="C41" s="18" t="str">
        <x:v>Value per share (INR)</x:v>
      </x:c>
      <x:c r="D41" s="60"/>
      <x:c r="E41" s="60"/>
      <x:c r="F41" s="60"/>
      <x:c r="G41" s="60"/>
      <x:c r="H41" s="61" t="str">
        <x:f>IF(AND(ISNUMBER(H40),ISNUMBER(H31),H31&gt;0),H40/H31,"")</x:f>
      </x:c>
      <x:c r="I41" s="60"/>
      <x:c r="J41" s="60"/>
      <x:c r="K41" s="60"/>
      <x:c r="L41" s="60"/>
      <x:c r="M41" s="60"/>
      <x:c r="N41" s="2"/>
      <x:c r="O41" s="2"/>
      <x:c r="P41" s="2"/>
    </x:row>
    <x:row r="42" ht="19" customHeight="1">
      <x:c r="A42" s="2"/>
      <x:c r="B42" s="2"/>
      <x:c r="C42" s="2"/>
      <x:c r="D42" s="2"/>
      <x:c r="E42" s="2"/>
      <x:c r="F42" s="2"/>
      <x:c r="G42" s="2"/>
      <x:c r="H42" s="2"/>
      <x:c r="I42" s="34"/>
      <x:c r="J42" s="34"/>
      <x:c r="K42" s="34"/>
      <x:c r="L42" s="34"/>
      <x:c r="M42" s="34"/>
      <x:c r="N42" s="2"/>
      <x:c r="O42" s="2"/>
      <x:c r="P42" s="2"/>
    </x:row>
    <x:row r="43" ht="19" customHeight="1">
      <x:c r="A43" s="2"/>
      <x:c r="B43" s="2"/>
      <x:c r="C43" s="2"/>
      <x:c r="D43" s="2"/>
      <x:c r="E43" s="2"/>
      <x:c r="F43" s="2"/>
      <x:c r="G43" s="2"/>
      <x:c r="H43" s="2"/>
      <x:c r="I43" s="34"/>
      <x:c r="J43" s="34"/>
      <x:c r="K43" s="34"/>
      <x:c r="L43" s="34"/>
      <x:c r="M43" s="34"/>
      <x:c r="N43" s="2"/>
      <x:c r="O43" s="2"/>
      <x:c r="P43" s="2"/>
    </x:row>
    <x:row r="44" ht="19" customHeight="1">
      <x:c r="A44" s="2"/>
      <x:c r="B44" s="2"/>
      <x:c r="C44" s="2"/>
      <x:c r="D44" s="2"/>
      <x:c r="E44" s="2"/>
      <x:c r="F44" s="2"/>
      <x:c r="G44" s="2"/>
      <x:c r="H44" s="2"/>
      <x:c r="I44" s="34"/>
      <x:c r="J44" s="34"/>
      <x:c r="K44" s="34"/>
      <x:c r="L44" s="34"/>
      <x:c r="M44" s="34"/>
      <x:c r="N44" s="2"/>
      <x:c r="O44" s="2"/>
      <x:c r="P44" s="2"/>
    </x:row>
    <x:row r="45" ht="19" customHeight="1">
      <x:c r="A45" s="2"/>
      <x:c r="B45" s="2"/>
      <x:c r="C45" s="2"/>
      <x:c r="D45" s="2"/>
      <x:c r="E45" s="2"/>
      <x:c r="F45" s="2"/>
      <x:c r="G45" s="2"/>
      <x:c r="H45" s="2"/>
      <x:c r="I45" s="34"/>
      <x:c r="J45" s="34"/>
      <x:c r="K45" s="34"/>
      <x:c r="L45" s="34"/>
      <x:c r="M45" s="34"/>
      <x:c r="N45" s="2"/>
      <x:c r="O45" s="2"/>
      <x:c r="P45" s="2"/>
    </x:row>
    <x:row r="46" ht="19" customHeight="1">
      <x:c r="A46" s="2"/>
      <x:c r="B46" s="2"/>
      <x:c r="C46" s="2"/>
      <x:c r="D46" s="2"/>
      <x:c r="E46" s="2"/>
      <x:c r="F46" s="2"/>
      <x:c r="G46" s="2"/>
      <x:c r="H46" s="2"/>
      <x:c r="I46" s="34"/>
      <x:c r="J46" s="34"/>
      <x:c r="K46" s="34"/>
      <x:c r="L46" s="34"/>
      <x:c r="M46" s="34"/>
      <x:c r="N46" s="2"/>
      <x:c r="O46" s="2"/>
      <x:c r="P46" s="2"/>
    </x:row>
    <x:row r="47" ht="19" customHeight="1">
      <x:c r="A47" s="2"/>
      <x:c r="B47" s="2"/>
      <x:c r="C47" s="2"/>
      <x:c r="D47" s="2"/>
      <x:c r="E47" s="2"/>
      <x:c r="F47" s="2"/>
      <x:c r="G47" s="2"/>
      <x:c r="H47" s="2"/>
      <x:c r="I47" s="34"/>
      <x:c r="J47" s="34"/>
      <x:c r="K47" s="34"/>
      <x:c r="L47" s="34"/>
      <x:c r="M47" s="34"/>
      <x:c r="N47" s="2"/>
      <x:c r="O47" s="2"/>
      <x:c r="P47" s="2"/>
    </x:row>
    <x:row r="48" ht="19" customHeight="1">
      <x:c r="A48" s="2"/>
      <x:c r="B48" s="2"/>
      <x:c r="C48" s="2"/>
      <x:c r="D48" s="2"/>
      <x:c r="E48" s="2"/>
      <x:c r="F48" s="2"/>
      <x:c r="G48" s="2"/>
      <x:c r="H48" s="2"/>
      <x:c r="I48" s="34"/>
      <x:c r="J48" s="34"/>
      <x:c r="K48" s="34"/>
      <x:c r="L48" s="34"/>
      <x:c r="M48" s="34"/>
      <x:c r="N48" s="2"/>
      <x:c r="O48" s="2"/>
      <x:c r="P48" s="2"/>
    </x:row>
    <x:row r="49" ht="19" customHeight="1">
      <x:c r="A49" s="2"/>
      <x:c r="B49" s="2"/>
      <x:c r="C49" s="2"/>
      <x:c r="D49" s="2"/>
      <x:c r="E49" s="2"/>
      <x:c r="F49" s="2"/>
      <x:c r="G49" s="2"/>
      <x:c r="H49" s="2"/>
      <x:c r="I49" s="34"/>
      <x:c r="J49" s="34"/>
      <x:c r="K49" s="34"/>
      <x:c r="L49" s="34"/>
      <x:c r="M49" s="34"/>
      <x:c r="N49" s="2"/>
      <x:c r="O49" s="2"/>
      <x:c r="P49" s="2"/>
    </x:row>
    <x:row r="50" ht="19" customHeight="1">
      <x:c r="A50" s="2"/>
      <x:c r="B50" s="2"/>
      <x:c r="C50" s="2"/>
      <x:c r="D50" s="2"/>
      <x:c r="E50" s="2"/>
      <x:c r="F50" s="2"/>
      <x:c r="G50" s="2"/>
      <x:c r="H50" s="2"/>
      <x:c r="I50" s="34"/>
      <x:c r="J50" s="34"/>
      <x:c r="K50" s="34"/>
      <x:c r="L50" s="34"/>
      <x:c r="M50" s="34"/>
      <x:c r="N50" s="2"/>
      <x:c r="O50" s="2"/>
      <x:c r="P50" s="2"/>
    </x:row>
    <x:row r="51" ht="19" customHeight="1">
      <x:c r="A51" s="2"/>
      <x:c r="B51" s="2"/>
      <x:c r="C51" s="2"/>
      <x:c r="D51" s="2"/>
      <x:c r="E51" s="2"/>
      <x:c r="F51" s="2"/>
      <x:c r="G51" s="2"/>
      <x:c r="H51" s="2"/>
      <x:c r="I51" s="34"/>
      <x:c r="J51" s="34"/>
      <x:c r="K51" s="34"/>
      <x:c r="L51" s="34"/>
      <x:c r="M51" s="34"/>
      <x:c r="N51" s="2"/>
      <x:c r="O51" s="2"/>
      <x:c r="P51" s="2"/>
    </x:row>
    <x:row r="52" ht="19" customHeight="1">
      <x:c r="A52" s="2"/>
      <x:c r="B52" s="2"/>
      <x:c r="C52" s="2"/>
      <x:c r="D52" s="2"/>
      <x:c r="E52" s="2"/>
      <x:c r="F52" s="2"/>
      <x:c r="G52" s="2"/>
      <x:c r="H52" s="2"/>
      <x:c r="I52" s="34"/>
      <x:c r="J52" s="34"/>
      <x:c r="K52" s="34"/>
      <x:c r="L52" s="34"/>
      <x:c r="M52" s="34"/>
      <x:c r="N52" s="2"/>
      <x:c r="O52" s="2"/>
      <x:c r="P52" s="2"/>
    </x:row>
    <x:row r="53" ht="19" customHeight="1">
      <x:c r="A53" s="2"/>
      <x:c r="B53" s="2"/>
      <x:c r="C53" s="2"/>
      <x:c r="D53" s="2"/>
      <x:c r="E53" s="2"/>
      <x:c r="F53" s="2"/>
      <x:c r="G53" s="2"/>
      <x:c r="H53" s="2"/>
      <x:c r="I53" s="34"/>
      <x:c r="J53" s="34"/>
      <x:c r="K53" s="34"/>
      <x:c r="L53" s="34"/>
      <x:c r="M53" s="34"/>
      <x:c r="N53" s="2"/>
      <x:c r="O53" s="2"/>
      <x:c r="P53" s="2"/>
    </x:row>
    <x:row r="54" ht="19" customHeight="1">
      <x:c r="A54" s="2"/>
      <x:c r="B54" s="2"/>
      <x:c r="C54" s="2"/>
      <x:c r="D54" s="2"/>
      <x:c r="E54" s="2"/>
      <x:c r="F54" s="2"/>
      <x:c r="G54" s="2"/>
      <x:c r="H54" s="2"/>
      <x:c r="I54" s="34"/>
      <x:c r="J54" s="34"/>
      <x:c r="K54" s="34"/>
      <x:c r="L54" s="34"/>
      <x:c r="M54" s="34"/>
      <x:c r="N54" s="2"/>
      <x:c r="O54" s="2"/>
      <x:c r="P54" s="2"/>
    </x:row>
    <x:row r="55" ht="19" customHeight="1">
      <x:c r="A55" s="2"/>
      <x:c r="B55" s="2"/>
      <x:c r="C55" s="2"/>
      <x:c r="D55" s="2"/>
      <x:c r="E55" s="2"/>
      <x:c r="F55" s="2"/>
      <x:c r="G55" s="2"/>
      <x:c r="H55" s="2"/>
      <x:c r="I55" s="34"/>
      <x:c r="J55" s="34"/>
      <x:c r="K55" s="34"/>
      <x:c r="L55" s="34"/>
      <x:c r="M55" s="34"/>
      <x:c r="N55" s="2"/>
      <x:c r="O55" s="2"/>
      <x:c r="P55" s="2"/>
    </x:row>
    <x:row r="56" ht="19" customHeight="1">
      <x:c r="A56" s="2"/>
      <x:c r="B56" s="2"/>
      <x:c r="C56" s="2"/>
      <x:c r="D56" s="2"/>
      <x:c r="E56" s="2"/>
      <x:c r="F56" s="2"/>
      <x:c r="G56" s="2"/>
      <x:c r="H56" s="2"/>
      <x:c r="I56" s="34"/>
      <x:c r="J56" s="34"/>
      <x:c r="K56" s="34"/>
      <x:c r="L56" s="34"/>
      <x:c r="M56" s="34"/>
      <x:c r="N56" s="2"/>
      <x:c r="O56" s="2"/>
      <x:c r="P56" s="2"/>
    </x:row>
    <x:row r="57" ht="19" customHeight="1">
      <x:c r="A57" s="2"/>
      <x:c r="B57" s="2"/>
      <x:c r="C57" s="2"/>
      <x:c r="D57" s="2"/>
      <x:c r="E57" s="2"/>
      <x:c r="F57" s="2"/>
      <x:c r="G57" s="2"/>
      <x:c r="H57" s="2"/>
      <x:c r="I57" s="34"/>
      <x:c r="J57" s="34"/>
      <x:c r="K57" s="34"/>
      <x:c r="L57" s="34"/>
      <x:c r="M57" s="34"/>
      <x:c r="N57" s="2"/>
      <x:c r="O57" s="2"/>
      <x:c r="P57" s="2"/>
    </x:row>
    <x:row r="58" ht="19" customHeight="1">
      <x:c r="A58" s="2"/>
      <x:c r="B58" s="2"/>
      <x:c r="C58" s="2"/>
      <x:c r="D58" s="2"/>
      <x:c r="E58" s="2"/>
      <x:c r="F58" s="2"/>
      <x:c r="G58" s="2"/>
      <x:c r="H58" s="2"/>
      <x:c r="I58" s="34"/>
      <x:c r="J58" s="34"/>
      <x:c r="K58" s="34"/>
      <x:c r="L58" s="34"/>
      <x:c r="M58" s="34"/>
      <x:c r="N58" s="2"/>
      <x:c r="O58" s="2"/>
      <x:c r="P58" s="2"/>
    </x:row>
    <x:row r="59" ht="19" customHeight="1">
      <x:c r="A59" s="2"/>
      <x:c r="B59" s="2"/>
      <x:c r="C59" s="2"/>
      <x:c r="D59" s="2"/>
      <x:c r="E59" s="2"/>
      <x:c r="F59" s="2"/>
      <x:c r="G59" s="2"/>
      <x:c r="H59" s="2"/>
      <x:c r="I59" s="34"/>
      <x:c r="J59" s="34"/>
      <x:c r="K59" s="34"/>
      <x:c r="L59" s="34"/>
      <x:c r="M59" s="34"/>
      <x:c r="N59" s="2"/>
      <x:c r="O59" s="2"/>
      <x:c r="P59" s="2"/>
    </x:row>
    <x:row r="60" ht="19" customHeight="1">
      <x:c r="A60" s="2"/>
      <x:c r="B60" s="2"/>
      <x:c r="C60" s="2"/>
      <x:c r="D60" s="2"/>
      <x:c r="E60" s="2"/>
      <x:c r="F60" s="2"/>
      <x:c r="G60" s="2"/>
      <x:c r="H60" s="2"/>
      <x:c r="I60" s="34"/>
      <x:c r="J60" s="34"/>
      <x:c r="K60" s="34"/>
      <x:c r="L60" s="34"/>
      <x:c r="M60" s="34"/>
      <x:c r="N60" s="2"/>
      <x:c r="O60" s="2"/>
      <x:c r="P60" s="2"/>
    </x:row>
    <x:row r="61" ht="19" customHeight="1">
      <x:c r="A61" s="2"/>
      <x:c r="B61" s="2"/>
      <x:c r="C61" s="2"/>
      <x:c r="D61" s="2"/>
      <x:c r="E61" s="2"/>
      <x:c r="F61" s="2"/>
      <x:c r="G61" s="2"/>
      <x:c r="H61" s="2"/>
      <x:c r="I61" s="34"/>
      <x:c r="J61" s="34"/>
      <x:c r="K61" s="34"/>
      <x:c r="L61" s="34"/>
      <x:c r="M61" s="34"/>
      <x:c r="N61" s="2"/>
      <x:c r="O61" s="2"/>
      <x:c r="P61" s="2"/>
    </x:row>
    <x:row r="62" ht="19" customHeight="1">
      <x:c r="A62" s="2"/>
      <x:c r="B62" s="2"/>
      <x:c r="C62" s="2"/>
      <x:c r="D62" s="2"/>
      <x:c r="E62" s="2"/>
      <x:c r="F62" s="2"/>
      <x:c r="G62" s="2"/>
      <x:c r="H62" s="2"/>
      <x:c r="I62" s="34"/>
      <x:c r="J62" s="34"/>
      <x:c r="K62" s="34"/>
      <x:c r="L62" s="34"/>
      <x:c r="M62" s="34"/>
      <x:c r="N62" s="2"/>
      <x:c r="O62" s="2"/>
      <x:c r="P62" s="2"/>
    </x:row>
    <x:row r="63" ht="19" customHeight="1">
      <x:c r="A63" s="2"/>
      <x:c r="B63" s="2"/>
      <x:c r="C63" s="2"/>
      <x:c r="D63" s="2"/>
      <x:c r="E63" s="2"/>
      <x:c r="F63" s="2"/>
      <x:c r="G63" s="2"/>
      <x:c r="H63" s="2"/>
      <x:c r="I63" s="34"/>
      <x:c r="J63" s="34"/>
      <x:c r="K63" s="34"/>
      <x:c r="L63" s="34"/>
      <x:c r="M63" s="34"/>
      <x:c r="N63" s="2"/>
      <x:c r="O63" s="2"/>
      <x:c r="P63" s="2"/>
    </x:row>
    <x:row r="64" ht="19" customHeight="1">
      <x:c r="A64" s="2"/>
      <x:c r="B64" s="2"/>
      <x:c r="C64" s="2"/>
      <x:c r="D64" s="2"/>
      <x:c r="E64" s="2"/>
      <x:c r="F64" s="2"/>
      <x:c r="G64" s="2"/>
      <x:c r="H64" s="2"/>
      <x:c r="I64" s="34"/>
      <x:c r="J64" s="34"/>
      <x:c r="K64" s="34"/>
      <x:c r="L64" s="34"/>
      <x:c r="M64" s="34"/>
      <x:c r="N64" s="2"/>
      <x:c r="O64" s="2"/>
      <x:c r="P64" s="2"/>
    </x:row>
    <x:row r="65" ht="19" customHeight="1">
      <x:c r="A65" s="2"/>
      <x:c r="B65" s="2"/>
      <x:c r="C65" s="2"/>
      <x:c r="D65" s="2"/>
      <x:c r="E65" s="2"/>
      <x:c r="F65" s="2"/>
      <x:c r="G65" s="2"/>
      <x:c r="H65" s="2"/>
      <x:c r="I65" s="34"/>
      <x:c r="J65" s="34"/>
      <x:c r="K65" s="34"/>
      <x:c r="L65" s="34"/>
      <x:c r="M65" s="34"/>
      <x:c r="N65" s="2"/>
      <x:c r="O65" s="2"/>
      <x:c r="P65" s="2"/>
    </x:row>
    <x:row r="66" ht="19" customHeight="1">
      <x:c r="A66" s="2"/>
      <x:c r="B66" s="2"/>
      <x:c r="C66" s="2"/>
      <x:c r="D66" s="2"/>
      <x:c r="E66" s="2"/>
      <x:c r="F66" s="2"/>
      <x:c r="G66" s="2"/>
      <x:c r="H66" s="2"/>
      <x:c r="I66" s="34"/>
      <x:c r="J66" s="34"/>
      <x:c r="K66" s="34"/>
      <x:c r="L66" s="34"/>
      <x:c r="M66" s="34"/>
      <x:c r="N66" s="2"/>
      <x:c r="O66" s="2"/>
      <x:c r="P66" s="2"/>
    </x:row>
    <x:row r="67" ht="19" customHeight="1">
      <x:c r="A67" s="2"/>
      <x:c r="B67" s="2"/>
      <x:c r="C67" s="2"/>
      <x:c r="D67" s="2"/>
      <x:c r="E67" s="2"/>
      <x:c r="F67" s="2"/>
      <x:c r="G67" s="2"/>
      <x:c r="H67" s="2"/>
      <x:c r="I67" s="34"/>
      <x:c r="J67" s="34"/>
      <x:c r="K67" s="34"/>
      <x:c r="L67" s="34"/>
      <x:c r="M67" s="34"/>
      <x:c r="N67" s="2"/>
      <x:c r="O67" s="2"/>
      <x:c r="P67" s="2"/>
    </x:row>
    <x:row r="68" ht="19" customHeight="1">
      <x:c r="A68" s="2"/>
      <x:c r="B68" s="2"/>
      <x:c r="C68" s="2"/>
      <x:c r="D68" s="2"/>
      <x:c r="E68" s="2"/>
      <x:c r="F68" s="2"/>
      <x:c r="G68" s="2"/>
      <x:c r="H68" s="2"/>
      <x:c r="I68" s="34"/>
      <x:c r="J68" s="34"/>
      <x:c r="K68" s="34"/>
      <x:c r="L68" s="34"/>
      <x:c r="M68" s="34"/>
      <x:c r="N68" s="2"/>
      <x:c r="O68" s="2"/>
      <x:c r="P68" s="2"/>
    </x:row>
    <x:row r="69" ht="19" customHeight="1">
      <x:c r="A69" s="2"/>
      <x:c r="B69" s="2"/>
      <x:c r="C69" s="2"/>
      <x:c r="D69" s="2"/>
      <x:c r="E69" s="2"/>
      <x:c r="F69" s="2"/>
      <x:c r="G69" s="2"/>
      <x:c r="H69" s="2"/>
      <x:c r="I69" s="34"/>
      <x:c r="J69" s="34"/>
      <x:c r="K69" s="34"/>
      <x:c r="L69" s="34"/>
      <x:c r="M69" s="34"/>
      <x:c r="N69" s="2"/>
      <x:c r="O69" s="2"/>
      <x:c r="P69" s="2"/>
    </x:row>
    <x:row r="70" ht="19" customHeight="1">
      <x:c r="A70" s="2"/>
      <x:c r="B70" s="2"/>
      <x:c r="C70" s="2"/>
      <x:c r="D70" s="2"/>
      <x:c r="E70" s="2"/>
      <x:c r="F70" s="2"/>
      <x:c r="G70" s="2"/>
      <x:c r="H70" s="2"/>
      <x:c r="I70" s="34"/>
      <x:c r="J70" s="34"/>
      <x:c r="K70" s="34"/>
      <x:c r="L70" s="34"/>
      <x:c r="M70" s="34"/>
      <x:c r="N70" s="2"/>
      <x:c r="O70" s="2"/>
      <x:c r="P70" s="2"/>
    </x:row>
    <x:row r="71" ht="19" customHeight="1">
      <x:c r="A71" s="2"/>
      <x:c r="B71" s="2"/>
      <x:c r="C71" s="2"/>
      <x:c r="D71" s="2"/>
      <x:c r="E71" s="2"/>
      <x:c r="F71" s="2"/>
      <x:c r="G71" s="2"/>
      <x:c r="H71" s="2"/>
      <x:c r="I71" s="34"/>
      <x:c r="J71" s="34"/>
      <x:c r="K71" s="34"/>
      <x:c r="L71" s="34"/>
      <x:c r="M71" s="34"/>
      <x:c r="N71" s="2"/>
      <x:c r="O71" s="2"/>
      <x:c r="P71" s="2"/>
    </x:row>
    <x:row r="72" ht="19" customHeight="1">
      <x:c r="A72" s="2"/>
      <x:c r="B72" s="2"/>
      <x:c r="C72" s="2"/>
      <x:c r="D72" s="2"/>
      <x:c r="E72" s="2"/>
      <x:c r="F72" s="2"/>
      <x:c r="G72" s="2"/>
      <x:c r="H72" s="2"/>
      <x:c r="I72" s="34"/>
      <x:c r="J72" s="34"/>
      <x:c r="K72" s="34"/>
      <x:c r="L72" s="34"/>
      <x:c r="M72" s="34"/>
      <x:c r="N72" s="2"/>
      <x:c r="O72" s="2"/>
      <x:c r="P72" s="2"/>
    </x:row>
    <x:row r="73" ht="19" customHeight="1">
      <x:c r="A73" s="2"/>
      <x:c r="B73" s="2"/>
      <x:c r="C73" s="2"/>
      <x:c r="D73" s="2"/>
      <x:c r="E73" s="2"/>
      <x:c r="F73" s="2"/>
      <x:c r="G73" s="2"/>
      <x:c r="H73" s="2"/>
      <x:c r="I73" s="34"/>
      <x:c r="J73" s="34"/>
      <x:c r="K73" s="34"/>
      <x:c r="L73" s="34"/>
      <x:c r="M73" s="34"/>
      <x:c r="N73" s="2"/>
      <x:c r="O73" s="2"/>
      <x:c r="P73" s="2"/>
    </x:row>
    <x:row r="74" ht="19" customHeight="1">
      <x:c r="A74" s="2"/>
      <x:c r="B74" s="2"/>
      <x:c r="C74" s="2"/>
      <x:c r="D74" s="2"/>
      <x:c r="E74" s="2"/>
      <x:c r="F74" s="2"/>
      <x:c r="G74" s="2"/>
      <x:c r="H74" s="2"/>
      <x:c r="I74" s="34"/>
      <x:c r="J74" s="34"/>
      <x:c r="K74" s="34"/>
      <x:c r="L74" s="34"/>
      <x:c r="M74" s="34"/>
      <x:c r="N74" s="2"/>
      <x:c r="O74" s="2"/>
      <x:c r="P74" s="2"/>
    </x:row>
    <x:row r="75" ht="19" customHeight="1">
      <x:c r="A75" s="2"/>
      <x:c r="B75" s="2"/>
      <x:c r="C75" s="2"/>
      <x:c r="D75" s="2"/>
      <x:c r="E75" s="2"/>
      <x:c r="F75" s="2"/>
      <x:c r="G75" s="2"/>
      <x:c r="H75" s="2"/>
      <x:c r="I75" s="34"/>
      <x:c r="J75" s="34"/>
      <x:c r="K75" s="34"/>
      <x:c r="L75" s="34"/>
      <x:c r="M75" s="34"/>
      <x:c r="N75" s="2"/>
      <x:c r="O75" s="2"/>
      <x:c r="P75" s="2"/>
    </x:row>
  </x:sheetData>
  <x:mergeCells>
    <x:mergeCell ref="C4:M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791AA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5" hidden="0" customWidth="1"/>
    <x:col min="16" max="16" width="3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9" customHeight="1">
      <x:c r="A2" s="2"/>
      <x:c r="B2" s="2"/>
      <x:c r="C2" s="3" t="str">
        <x:v>Comparable-company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</x:row>
    <x:row r="4" ht="30" customHeight="1">
      <x:c r="A4" s="2"/>
      <x:c r="B4" s="2"/>
      <x:c r="C4" s="84" t="str">
        <x:v>Next stage: choose peers and align price dates, accounting basis and financial periods.</x:v>
      </x:c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2"/>
      <x:c r="O4" s="2"/>
      <x:c r="P4" s="2"/>
    </x:row>
    <x:row r="5" ht="1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2" customHeight="1">
      <x:c r="A6" s="2"/>
      <x:c r="B6" s="2"/>
      <x:c r="C6" s="63" t="str">
        <x:v>Company</x:v>
      </x:c>
      <x:c r="D6" s="64" t="str">
        <x:v>Price date</x:v>
      </x:c>
      <x:c r="E6" s="64" t="str">
        <x:v>Price (INR)</x:v>
      </x:c>
      <x:c r="F6" s="64" t="str">
        <x:v>Shares (m)</x:v>
      </x:c>
      <x:c r="G6" s="64" t="str">
        <x:v>Net debt</x:v>
      </x:c>
      <x:c r="H6" s="64" t="str">
        <x:v>Other claims</x:v>
      </x:c>
      <x:c r="I6" s="63" t="str">
        <x:v>Revenue</x:v>
      </x:c>
      <x:c r="J6" s="63" t="str">
        <x:v>EBITDA</x:v>
      </x:c>
      <x:c r="K6" s="63" t="str">
        <x:v>Parent PAT</x:v>
      </x:c>
      <x:c r="L6" s="63" t="str">
        <x:v>EV / EBITDA</x:v>
      </x:c>
      <x:c r="M6" s="63" t="str">
        <x:v>P / E</x:v>
      </x:c>
      <x:c r="N6" s="2"/>
      <x:c r="O6" s="2"/>
      <x:c r="P6" s="2"/>
    </x:row>
    <x:row r="7" ht="19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19" customHeight="1">
      <x:c r="A8" s="2"/>
      <x:c r="B8" s="2"/>
      <x:c r="C8" s="2" t="str">
        <x:v>Polycab India</x:v>
      </x:c>
      <x:c r="D8" s="88"/>
      <x:c r="E8" s="48"/>
      <x:c r="F8" s="48"/>
      <x:c r="G8" s="48"/>
      <x:c r="H8" s="48"/>
      <x:c r="I8" s="89" t="n">
        <x:f>IF(ISNUMBER('02_Historical_FS'!H43),'02_Historical_FS'!H43,"")</x:f>
        <x:v>288837.92</x:v>
      </x:c>
      <x:c r="J8" s="89" t="n">
        <x:f>IF(ISNUMBER('02_Historical_FS'!H16),'02_Historical_FS'!H16,"")</x:f>
        <x:v>40057.280000000006</x:v>
      </x:c>
      <x:c r="K8" s="89" t="n">
        <x:f>IF(ISNUMBER('02_Historical_FS'!H60),'02_Historical_FS'!H60,"")</x:f>
        <x:v>26720.33</x:v>
      </x:c>
      <x:c r="L8" s="68" t="str">
        <x:f>IF(AND(ISNUMBER(E8),ISNUMBER(F8),ISNUMBER(G8),ISNUMBER(H8),ISNUMBER(J8),J8&gt;0),(E8*F8+G8+H8)/J8,"")</x:f>
      </x:c>
      <x:c r="M8" s="68" t="str">
        <x:f>IF(AND(ISNUMBER(E8),ISNUMBER(F8),ISNUMBER(K8),K8&gt;0),E8*F8/K8,"")</x:f>
      </x:c>
      <x:c r="N8" s="2"/>
      <x:c r="O8" s="13" t="str">
        <x:v>Polycab earnings are FY26 actuals. Prices, share base, adjusted net debt and claims remain unfilled.</x:v>
      </x:c>
      <x:c r="P8" s="2"/>
    </x:row>
    <x:row r="9" ht="19" customHeight="1">
      <x:c r="A9" s="2"/>
      <x:c r="B9" s="2"/>
      <x:c r="C9" s="2" t="str">
        <x:v>Peer to select</x:v>
      </x:c>
      <x:c r="D9" s="88"/>
      <x:c r="E9" s="48"/>
      <x:c r="F9" s="48"/>
      <x:c r="G9" s="48"/>
      <x:c r="H9" s="48"/>
      <x:c r="I9" s="48"/>
      <x:c r="J9" s="48"/>
      <x:c r="K9" s="48"/>
      <x:c r="L9" s="68" t="str">
        <x:f>IF(AND(ISNUMBER(E9),ISNUMBER(F9),ISNUMBER(G9),ISNUMBER(H9),ISNUMBER(J9),J9&gt;0),(E9*F9+G9+H9)/J9,"")</x:f>
      </x:c>
      <x:c r="M9" s="68" t="str">
        <x:f>IF(AND(ISNUMBER(E9),ISNUMBER(F9),ISNUMBER(K9),K9&gt;0),E9*F9/K9,"")</x:f>
      </x:c>
      <x:c r="N9" s="2"/>
      <x:c r="O9" s="2"/>
      <x:c r="P9" s="2"/>
    </x:row>
    <x:row r="10" ht="19" customHeight="1">
      <x:c r="A10" s="2"/>
      <x:c r="B10" s="2"/>
      <x:c r="C10" s="2" t="str">
        <x:v>Peer to select</x:v>
      </x:c>
      <x:c r="D10" s="88"/>
      <x:c r="E10" s="48"/>
      <x:c r="F10" s="48"/>
      <x:c r="G10" s="48"/>
      <x:c r="H10" s="48"/>
      <x:c r="I10" s="48"/>
      <x:c r="J10" s="48"/>
      <x:c r="K10" s="48"/>
      <x:c r="L10" s="68" t="str">
        <x:f>IF(AND(ISNUMBER(E10),ISNUMBER(F10),ISNUMBER(G10),ISNUMBER(H10),ISNUMBER(J10),J10&gt;0),(E10*F10+G10+H10)/J10,"")</x:f>
      </x:c>
      <x:c r="M10" s="68" t="str">
        <x:f>IF(AND(ISNUMBER(E10),ISNUMBER(F10),ISNUMBER(K10),K10&gt;0),E10*F10/K10,"")</x:f>
      </x:c>
      <x:c r="N10" s="2"/>
      <x:c r="O10" s="2"/>
      <x:c r="P10" s="2"/>
    </x:row>
    <x:row r="11" ht="19" customHeight="1">
      <x:c r="A11" s="2"/>
      <x:c r="B11" s="2"/>
      <x:c r="C11" s="2" t="str">
        <x:v>Peer to select</x:v>
      </x:c>
      <x:c r="D11" s="88"/>
      <x:c r="E11" s="48"/>
      <x:c r="F11" s="48"/>
      <x:c r="G11" s="48"/>
      <x:c r="H11" s="48"/>
      <x:c r="I11" s="48"/>
      <x:c r="J11" s="48"/>
      <x:c r="K11" s="48"/>
      <x:c r="L11" s="68" t="str">
        <x:f>IF(AND(ISNUMBER(E11),ISNUMBER(F11),ISNUMBER(G11),ISNUMBER(H11),ISNUMBER(J11),J11&gt;0),(E11*F11+G11+H11)/J11,"")</x:f>
      </x:c>
      <x:c r="M11" s="68" t="str">
        <x:f>IF(AND(ISNUMBER(E11),ISNUMBER(F11),ISNUMBER(K11),K11&gt;0),E11*F11/K11,"")</x:f>
      </x:c>
      <x:c r="N11" s="2"/>
      <x:c r="O11" s="2"/>
      <x:c r="P11" s="2"/>
    </x:row>
    <x:row r="12" ht="19" customHeight="1">
      <x:c r="A12" s="2"/>
      <x:c r="B12" s="2"/>
      <x:c r="C12" s="2" t="str">
        <x:v>Peer to select</x:v>
      </x:c>
      <x:c r="D12" s="88"/>
      <x:c r="E12" s="48"/>
      <x:c r="F12" s="48"/>
      <x:c r="G12" s="48"/>
      <x:c r="H12" s="48"/>
      <x:c r="I12" s="48"/>
      <x:c r="J12" s="48"/>
      <x:c r="K12" s="48"/>
      <x:c r="L12" s="68" t="str">
        <x:f>IF(AND(ISNUMBER(E12),ISNUMBER(F12),ISNUMBER(G12),ISNUMBER(H12),ISNUMBER(J12),J12&gt;0),(E12*F12+G12+H12)/J12,"")</x:f>
      </x:c>
      <x:c r="M12" s="68" t="str">
        <x:f>IF(AND(ISNUMBER(E12),ISNUMBER(F12),ISNUMBER(K12),K12&gt;0),E12*F12/K12,"")</x:f>
      </x:c>
      <x:c r="N12" s="2"/>
      <x:c r="O12" s="2"/>
      <x:c r="P12" s="2"/>
    </x:row>
    <x:row r="13" ht="19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19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19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19" customHeight="1">
      <x:c r="A16" s="2"/>
      <x:c r="B16" s="2"/>
      <x:c r="C16" s="2" t="str">
        <x:v>Required comparability decisions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19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38" customHeight="1">
      <x:c r="A18" s="2"/>
      <x:c r="B18" s="2"/>
      <x:c r="C18" s="2" t="str">
        <x:v>Peer eligibility</x:v>
      </x:c>
      <x:c r="D18" s="86" t="str">
        <x:v>W&amp;C exposure, FMEG mix, export mix, growth, capital intensity and size.</x:v>
      </x:c>
      <x:c r="E18" s="86"/>
      <x:c r="F18" s="86"/>
      <x:c r="G18" s="86"/>
      <x:c r="H18" s="86"/>
      <x:c r="I18" s="86"/>
      <x:c r="J18" s="86"/>
      <x:c r="K18" s="86"/>
      <x:c r="L18" s="86"/>
      <x:c r="M18" s="86"/>
      <x:c r="N18" s="2"/>
      <x:c r="O18" s="13" t="str">
        <x:v>W&amp;C exposure, FMEG mix, export mix, growth, capital intensity and size.</x:v>
      </x:c>
      <x:c r="P18" s="2"/>
    </x:row>
    <x:row r="19" ht="19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38" customHeight="1">
      <x:c r="A20" s="2"/>
      <x:c r="B20" s="2"/>
      <x:c r="C20" s="2" t="str">
        <x:v>Metric basis</x:v>
      </x:c>
      <x:c r="D20" s="86" t="str">
        <x:v>Use the same period (FY26A, LTM or FY27E) across peers. Review leases and supplier financing consistently.</x:v>
      </x:c>
      <x:c r="E20" s="86"/>
      <x:c r="F20" s="86"/>
      <x:c r="G20" s="86"/>
      <x:c r="H20" s="86"/>
      <x:c r="I20" s="86"/>
      <x:c r="J20" s="86"/>
      <x:c r="K20" s="86"/>
      <x:c r="L20" s="86"/>
      <x:c r="M20" s="86"/>
      <x:c r="N20" s="2"/>
      <x:c r="O20" s="13" t="str">
        <x:v>Use the same period (FY26A, LTM or FY27E) across peers. Review leases and supplier financing consistently.</x:v>
      </x:c>
      <x:c r="P20" s="2"/>
    </x:row>
    <x:row r="21" ht="19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38" customHeight="1">
      <x:c r="A22" s="2"/>
      <x:c r="B22" s="2"/>
      <x:c r="C22" s="2" t="str">
        <x:v>Market-data sources</x:v>
      </x:c>
      <x:c r="D22" s="86" t="str">
        <x:v>Record primary exchange price/date and company filings for every populated peer.</x:v>
      </x:c>
      <x:c r="E22" s="86"/>
      <x:c r="F22" s="86"/>
      <x:c r="G22" s="86"/>
      <x:c r="H22" s="86"/>
      <x:c r="I22" s="86"/>
      <x:c r="J22" s="86"/>
      <x:c r="K22" s="86"/>
      <x:c r="L22" s="86"/>
      <x:c r="M22" s="86"/>
      <x:c r="N22" s="2"/>
      <x:c r="O22" s="13" t="str">
        <x:v>Record primary exchange price/date and company filings for every populated peer.</x:v>
      </x:c>
      <x:c r="P22" s="2"/>
    </x:row>
    <x:row r="23" ht="19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9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19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19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19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19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9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9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9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9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9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9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9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9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9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9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</x:sheetData>
  <x:mergeCells>
    <x:mergeCell ref="C4:M4"/>
    <x:mergeCell ref="D18:M18"/>
    <x:mergeCell ref="D20:M20"/>
    <x:mergeCell ref="D22:M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7791AA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5" hidden="0" customWidth="1"/>
    <x:col min="16" max="16" width="3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9" customHeight="1">
      <x:c r="A2" s="2"/>
      <x:c r="B2" s="2"/>
      <x:c r="C2" s="3" t="str">
        <x:v>Scenario framework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</x:row>
    <x:row r="4" ht="30" customHeight="1">
      <x:c r="A4" s="2"/>
      <x:c r="B4" s="2"/>
      <x:c r="C4" s="84" t="str">
        <x:v>Case inputs live together with their active selection on Drivers. No scenario forecasts have been assumed.</x:v>
      </x:c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2"/>
      <x:c r="O4" s="2"/>
      <x:c r="P4" s="2"/>
    </x:row>
    <x:row r="5" ht="1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19" customHeight="1">
      <x:c r="A6" s="2"/>
      <x:c r="B6" s="2"/>
      <x:c r="C6"/>
      <x:c r="D6"/>
      <x:c r="E6"/>
      <x:c r="F6"/>
      <x:c r="G6"/>
      <x:c r="H6"/>
      <x:c r="I6"/>
      <x:c r="J6"/>
      <x:c r="K6"/>
      <x:c r="L6"/>
      <x:c r="M6"/>
      <x:c r="N6" s="2"/>
      <x:c r="O6" s="2"/>
      <x:c r="P6" s="2"/>
    </x:row>
    <x:row r="7" ht="19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19" customHeight="1">
      <x:c r="A8" s="2"/>
      <x:c r="B8" s="2"/>
      <x:c r="C8" s="2" t="str">
        <x:v>Selected case</x:v>
      </x:c>
      <x:c r="D8" s="70" t="str">
        <x:f>CHOOSE('00_Cover'!D10,"Base","Bull","Bear")</x:f>
        <x:v>Base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19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19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48" customHeight="1">
      <x:c r="A11" s="2"/>
      <x:c r="B11" s="2"/>
      <x:c r="C11" s="2" t="str">
        <x:v>Base</x:v>
      </x:c>
      <x:c r="D11" s="86" t="str">
        <x:v>Evidence-supported central case. Demand, share gains, margins, capex and funding all require explicit input.</x:v>
      </x:c>
      <x:c r="E11" s="86"/>
      <x:c r="F11" s="86"/>
      <x:c r="G11" s="86"/>
      <x:c r="H11" s="86"/>
      <x:c r="I11" s="86"/>
      <x:c r="J11" s="86"/>
      <x:c r="K11" s="86"/>
      <x:c r="L11" s="86"/>
      <x:c r="M11" s="86"/>
      <x:c r="N11" s="2"/>
      <x:c r="O11" s="13" t="str">
        <x:v>Demand, share gains, margins, capex and funding all require explicit input.</x:v>
      </x:c>
      <x:c r="P11" s="2"/>
    </x:row>
    <x:row r="12" ht="19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19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19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19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48" customHeight="1">
      <x:c r="A16" s="2"/>
      <x:c r="B16" s="2"/>
      <x:c r="C16" s="2" t="str">
        <x:v>Bull</x:v>
      </x:c>
      <x:c r="D16" s="86" t="str">
        <x:v>Upside supported by a specific mechanism. Higher volume, share, export execution or FMEG profitability. Avoid changing every driver favourably.</x:v>
      </x:c>
      <x:c r="E16" s="86"/>
      <x:c r="F16" s="86"/>
      <x:c r="G16" s="86"/>
      <x:c r="H16" s="86"/>
      <x:c r="I16" s="86"/>
      <x:c r="J16" s="86"/>
      <x:c r="K16" s="86"/>
      <x:c r="L16" s="86"/>
      <x:c r="M16" s="86"/>
      <x:c r="N16" s="2"/>
      <x:c r="O16" s="13" t="str">
        <x:v>Higher volume, share, export execution or FMEG profitability. Avoid changing every driver favourably.</x:v>
      </x:c>
      <x:c r="P16" s="2"/>
    </x:row>
    <x:row r="17" ht="19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9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19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19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48" customHeight="1">
      <x:c r="A21" s="2"/>
      <x:c r="B21" s="2"/>
      <x:c r="C21" s="2" t="str">
        <x:v>Bear</x:v>
      </x:c>
      <x:c r="D21" s="86" t="str">
        <x:v>Downside supported by a specific mechanism. Demand slowdown, commodity lag, delayed EPC collections or persistent FMEG losses.</x:v>
      </x:c>
      <x:c r="E21" s="86"/>
      <x:c r="F21" s="86"/>
      <x:c r="G21" s="86"/>
      <x:c r="H21" s="86"/>
      <x:c r="I21" s="86"/>
      <x:c r="J21" s="86"/>
      <x:c r="K21" s="86"/>
      <x:c r="L21" s="86"/>
      <x:c r="M21" s="86"/>
      <x:c r="N21" s="2"/>
      <x:c r="O21" s="13" t="str">
        <x:v>Demand slowdown, commodity lag, delayed EPC collections or persistent FMEG losses.</x:v>
      </x:c>
      <x:c r="P21" s="2"/>
    </x:row>
    <x:row r="22" ht="19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19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9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19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19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19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38" customHeight="1">
      <x:c r="A28" s="2"/>
      <x:c r="B28" s="2"/>
      <x:c r="C28" s="2" t="str">
        <x:v>Live comparison</x:v>
      </x:c>
      <x:c r="D28" s="86" t="str">
        <x:v>Not calculated at this stage. Change the single case selector to evaluate the same model after assumptions are sourced.</x:v>
      </x:c>
      <x:c r="E28" s="86"/>
      <x:c r="F28" s="86"/>
      <x:c r="G28" s="86"/>
      <x:c r="H28" s="86"/>
      <x:c r="I28" s="86"/>
      <x:c r="J28" s="86"/>
      <x:c r="K28" s="86"/>
      <x:c r="L28" s="86"/>
      <x:c r="M28" s="86"/>
      <x:c r="N28" s="2"/>
      <x:c r="O28" s="13" t="str">
        <x:v>Not calculated at this stage. Change the single case selector to evaluate the same model after assumptions are sourced.</x:v>
      </x:c>
      <x:c r="P28" s="2"/>
    </x:row>
    <x:row r="29" ht="19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9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38" customHeight="1">
      <x:c r="A31" s="2"/>
      <x:c r="B31" s="2"/>
      <x:c r="C31" s="2" t="str">
        <x:v>Next review</x:v>
      </x:c>
      <x:c r="D31" s="86" t="str">
        <x:v>Document rationale and sources beside each input group, complete the three-statement reconciliation, then compare cases.</x:v>
      </x:c>
      <x:c r="E31" s="86"/>
      <x:c r="F31" s="86"/>
      <x:c r="G31" s="86"/>
      <x:c r="H31" s="86"/>
      <x:c r="I31" s="86"/>
      <x:c r="J31" s="86"/>
      <x:c r="K31" s="86"/>
      <x:c r="L31" s="86"/>
      <x:c r="M31" s="86"/>
      <x:c r="N31" s="2"/>
      <x:c r="O31" s="13" t="str">
        <x:v>Document rationale and sources beside each input group, complete the three-statement reconciliation, then compare cases.</x:v>
      </x:c>
      <x:c r="P31" s="2"/>
    </x:row>
    <x:row r="32" ht="19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9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9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9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9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9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9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19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9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9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19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</x:sheetData>
  <x:mergeCells>
    <x:mergeCell ref="C4:M4"/>
    <x:mergeCell ref="D11:M11"/>
    <x:mergeCell ref="D16:M16"/>
    <x:mergeCell ref="D21:M21"/>
    <x:mergeCell ref="D28:M28"/>
    <x:mergeCell ref="D31:M3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7791AA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5" hidden="0" customWidth="1"/>
    <x:col min="16" max="16" width="3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9" customHeight="1">
      <x:c r="A2" s="2"/>
      <x:c r="B2" s="2"/>
      <x:c r="C2" s="3" t="str">
        <x:v>Valuation sensitivity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</x:row>
    <x:row r="4" ht="30" customHeight="1">
      <x:c r="A4" s="2"/>
      <x:c r="B4" s="2"/>
      <x:c r="C4" s="84" t="str">
        <x:v>Formula-based WACC / terminal-growth grid. Axes intentionally blank.</x:v>
      </x:c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2"/>
      <x:c r="O4" s="2"/>
      <x:c r="P4" s="2"/>
    </x:row>
    <x:row r="5" ht="1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19" customHeight="1">
      <x:c r="A6" s="2"/>
      <x:c r="B6" s="2"/>
      <x:c r="C6" s="2" t="str">
        <x:v>INR million, unless specified</x:v>
      </x:c>
      <x:c r="D6" s="8"/>
      <x:c r="E6" s="8"/>
      <x:c r="F6" s="8"/>
      <x:c r="G6" s="8"/>
      <x:c r="H6" s="8"/>
      <x:c r="I6" s="2"/>
      <x:c r="J6" s="2"/>
      <x:c r="K6" s="2"/>
      <x:c r="L6" s="2"/>
      <x:c r="M6" s="2"/>
      <x:c r="N6" s="2"/>
      <x:c r="O6" s="2"/>
      <x:c r="P6" s="2"/>
    </x:row>
    <x:row r="7" ht="19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19" customHeight="1">
      <x:c r="A8" s="2"/>
      <x:c r="B8" s="2"/>
      <x:c r="C8" s="2" t="str">
        <x:v>Terminal growth across; WACC down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19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19" customHeight="1">
      <x:c r="A10" s="2"/>
      <x:c r="B10" s="2"/>
      <x:c r="C10" s="2"/>
      <x:c r="D10" s="2"/>
      <x:c r="E10" s="71"/>
      <x:c r="F10" s="71"/>
      <x:c r="G10" s="71"/>
      <x:c r="H10" s="71"/>
      <x:c r="I10" s="71"/>
      <x:c r="J10" s="2"/>
      <x:c r="K10" s="2"/>
      <x:c r="L10" s="2"/>
      <x:c r="M10" s="2"/>
      <x:c r="N10" s="2"/>
      <x:c r="O10" s="2"/>
      <x:c r="P10" s="2"/>
    </x:row>
    <x:row r="11" ht="19" customHeight="1">
      <x:c r="A11" s="2"/>
      <x:c r="B11" s="2"/>
      <x:c r="C11" s="2"/>
      <x:c r="D11" s="71"/>
      <x:c r="E11" s="55" t="str">
        <x:f>IF(AND(ISNUMBER($D11),ISNUMBER(E$10),$D11&gt;E$10,$D11&gt;-1,ISNUMBER('09_FCF_DCF'!$H$35),ISNUMBER('09_FCF_DCF'!$H$28),'09_FCF_DCF'!$H$28&gt;-1,COUNT('09_FCF_DCF'!I17:M17)=5,COUNT('09_FCF_DCF'!H29:H31)=3,'09_FCF_DCF'!$H$31&gt;0),(('09_FCF_DCF'!I17/(1+$D11)^1+'09_FCF_DCF'!J17/(1+$D11)^2+'09_FCF_DCF'!K17/(1+$D11)^3+'09_FCF_DCF'!L17/(1+$D11)^4+'09_FCF_DCF'!M17/(1+$D11)^5)+('09_FCF_DCF'!$H$35/(1+'09_FCF_DCF'!$H$28)*(1+E$10)/($D11-E$10))/(1+$D11)^5-'09_FCF_DCF'!$H$29-'09_FCF_DCF'!$H$30)/'09_FCF_DCF'!$H$31,"")</x:f>
      </x:c>
      <x:c r="F11" s="55" t="str">
        <x:f>IF(AND(ISNUMBER($D11),ISNUMBER(F$10),$D11&gt;F$10,$D11&gt;-1,ISNUMBER('09_FCF_DCF'!$H$35),ISNUMBER('09_FCF_DCF'!$H$28),'09_FCF_DCF'!$H$28&gt;-1,COUNT('09_FCF_DCF'!I17:M17)=5,COUNT('09_FCF_DCF'!H29:H31)=3,'09_FCF_DCF'!$H$31&gt;0),(('09_FCF_DCF'!I17/(1+$D11)^1+'09_FCF_DCF'!J17/(1+$D11)^2+'09_FCF_DCF'!K17/(1+$D11)^3+'09_FCF_DCF'!L17/(1+$D11)^4+'09_FCF_DCF'!M17/(1+$D11)^5)+('09_FCF_DCF'!$H$35/(1+'09_FCF_DCF'!$H$28)*(1+F$10)/($D11-F$10))/(1+$D11)^5-'09_FCF_DCF'!$H$29-'09_FCF_DCF'!$H$30)/'09_FCF_DCF'!$H$31,"")</x:f>
      </x:c>
      <x:c r="G11" s="55" t="str">
        <x:f>IF(AND(ISNUMBER($D11),ISNUMBER(G$10),$D11&gt;G$10,$D11&gt;-1,ISNUMBER('09_FCF_DCF'!$H$35),ISNUMBER('09_FCF_DCF'!$H$28),'09_FCF_DCF'!$H$28&gt;-1,COUNT('09_FCF_DCF'!I17:M17)=5,COUNT('09_FCF_DCF'!H29:H31)=3,'09_FCF_DCF'!$H$31&gt;0),(('09_FCF_DCF'!I17/(1+$D11)^1+'09_FCF_DCF'!J17/(1+$D11)^2+'09_FCF_DCF'!K17/(1+$D11)^3+'09_FCF_DCF'!L17/(1+$D11)^4+'09_FCF_DCF'!M17/(1+$D11)^5)+('09_FCF_DCF'!$H$35/(1+'09_FCF_DCF'!$H$28)*(1+G$10)/($D11-G$10))/(1+$D11)^5-'09_FCF_DCF'!$H$29-'09_FCF_DCF'!$H$30)/'09_FCF_DCF'!$H$31,"")</x:f>
      </x:c>
      <x:c r="H11" s="55" t="str">
        <x:f>IF(AND(ISNUMBER($D11),ISNUMBER(H$10),$D11&gt;H$10,$D11&gt;-1,ISNUMBER('09_FCF_DCF'!$H$35),ISNUMBER('09_FCF_DCF'!$H$28),'09_FCF_DCF'!$H$28&gt;-1,COUNT('09_FCF_DCF'!I17:M17)=5,COUNT('09_FCF_DCF'!H29:H31)=3,'09_FCF_DCF'!$H$31&gt;0),(('09_FCF_DCF'!I17/(1+$D11)^1+'09_FCF_DCF'!J17/(1+$D11)^2+'09_FCF_DCF'!K17/(1+$D11)^3+'09_FCF_DCF'!L17/(1+$D11)^4+'09_FCF_DCF'!M17/(1+$D11)^5)+('09_FCF_DCF'!$H$35/(1+'09_FCF_DCF'!$H$28)*(1+H$10)/($D11-H$10))/(1+$D11)^5-'09_FCF_DCF'!$H$29-'09_FCF_DCF'!$H$30)/'09_FCF_DCF'!$H$31,"")</x:f>
      </x:c>
      <x:c r="I11" s="55" t="str">
        <x:f>IF(AND(ISNUMBER($D11),ISNUMBER(I$10),$D11&gt;I$10,$D11&gt;-1,ISNUMBER('09_FCF_DCF'!$H$35),ISNUMBER('09_FCF_DCF'!$H$28),'09_FCF_DCF'!$H$28&gt;-1,COUNT('09_FCF_DCF'!I17:M17)=5,COUNT('09_FCF_DCF'!H29:H31)=3,'09_FCF_DCF'!$H$31&gt;0),(('09_FCF_DCF'!I17/(1+$D11)^1+'09_FCF_DCF'!J17/(1+$D11)^2+'09_FCF_DCF'!K17/(1+$D11)^3+'09_FCF_DCF'!L17/(1+$D11)^4+'09_FCF_DCF'!M17/(1+$D11)^5)+('09_FCF_DCF'!$H$35/(1+'09_FCF_DCF'!$H$28)*(1+I$10)/($D11-I$10))/(1+$D11)^5-'09_FCF_DCF'!$H$29-'09_FCF_DCF'!$H$30)/'09_FCF_DCF'!$H$31,"")</x:f>
      </x:c>
      <x:c r="J11" s="2"/>
      <x:c r="K11" s="2"/>
      <x:c r="L11" s="2"/>
      <x:c r="M11" s="2"/>
      <x:c r="N11" s="2"/>
      <x:c r="O11" s="2"/>
      <x:c r="P11" s="2"/>
    </x:row>
    <x:row r="12" ht="19" customHeight="1">
      <x:c r="A12" s="2"/>
      <x:c r="B12" s="2"/>
      <x:c r="C12" s="2"/>
      <x:c r="D12" s="71"/>
      <x:c r="E12" s="55" t="str">
        <x:f>IF(AND(ISNUMBER($D12),ISNUMBER(E$10),$D12&gt;E$10,$D12&gt;-1,ISNUMBER('09_FCF_DCF'!$H$35),ISNUMBER('09_FCF_DCF'!$H$28),'09_FCF_DCF'!$H$28&gt;-1,COUNT('09_FCF_DCF'!I17:M17)=5,COUNT('09_FCF_DCF'!H29:H31)=3,'09_FCF_DCF'!$H$31&gt;0),(('09_FCF_DCF'!I17/(1+$D12)^1+'09_FCF_DCF'!J17/(1+$D12)^2+'09_FCF_DCF'!K17/(1+$D12)^3+'09_FCF_DCF'!L17/(1+$D12)^4+'09_FCF_DCF'!M17/(1+$D12)^5)+('09_FCF_DCF'!$H$35/(1+'09_FCF_DCF'!$H$28)*(1+E$10)/($D12-E$10))/(1+$D12)^5-'09_FCF_DCF'!$H$29-'09_FCF_DCF'!$H$30)/'09_FCF_DCF'!$H$31,"")</x:f>
      </x:c>
      <x:c r="F12" s="55" t="str">
        <x:f>IF(AND(ISNUMBER($D12),ISNUMBER(F$10),$D12&gt;F$10,$D12&gt;-1,ISNUMBER('09_FCF_DCF'!$H$35),ISNUMBER('09_FCF_DCF'!$H$28),'09_FCF_DCF'!$H$28&gt;-1,COUNT('09_FCF_DCF'!I17:M17)=5,COUNT('09_FCF_DCF'!H29:H31)=3,'09_FCF_DCF'!$H$31&gt;0),(('09_FCF_DCF'!I17/(1+$D12)^1+'09_FCF_DCF'!J17/(1+$D12)^2+'09_FCF_DCF'!K17/(1+$D12)^3+'09_FCF_DCF'!L17/(1+$D12)^4+'09_FCF_DCF'!M17/(1+$D12)^5)+('09_FCF_DCF'!$H$35/(1+'09_FCF_DCF'!$H$28)*(1+F$10)/($D12-F$10))/(1+$D12)^5-'09_FCF_DCF'!$H$29-'09_FCF_DCF'!$H$30)/'09_FCF_DCF'!$H$31,"")</x:f>
      </x:c>
      <x:c r="G12" s="55" t="str">
        <x:f>IF(AND(ISNUMBER($D12),ISNUMBER(G$10),$D12&gt;G$10,$D12&gt;-1,ISNUMBER('09_FCF_DCF'!$H$35),ISNUMBER('09_FCF_DCF'!$H$28),'09_FCF_DCF'!$H$28&gt;-1,COUNT('09_FCF_DCF'!I17:M17)=5,COUNT('09_FCF_DCF'!H29:H31)=3,'09_FCF_DCF'!$H$31&gt;0),(('09_FCF_DCF'!I17/(1+$D12)^1+'09_FCF_DCF'!J17/(1+$D12)^2+'09_FCF_DCF'!K17/(1+$D12)^3+'09_FCF_DCF'!L17/(1+$D12)^4+'09_FCF_DCF'!M17/(1+$D12)^5)+('09_FCF_DCF'!$H$35/(1+'09_FCF_DCF'!$H$28)*(1+G$10)/($D12-G$10))/(1+$D12)^5-'09_FCF_DCF'!$H$29-'09_FCF_DCF'!$H$30)/'09_FCF_DCF'!$H$31,"")</x:f>
      </x:c>
      <x:c r="H12" s="55" t="str">
        <x:f>IF(AND(ISNUMBER($D12),ISNUMBER(H$10),$D12&gt;H$10,$D12&gt;-1,ISNUMBER('09_FCF_DCF'!$H$35),ISNUMBER('09_FCF_DCF'!$H$28),'09_FCF_DCF'!$H$28&gt;-1,COUNT('09_FCF_DCF'!I17:M17)=5,COUNT('09_FCF_DCF'!H29:H31)=3,'09_FCF_DCF'!$H$31&gt;0),(('09_FCF_DCF'!I17/(1+$D12)^1+'09_FCF_DCF'!J17/(1+$D12)^2+'09_FCF_DCF'!K17/(1+$D12)^3+'09_FCF_DCF'!L17/(1+$D12)^4+'09_FCF_DCF'!M17/(1+$D12)^5)+('09_FCF_DCF'!$H$35/(1+'09_FCF_DCF'!$H$28)*(1+H$10)/($D12-H$10))/(1+$D12)^5-'09_FCF_DCF'!$H$29-'09_FCF_DCF'!$H$30)/'09_FCF_DCF'!$H$31,"")</x:f>
      </x:c>
      <x:c r="I12" s="55" t="str">
        <x:f>IF(AND(ISNUMBER($D12),ISNUMBER(I$10),$D12&gt;I$10,$D12&gt;-1,ISNUMBER('09_FCF_DCF'!$H$35),ISNUMBER('09_FCF_DCF'!$H$28),'09_FCF_DCF'!$H$28&gt;-1,COUNT('09_FCF_DCF'!I17:M17)=5,COUNT('09_FCF_DCF'!H29:H31)=3,'09_FCF_DCF'!$H$31&gt;0),(('09_FCF_DCF'!I17/(1+$D12)^1+'09_FCF_DCF'!J17/(1+$D12)^2+'09_FCF_DCF'!K17/(1+$D12)^3+'09_FCF_DCF'!L17/(1+$D12)^4+'09_FCF_DCF'!M17/(1+$D12)^5)+('09_FCF_DCF'!$H$35/(1+'09_FCF_DCF'!$H$28)*(1+I$10)/($D12-I$10))/(1+$D12)^5-'09_FCF_DCF'!$H$29-'09_FCF_DCF'!$H$30)/'09_FCF_DCF'!$H$31,"")</x:f>
      </x:c>
      <x:c r="J12" s="2"/>
      <x:c r="K12" s="2"/>
      <x:c r="L12" s="2"/>
      <x:c r="M12" s="2"/>
      <x:c r="N12" s="2"/>
      <x:c r="O12" s="2"/>
      <x:c r="P12" s="2"/>
    </x:row>
    <x:row r="13" ht="19" customHeight="1">
      <x:c r="A13" s="2"/>
      <x:c r="B13" s="2"/>
      <x:c r="C13" s="2"/>
      <x:c r="D13" s="71"/>
      <x:c r="E13" s="55" t="str">
        <x:f>IF(AND(ISNUMBER($D13),ISNUMBER(E$10),$D13&gt;E$10,$D13&gt;-1,ISNUMBER('09_FCF_DCF'!$H$35),ISNUMBER('09_FCF_DCF'!$H$28),'09_FCF_DCF'!$H$28&gt;-1,COUNT('09_FCF_DCF'!I17:M17)=5,COUNT('09_FCF_DCF'!H29:H31)=3,'09_FCF_DCF'!$H$31&gt;0),(('09_FCF_DCF'!I17/(1+$D13)^1+'09_FCF_DCF'!J17/(1+$D13)^2+'09_FCF_DCF'!K17/(1+$D13)^3+'09_FCF_DCF'!L17/(1+$D13)^4+'09_FCF_DCF'!M17/(1+$D13)^5)+('09_FCF_DCF'!$H$35/(1+'09_FCF_DCF'!$H$28)*(1+E$10)/($D13-E$10))/(1+$D13)^5-'09_FCF_DCF'!$H$29-'09_FCF_DCF'!$H$30)/'09_FCF_DCF'!$H$31,"")</x:f>
      </x:c>
      <x:c r="F13" s="55" t="str">
        <x:f>IF(AND(ISNUMBER($D13),ISNUMBER(F$10),$D13&gt;F$10,$D13&gt;-1,ISNUMBER('09_FCF_DCF'!$H$35),ISNUMBER('09_FCF_DCF'!$H$28),'09_FCF_DCF'!$H$28&gt;-1,COUNT('09_FCF_DCF'!I17:M17)=5,COUNT('09_FCF_DCF'!H29:H31)=3,'09_FCF_DCF'!$H$31&gt;0),(('09_FCF_DCF'!I17/(1+$D13)^1+'09_FCF_DCF'!J17/(1+$D13)^2+'09_FCF_DCF'!K17/(1+$D13)^3+'09_FCF_DCF'!L17/(1+$D13)^4+'09_FCF_DCF'!M17/(1+$D13)^5)+('09_FCF_DCF'!$H$35/(1+'09_FCF_DCF'!$H$28)*(1+F$10)/($D13-F$10))/(1+$D13)^5-'09_FCF_DCF'!$H$29-'09_FCF_DCF'!$H$30)/'09_FCF_DCF'!$H$31,"")</x:f>
      </x:c>
      <x:c r="G13" s="55" t="str">
        <x:f>IF(AND(ISNUMBER($D13),ISNUMBER(G$10),$D13&gt;G$10,$D13&gt;-1,ISNUMBER('09_FCF_DCF'!$H$35),ISNUMBER('09_FCF_DCF'!$H$28),'09_FCF_DCF'!$H$28&gt;-1,COUNT('09_FCF_DCF'!I17:M17)=5,COUNT('09_FCF_DCF'!H29:H31)=3,'09_FCF_DCF'!$H$31&gt;0),(('09_FCF_DCF'!I17/(1+$D13)^1+'09_FCF_DCF'!J17/(1+$D13)^2+'09_FCF_DCF'!K17/(1+$D13)^3+'09_FCF_DCF'!L17/(1+$D13)^4+'09_FCF_DCF'!M17/(1+$D13)^5)+('09_FCF_DCF'!$H$35/(1+'09_FCF_DCF'!$H$28)*(1+G$10)/($D13-G$10))/(1+$D13)^5-'09_FCF_DCF'!$H$29-'09_FCF_DCF'!$H$30)/'09_FCF_DCF'!$H$31,"")</x:f>
      </x:c>
      <x:c r="H13" s="55" t="str">
        <x:f>IF(AND(ISNUMBER($D13),ISNUMBER(H$10),$D13&gt;H$10,$D13&gt;-1,ISNUMBER('09_FCF_DCF'!$H$35),ISNUMBER('09_FCF_DCF'!$H$28),'09_FCF_DCF'!$H$28&gt;-1,COUNT('09_FCF_DCF'!I17:M17)=5,COUNT('09_FCF_DCF'!H29:H31)=3,'09_FCF_DCF'!$H$31&gt;0),(('09_FCF_DCF'!I17/(1+$D13)^1+'09_FCF_DCF'!J17/(1+$D13)^2+'09_FCF_DCF'!K17/(1+$D13)^3+'09_FCF_DCF'!L17/(1+$D13)^4+'09_FCF_DCF'!M17/(1+$D13)^5)+('09_FCF_DCF'!$H$35/(1+'09_FCF_DCF'!$H$28)*(1+H$10)/($D13-H$10))/(1+$D13)^5-'09_FCF_DCF'!$H$29-'09_FCF_DCF'!$H$30)/'09_FCF_DCF'!$H$31,"")</x:f>
      </x:c>
      <x:c r="I13" s="55" t="str">
        <x:f>IF(AND(ISNUMBER($D13),ISNUMBER(I$10),$D13&gt;I$10,$D13&gt;-1,ISNUMBER('09_FCF_DCF'!$H$35),ISNUMBER('09_FCF_DCF'!$H$28),'09_FCF_DCF'!$H$28&gt;-1,COUNT('09_FCF_DCF'!I17:M17)=5,COUNT('09_FCF_DCF'!H29:H31)=3,'09_FCF_DCF'!$H$31&gt;0),(('09_FCF_DCF'!I17/(1+$D13)^1+'09_FCF_DCF'!J17/(1+$D13)^2+'09_FCF_DCF'!K17/(1+$D13)^3+'09_FCF_DCF'!L17/(1+$D13)^4+'09_FCF_DCF'!M17/(1+$D13)^5)+('09_FCF_DCF'!$H$35/(1+'09_FCF_DCF'!$H$28)*(1+I$10)/($D13-I$10))/(1+$D13)^5-'09_FCF_DCF'!$H$29-'09_FCF_DCF'!$H$30)/'09_FCF_DCF'!$H$31,"")</x:f>
      </x:c>
      <x:c r="J13" s="2"/>
      <x:c r="K13" s="2"/>
      <x:c r="L13" s="2"/>
      <x:c r="M13" s="2"/>
      <x:c r="N13" s="2"/>
      <x:c r="O13" s="2"/>
      <x:c r="P13" s="2"/>
    </x:row>
    <x:row r="14" ht="19" customHeight="1">
      <x:c r="A14" s="2"/>
      <x:c r="B14" s="2"/>
      <x:c r="C14" s="2"/>
      <x:c r="D14" s="71"/>
      <x:c r="E14" s="55" t="str">
        <x:f>IF(AND(ISNUMBER($D14),ISNUMBER(E$10),$D14&gt;E$10,$D14&gt;-1,ISNUMBER('09_FCF_DCF'!$H$35),ISNUMBER('09_FCF_DCF'!$H$28),'09_FCF_DCF'!$H$28&gt;-1,COUNT('09_FCF_DCF'!I17:M17)=5,COUNT('09_FCF_DCF'!H29:H31)=3,'09_FCF_DCF'!$H$31&gt;0),(('09_FCF_DCF'!I17/(1+$D14)^1+'09_FCF_DCF'!J17/(1+$D14)^2+'09_FCF_DCF'!K17/(1+$D14)^3+'09_FCF_DCF'!L17/(1+$D14)^4+'09_FCF_DCF'!M17/(1+$D14)^5)+('09_FCF_DCF'!$H$35/(1+'09_FCF_DCF'!$H$28)*(1+E$10)/($D14-E$10))/(1+$D14)^5-'09_FCF_DCF'!$H$29-'09_FCF_DCF'!$H$30)/'09_FCF_DCF'!$H$31,"")</x:f>
      </x:c>
      <x:c r="F14" s="55" t="str">
        <x:f>IF(AND(ISNUMBER($D14),ISNUMBER(F$10),$D14&gt;F$10,$D14&gt;-1,ISNUMBER('09_FCF_DCF'!$H$35),ISNUMBER('09_FCF_DCF'!$H$28),'09_FCF_DCF'!$H$28&gt;-1,COUNT('09_FCF_DCF'!I17:M17)=5,COUNT('09_FCF_DCF'!H29:H31)=3,'09_FCF_DCF'!$H$31&gt;0),(('09_FCF_DCF'!I17/(1+$D14)^1+'09_FCF_DCF'!J17/(1+$D14)^2+'09_FCF_DCF'!K17/(1+$D14)^3+'09_FCF_DCF'!L17/(1+$D14)^4+'09_FCF_DCF'!M17/(1+$D14)^5)+('09_FCF_DCF'!$H$35/(1+'09_FCF_DCF'!$H$28)*(1+F$10)/($D14-F$10))/(1+$D14)^5-'09_FCF_DCF'!$H$29-'09_FCF_DCF'!$H$30)/'09_FCF_DCF'!$H$31,"")</x:f>
      </x:c>
      <x:c r="G14" s="55" t="str">
        <x:f>IF(AND(ISNUMBER($D14),ISNUMBER(G$10),$D14&gt;G$10,$D14&gt;-1,ISNUMBER('09_FCF_DCF'!$H$35),ISNUMBER('09_FCF_DCF'!$H$28),'09_FCF_DCF'!$H$28&gt;-1,COUNT('09_FCF_DCF'!I17:M17)=5,COUNT('09_FCF_DCF'!H29:H31)=3,'09_FCF_DCF'!$H$31&gt;0),(('09_FCF_DCF'!I17/(1+$D14)^1+'09_FCF_DCF'!J17/(1+$D14)^2+'09_FCF_DCF'!K17/(1+$D14)^3+'09_FCF_DCF'!L17/(1+$D14)^4+'09_FCF_DCF'!M17/(1+$D14)^5)+('09_FCF_DCF'!$H$35/(1+'09_FCF_DCF'!$H$28)*(1+G$10)/($D14-G$10))/(1+$D14)^5-'09_FCF_DCF'!$H$29-'09_FCF_DCF'!$H$30)/'09_FCF_DCF'!$H$31,"")</x:f>
      </x:c>
      <x:c r="H14" s="55" t="str">
        <x:f>IF(AND(ISNUMBER($D14),ISNUMBER(H$10),$D14&gt;H$10,$D14&gt;-1,ISNUMBER('09_FCF_DCF'!$H$35),ISNUMBER('09_FCF_DCF'!$H$28),'09_FCF_DCF'!$H$28&gt;-1,COUNT('09_FCF_DCF'!I17:M17)=5,COUNT('09_FCF_DCF'!H29:H31)=3,'09_FCF_DCF'!$H$31&gt;0),(('09_FCF_DCF'!I17/(1+$D14)^1+'09_FCF_DCF'!J17/(1+$D14)^2+'09_FCF_DCF'!K17/(1+$D14)^3+'09_FCF_DCF'!L17/(1+$D14)^4+'09_FCF_DCF'!M17/(1+$D14)^5)+('09_FCF_DCF'!$H$35/(1+'09_FCF_DCF'!$H$28)*(1+H$10)/($D14-H$10))/(1+$D14)^5-'09_FCF_DCF'!$H$29-'09_FCF_DCF'!$H$30)/'09_FCF_DCF'!$H$31,"")</x:f>
      </x:c>
      <x:c r="I14" s="55" t="str">
        <x:f>IF(AND(ISNUMBER($D14),ISNUMBER(I$10),$D14&gt;I$10,$D14&gt;-1,ISNUMBER('09_FCF_DCF'!$H$35),ISNUMBER('09_FCF_DCF'!$H$28),'09_FCF_DCF'!$H$28&gt;-1,COUNT('09_FCF_DCF'!I17:M17)=5,COUNT('09_FCF_DCF'!H29:H31)=3,'09_FCF_DCF'!$H$31&gt;0),(('09_FCF_DCF'!I17/(1+$D14)^1+'09_FCF_DCF'!J17/(1+$D14)^2+'09_FCF_DCF'!K17/(1+$D14)^3+'09_FCF_DCF'!L17/(1+$D14)^4+'09_FCF_DCF'!M17/(1+$D14)^5)+('09_FCF_DCF'!$H$35/(1+'09_FCF_DCF'!$H$28)*(1+I$10)/($D14-I$10))/(1+$D14)^5-'09_FCF_DCF'!$H$29-'09_FCF_DCF'!$H$30)/'09_FCF_DCF'!$H$31,"")</x:f>
      </x:c>
      <x:c r="J14" s="2"/>
      <x:c r="K14" s="2"/>
      <x:c r="L14" s="2"/>
      <x:c r="M14" s="2"/>
      <x:c r="N14" s="2"/>
      <x:c r="O14" s="2"/>
      <x:c r="P14" s="2"/>
    </x:row>
    <x:row r="15" ht="19" customHeight="1">
      <x:c r="A15" s="2"/>
      <x:c r="B15" s="2"/>
      <x:c r="C15" s="2"/>
      <x:c r="D15" s="71"/>
      <x:c r="E15" s="55" t="str">
        <x:f>IF(AND(ISNUMBER($D15),ISNUMBER(E$10),$D15&gt;E$10,$D15&gt;-1,ISNUMBER('09_FCF_DCF'!$H$35),ISNUMBER('09_FCF_DCF'!$H$28),'09_FCF_DCF'!$H$28&gt;-1,COUNT('09_FCF_DCF'!I17:M17)=5,COUNT('09_FCF_DCF'!H29:H31)=3,'09_FCF_DCF'!$H$31&gt;0),(('09_FCF_DCF'!I17/(1+$D15)^1+'09_FCF_DCF'!J17/(1+$D15)^2+'09_FCF_DCF'!K17/(1+$D15)^3+'09_FCF_DCF'!L17/(1+$D15)^4+'09_FCF_DCF'!M17/(1+$D15)^5)+('09_FCF_DCF'!$H$35/(1+'09_FCF_DCF'!$H$28)*(1+E$10)/($D15-E$10))/(1+$D15)^5-'09_FCF_DCF'!$H$29-'09_FCF_DCF'!$H$30)/'09_FCF_DCF'!$H$31,"")</x:f>
      </x:c>
      <x:c r="F15" s="55" t="str">
        <x:f>IF(AND(ISNUMBER($D15),ISNUMBER(F$10),$D15&gt;F$10,$D15&gt;-1,ISNUMBER('09_FCF_DCF'!$H$35),ISNUMBER('09_FCF_DCF'!$H$28),'09_FCF_DCF'!$H$28&gt;-1,COUNT('09_FCF_DCF'!I17:M17)=5,COUNT('09_FCF_DCF'!H29:H31)=3,'09_FCF_DCF'!$H$31&gt;0),(('09_FCF_DCF'!I17/(1+$D15)^1+'09_FCF_DCF'!J17/(1+$D15)^2+'09_FCF_DCF'!K17/(1+$D15)^3+'09_FCF_DCF'!L17/(1+$D15)^4+'09_FCF_DCF'!M17/(1+$D15)^5)+('09_FCF_DCF'!$H$35/(1+'09_FCF_DCF'!$H$28)*(1+F$10)/($D15-F$10))/(1+$D15)^5-'09_FCF_DCF'!$H$29-'09_FCF_DCF'!$H$30)/'09_FCF_DCF'!$H$31,"")</x:f>
      </x:c>
      <x:c r="G15" s="55" t="str">
        <x:f>IF(AND(ISNUMBER($D15),ISNUMBER(G$10),$D15&gt;G$10,$D15&gt;-1,ISNUMBER('09_FCF_DCF'!$H$35),ISNUMBER('09_FCF_DCF'!$H$28),'09_FCF_DCF'!$H$28&gt;-1,COUNT('09_FCF_DCF'!I17:M17)=5,COUNT('09_FCF_DCF'!H29:H31)=3,'09_FCF_DCF'!$H$31&gt;0),(('09_FCF_DCF'!I17/(1+$D15)^1+'09_FCF_DCF'!J17/(1+$D15)^2+'09_FCF_DCF'!K17/(1+$D15)^3+'09_FCF_DCF'!L17/(1+$D15)^4+'09_FCF_DCF'!M17/(1+$D15)^5)+('09_FCF_DCF'!$H$35/(1+'09_FCF_DCF'!$H$28)*(1+G$10)/($D15-G$10))/(1+$D15)^5-'09_FCF_DCF'!$H$29-'09_FCF_DCF'!$H$30)/'09_FCF_DCF'!$H$31,"")</x:f>
      </x:c>
      <x:c r="H15" s="55" t="str">
        <x:f>IF(AND(ISNUMBER($D15),ISNUMBER(H$10),$D15&gt;H$10,$D15&gt;-1,ISNUMBER('09_FCF_DCF'!$H$35),ISNUMBER('09_FCF_DCF'!$H$28),'09_FCF_DCF'!$H$28&gt;-1,COUNT('09_FCF_DCF'!I17:M17)=5,COUNT('09_FCF_DCF'!H29:H31)=3,'09_FCF_DCF'!$H$31&gt;0),(('09_FCF_DCF'!I17/(1+$D15)^1+'09_FCF_DCF'!J17/(1+$D15)^2+'09_FCF_DCF'!K17/(1+$D15)^3+'09_FCF_DCF'!L17/(1+$D15)^4+'09_FCF_DCF'!M17/(1+$D15)^5)+('09_FCF_DCF'!$H$35/(1+'09_FCF_DCF'!$H$28)*(1+H$10)/($D15-H$10))/(1+$D15)^5-'09_FCF_DCF'!$H$29-'09_FCF_DCF'!$H$30)/'09_FCF_DCF'!$H$31,"")</x:f>
      </x:c>
      <x:c r="I15" s="55" t="str">
        <x:f>IF(AND(ISNUMBER($D15),ISNUMBER(I$10),$D15&gt;I$10,$D15&gt;-1,ISNUMBER('09_FCF_DCF'!$H$35),ISNUMBER('09_FCF_DCF'!$H$28),'09_FCF_DCF'!$H$28&gt;-1,COUNT('09_FCF_DCF'!I17:M17)=5,COUNT('09_FCF_DCF'!H29:H31)=3,'09_FCF_DCF'!$H$31&gt;0),(('09_FCF_DCF'!I17/(1+$D15)^1+'09_FCF_DCF'!J17/(1+$D15)^2+'09_FCF_DCF'!K17/(1+$D15)^3+'09_FCF_DCF'!L17/(1+$D15)^4+'09_FCF_DCF'!M17/(1+$D15)^5)+('09_FCF_DCF'!$H$35/(1+'09_FCF_DCF'!$H$28)*(1+I$10)/($D15-I$10))/(1+$D15)^5-'09_FCF_DCF'!$H$29-'09_FCF_DCF'!$H$30)/'09_FCF_DCF'!$H$31,"")</x:f>
      </x:c>
      <x:c r="J15" s="2"/>
      <x:c r="K15" s="2"/>
      <x:c r="L15" s="2"/>
      <x:c r="M15" s="2"/>
      <x:c r="N15" s="2"/>
      <x:c r="O15" s="2"/>
      <x:c r="P15" s="2"/>
    </x:row>
    <x:row r="16" ht="19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19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9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13" t="str">
        <x:v>Sensitivity varies discount rates and terminal growth while holding operating forecasts fixed. Each cell recalculates explicit-period discounting.</x:v>
      </x:c>
      <x:c r="P18" s="2"/>
    </x:row>
    <x:row r="19" ht="19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19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13" t="str">
        <x:v>Terminal FCFF supplied to DCF is divided by (1 + central g), then grown at each column rate. Populate the central case to reconcile.</x:v>
      </x:c>
      <x:c r="P20" s="2"/>
    </x:row>
    <x:row r="21" ht="19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19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19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9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19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19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19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19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9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9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9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9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9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9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9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9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9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9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19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9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9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19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</x:sheetData>
  <x:mergeCells>
    <x:mergeCell ref="C4:M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42E4C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5" hidden="0" customWidth="1"/>
    <x:col min="16" max="16" width="3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9" customHeight="1">
      <x:c r="A2" s="2"/>
      <x:c r="B2" s="2"/>
      <x:c r="C2" s="3" t="str">
        <x:v>Polycab historical dashboard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9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</x:row>
    <x:row r="4" ht="30" customHeight="1">
      <x:c r="A4" s="2"/>
      <x:c r="B4" s="2"/>
      <x:c r="C4" s="84" t="str">
        <x:v>Consolidated actuals. Forecast and valuation remain unpopulated pending supported inputs.</x:v>
      </x:c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2"/>
      <x:c r="O4" s="2"/>
      <x:c r="P4" s="2"/>
    </x:row>
    <x:row r="5" ht="19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19" customHeight="1">
      <x:c r="A6" s="2"/>
      <x:c r="B6" s="2"/>
      <x:c r="C6" s="2" t="str">
        <x:v>INR million, unless specified</x:v>
      </x:c>
      <x:c r="D6" s="8" t="str">
        <x:v>FY22A</x:v>
      </x:c>
      <x:c r="E6" s="8" t="str">
        <x:v>FY23A</x:v>
      </x:c>
      <x:c r="F6" s="8" t="str">
        <x:v>FY24A</x:v>
      </x:c>
      <x:c r="G6" s="8" t="str">
        <x:v>FY25A</x:v>
      </x:c>
      <x:c r="H6" s="8" t="str">
        <x:v>FY26A</x:v>
      </x:c>
      <x:c r="I6" s="33" t="str">
        <x:v>FY27E</x:v>
      </x:c>
      <x:c r="J6" s="33" t="str">
        <x:v>FY28E</x:v>
      </x:c>
      <x:c r="K6" s="33" t="str">
        <x:v>FY29E</x:v>
      </x:c>
      <x:c r="L6" s="33" t="str">
        <x:v>FY30E</x:v>
      </x:c>
      <x:c r="M6" s="33" t="str">
        <x:v>FY31E</x:v>
      </x:c>
      <x:c r="N6" s="2"/>
      <x:c r="O6" s="2"/>
      <x:c r="P6" s="2"/>
    </x:row>
    <x:row r="7" ht="19" customHeight="1">
      <x:c r="A7" s="2"/>
      <x:c r="B7" s="2"/>
      <x:c r="C7" s="2"/>
      <x:c r="D7" s="2"/>
      <x:c r="E7" s="2"/>
      <x:c r="F7" s="2"/>
      <x:c r="G7" s="2"/>
      <x:c r="H7" s="2"/>
      <x:c r="I7" s="34"/>
      <x:c r="J7" s="34"/>
      <x:c r="K7" s="34"/>
      <x:c r="L7" s="34"/>
      <x:c r="M7" s="34"/>
      <x:c r="N7" s="2"/>
      <x:c r="O7" s="2"/>
      <x:c r="P7" s="2"/>
    </x:row>
    <x:row r="8" ht="19" customHeight="1">
      <x:c r="A8" s="2"/>
      <x:c r="B8" s="2"/>
      <x:c r="C8" s="18" t="str">
        <x:v>Revenue</x:v>
      </x:c>
      <x:c r="D8" s="74" t="n">
        <x:f>IF(ISNUMBER('02_Historical_FS'!D43),'02_Historical_FS'!D43,"")</x:f>
        <x:v>122037.61</x:v>
      </x:c>
      <x:c r="E8" s="74" t="n">
        <x:f>IF(ISNUMBER('02_Historical_FS'!E43),'02_Historical_FS'!E43,"")</x:f>
        <x:v>141077.78</x:v>
      </x:c>
      <x:c r="F8" s="74" t="n">
        <x:f>IF(ISNUMBER('02_Historical_FS'!F43),'02_Historical_FS'!F43,"")</x:f>
        <x:v>180394.44</x:v>
      </x:c>
      <x:c r="G8" s="74" t="n">
        <x:f>IF(ISNUMBER('02_Historical_FS'!G43),'02_Historical_FS'!G43,"")</x:f>
        <x:v>224083.13</x:v>
      </x:c>
      <x:c r="H8" s="74" t="n">
        <x:f>IF(ISNUMBER('02_Historical_FS'!H43),'02_Historical_FS'!H43,"")</x:f>
        <x:v>288837.92</x:v>
      </x:c>
      <x:c r="I8" s="74" t="str">
        <x:f>IF(ISNUMBER('06_3Statement_Model'!I9),'06_3Statement_Model'!I9,"")</x:f>
      </x:c>
      <x:c r="J8" s="74" t="str">
        <x:f>IF(ISNUMBER('06_3Statement_Model'!J9),'06_3Statement_Model'!J9,"")</x:f>
      </x:c>
      <x:c r="K8" s="74" t="str">
        <x:f>IF(ISNUMBER('06_3Statement_Model'!K9),'06_3Statement_Model'!K9,"")</x:f>
      </x:c>
      <x:c r="L8" s="74" t="str">
        <x:f>IF(ISNUMBER('06_3Statement_Model'!L9),'06_3Statement_Model'!L9,"")</x:f>
      </x:c>
      <x:c r="M8" s="74" t="str">
        <x:f>IF(ISNUMBER('06_3Statement_Model'!M9),'06_3Statement_Model'!M9,"")</x:f>
      </x:c>
      <x:c r="N8" s="2"/>
      <x:c r="O8" s="2"/>
      <x:c r="P8" s="2"/>
    </x:row>
    <x:row r="9" ht="19" customHeight="1">
      <x:c r="A9" s="2"/>
      <x:c r="B9" s="2"/>
      <x:c r="C9" s="21" t="str">
        <x:v>Revenue growth</x:v>
      </x:c>
      <x:c r="D9" s="75" t="str">
        <x:f>IF(ISNUMBER('02_Historical_FS'!D9),'02_Historical_FS'!D9,"")</x:f>
      </x:c>
      <x:c r="E9" s="75" t="n">
        <x:f>IF(ISNUMBER('02_Historical_FS'!E9),'02_Historical_FS'!E9,"")</x:f>
        <x:v>0.1560188699205105</x:v>
      </x:c>
      <x:c r="F9" s="75" t="n">
        <x:f>IF(ISNUMBER('02_Historical_FS'!F9),'02_Historical_FS'!F9,"")</x:f>
        <x:v>0.278687827381463</x:v>
      </x:c>
      <x:c r="G9" s="75" t="n">
        <x:f>IF(ISNUMBER('02_Historical_FS'!G9),'02_Historical_FS'!G9,"")</x:f>
        <x:v>0.24218423805079592</x:v>
      </x:c>
      <x:c r="H9" s="75" t="n">
        <x:f>IF(ISNUMBER('02_Historical_FS'!H9),'02_Historical_FS'!H9,"")</x:f>
        <x:v>0.28897664005318013</x:v>
      </x:c>
      <x:c r="I9" s="37"/>
      <x:c r="J9" s="37"/>
      <x:c r="K9" s="37"/>
      <x:c r="L9" s="37"/>
      <x:c r="M9" s="37"/>
      <x:c r="N9" s="2"/>
      <x:c r="O9" s="2"/>
      <x:c r="P9" s="2"/>
    </x:row>
    <x:row r="10" ht="19" customHeight="1">
      <x:c r="A10" s="2"/>
      <x:c r="B10" s="2"/>
      <x:c r="C10" s="18" t="str">
        <x:v>EBITDA, company definition</x:v>
      </x:c>
      <x:c r="D10" s="74" t="n">
        <x:f>IF(ISNUMBER('02_Historical_FS'!D16),'02_Historical_FS'!D16,"")</x:f>
        <x:v>12626.44</x:v>
      </x:c>
      <x:c r="E10" s="74" t="n">
        <x:f>IF(ISNUMBER('02_Historical_FS'!E16),'02_Historical_FS'!E16,"")</x:f>
        <x:v>18428.510000000002</x:v>
      </x:c>
      <x:c r="F10" s="74" t="n">
        <x:f>IF(ISNUMBER('02_Historical_FS'!F16),'02_Historical_FS'!F16,"")</x:f>
        <x:v>24918.050000000003</x:v>
      </x:c>
      <x:c r="G10" s="74" t="n">
        <x:f>IF(ISNUMBER('02_Historical_FS'!G16),'02_Historical_FS'!G16,"")</x:f>
        <x:v>29602.399999999998</x:v>
      </x:c>
      <x:c r="H10" s="74" t="n">
        <x:f>IF(ISNUMBER('02_Historical_FS'!H16),'02_Historical_FS'!H16,"")</x:f>
        <x:v>40057.280000000006</x:v>
      </x:c>
      <x:c r="I10" s="19"/>
      <x:c r="J10" s="19"/>
      <x:c r="K10" s="19"/>
      <x:c r="L10" s="19"/>
      <x:c r="M10" s="19"/>
      <x:c r="N10" s="2"/>
      <x:c r="O10" s="2"/>
      <x:c r="P10" s="2"/>
    </x:row>
    <x:row r="11" ht="19" customHeight="1">
      <x:c r="A11" s="2"/>
      <x:c r="B11" s="2"/>
      <x:c r="C11" s="21" t="str">
        <x:v>EBITDA margin</x:v>
      </x:c>
      <x:c r="D11" s="75" t="n">
        <x:f>IF(ISNUMBER('02_Historical_FS'!D17),'02_Historical_FS'!D17,"")</x:f>
        <x:v>0.10346351423958565</x:v>
      </x:c>
      <x:c r="E11" s="75" t="n">
        <x:f>IF(ISNUMBER('02_Historical_FS'!E17),'02_Historical_FS'!E17,"")</x:f>
        <x:v>0.1306265947763</x:v>
      </x:c>
      <x:c r="F11" s="75" t="n">
        <x:f>IF(ISNUMBER('02_Historical_FS'!F17),'02_Historical_FS'!F17,"")</x:f>
        <x:v>0.13813092022126625</x:v>
      </x:c>
      <x:c r="G11" s="75" t="n">
        <x:f>IF(ISNUMBER('02_Historical_FS'!G17),'02_Historical_FS'!G17,"")</x:f>
        <x:v>0.13210454530869858</x:v>
      </x:c>
      <x:c r="H11" s="75" t="n">
        <x:f>IF(ISNUMBER('02_Historical_FS'!H17),'02_Historical_FS'!H17,"")</x:f>
        <x:v>0.13868428355944404</x:v>
      </x:c>
      <x:c r="I11" s="37"/>
      <x:c r="J11" s="37"/>
      <x:c r="K11" s="37"/>
      <x:c r="L11" s="37"/>
      <x:c r="M11" s="37"/>
      <x:c r="N11" s="2"/>
      <x:c r="O11" s="2"/>
      <x:c r="P11" s="2"/>
    </x:row>
    <x:row r="12" ht="19" customHeight="1">
      <x:c r="A12" s="2"/>
      <x:c r="B12" s="2"/>
      <x:c r="C12" s="18" t="str">
        <x:v>PAT, total operations</x:v>
      </x:c>
      <x:c r="D12" s="74" t="n">
        <x:f>IF(ISNUMBER('02_Historical_FS'!D59),'02_Historical_FS'!D59,"")</x:f>
        <x:v>9172.84</x:v>
      </x:c>
      <x:c r="E12" s="74" t="n">
        <x:f>IF(ISNUMBER('02_Historical_FS'!E59),'02_Historical_FS'!E59,"")</x:f>
        <x:v>12830.86</x:v>
      </x:c>
      <x:c r="F12" s="74" t="n">
        <x:f>IF(ISNUMBER('02_Historical_FS'!F59),'02_Historical_FS'!F59,"")</x:f>
        <x:v>18029.17</x:v>
      </x:c>
      <x:c r="G12" s="74" t="n">
        <x:f>IF(ISNUMBER('02_Historical_FS'!G59),'02_Historical_FS'!G59,"")</x:f>
        <x:v>20455.37</x:v>
      </x:c>
      <x:c r="H12" s="74" t="n">
        <x:f>IF(ISNUMBER('02_Historical_FS'!H59),'02_Historical_FS'!H59,"")</x:f>
        <x:v>27084.27</x:v>
      </x:c>
      <x:c r="I12" s="74" t="str">
        <x:f>IF(ISNUMBER('06_3Statement_Model'!I23),'06_3Statement_Model'!I23,"")</x:f>
      </x:c>
      <x:c r="J12" s="74" t="str">
        <x:f>IF(ISNUMBER('06_3Statement_Model'!J23),'06_3Statement_Model'!J23,"")</x:f>
      </x:c>
      <x:c r="K12" s="74" t="str">
        <x:f>IF(ISNUMBER('06_3Statement_Model'!K23),'06_3Statement_Model'!K23,"")</x:f>
      </x:c>
      <x:c r="L12" s="74" t="str">
        <x:f>IF(ISNUMBER('06_3Statement_Model'!L23),'06_3Statement_Model'!L23,"")</x:f>
      </x:c>
      <x:c r="M12" s="74" t="str">
        <x:f>IF(ISNUMBER('06_3Statement_Model'!M23),'06_3Statement_Model'!M23,"")</x:f>
      </x:c>
      <x:c r="N12" s="2"/>
      <x:c r="O12" s="2"/>
      <x:c r="P12" s="2"/>
    </x:row>
    <x:row r="13" ht="19" customHeight="1">
      <x:c r="A13" s="2"/>
      <x:c r="B13" s="2"/>
      <x:c r="C13" s="2" t="str">
        <x:v>Operating cash flow</x:v>
      </x:c>
      <x:c r="D13" s="76" t="n">
        <x:f>IF(ISNUMBER('02_Historical_FS'!D125),'02_Historical_FS'!D125,"")</x:f>
        <x:v>5116.11</x:v>
      </x:c>
      <x:c r="E13" s="76" t="n">
        <x:f>IF(ISNUMBER('02_Historical_FS'!E125),'02_Historical_FS'!E125,"")</x:f>
        <x:v>14275.21</x:v>
      </x:c>
      <x:c r="F13" s="76" t="n">
        <x:f>IF(ISNUMBER('02_Historical_FS'!F125),'02_Historical_FS'!F125,"")</x:f>
        <x:v>12962.4</x:v>
      </x:c>
      <x:c r="G13" s="76" t="n">
        <x:f>IF(ISNUMBER('02_Historical_FS'!G125),'02_Historical_FS'!G125,"")</x:f>
        <x:v>18085.34</x:v>
      </x:c>
      <x:c r="H13" s="76" t="n">
        <x:f>IF(ISNUMBER('02_Historical_FS'!H125),'02_Historical_FS'!H125,"")</x:f>
        <x:v>38106.67</x:v>
      </x:c>
      <x:c r="I13" s="77" t="str">
        <x:f>IF(ISNUMBER('06_3Statement_Model'!I62),'06_3Statement_Model'!I62,"")</x:f>
      </x:c>
      <x:c r="J13" s="77" t="str">
        <x:f>IF(ISNUMBER('06_3Statement_Model'!J62),'06_3Statement_Model'!J62,"")</x:f>
      </x:c>
      <x:c r="K13" s="77" t="str">
        <x:f>IF(ISNUMBER('06_3Statement_Model'!K62),'06_3Statement_Model'!K62,"")</x:f>
      </x:c>
      <x:c r="L13" s="77" t="str">
        <x:f>IF(ISNUMBER('06_3Statement_Model'!L62),'06_3Statement_Model'!L62,"")</x:f>
      </x:c>
      <x:c r="M13" s="77" t="str">
        <x:f>IF(ISNUMBER('06_3Statement_Model'!M62),'06_3Statement_Model'!M62,"")</x:f>
      </x:c>
      <x:c r="N13" s="2"/>
      <x:c r="O13" s="2"/>
      <x:c r="P13" s="2"/>
    </x:row>
    <x:row r="14" ht="19" customHeight="1">
      <x:c r="A14" s="2"/>
      <x:c r="B14" s="2"/>
      <x:c r="C14" s="2" t="str">
        <x:v>Net cash capex</x:v>
      </x:c>
      <x:c r="D14" s="76" t="n">
        <x:f>IF(ISNUMBER('02_Historical_FS'!D29),'02_Historical_FS'!D29,"")</x:f>
        <x:v>5200.03</x:v>
      </x:c>
      <x:c r="E14" s="76" t="n">
        <x:f>IF(ISNUMBER('02_Historical_FS'!E29),'02_Historical_FS'!E29,"")</x:f>
        <x:v>4584.179999999999</x:v>
      </x:c>
      <x:c r="F14" s="76" t="n">
        <x:f>IF(ISNUMBER('02_Historical_FS'!F29),'02_Historical_FS'!F29,"")</x:f>
        <x:v>8579.72</x:v>
      </x:c>
      <x:c r="G14" s="76" t="n">
        <x:f>IF(ISNUMBER('02_Historical_FS'!G29),'02_Historical_FS'!G29,"")</x:f>
        <x:v>9583.37</x:v>
      </x:c>
      <x:c r="H14" s="76" t="n">
        <x:f>IF(ISNUMBER('02_Historical_FS'!H29),'02_Historical_FS'!H29,"")</x:f>
        <x:v>14799.340000000002</x:v>
      </x:c>
      <x:c r="I14" s="35"/>
      <x:c r="J14" s="35"/>
      <x:c r="K14" s="35"/>
      <x:c r="L14" s="35"/>
      <x:c r="M14" s="35"/>
      <x:c r="N14" s="2"/>
      <x:c r="O14" s="2"/>
      <x:c r="P14" s="2"/>
    </x:row>
    <x:row r="15" ht="19" customHeight="1">
      <x:c r="A15" s="2"/>
      <x:c r="B15" s="2"/>
      <x:c r="C15" s="18" t="str">
        <x:v>CFO less net cash capex</x:v>
      </x:c>
      <x:c r="D15" s="74" t="n">
        <x:f>IF(ISNUMBER('02_Historical_FS'!D30),'02_Historical_FS'!D30,"")</x:f>
        <x:v>-83.92000000000007</x:v>
      </x:c>
      <x:c r="E15" s="74" t="n">
        <x:f>IF(ISNUMBER('02_Historical_FS'!E30),'02_Historical_FS'!E30,"")</x:f>
        <x:v>9691.029999999999</x:v>
      </x:c>
      <x:c r="F15" s="74" t="n">
        <x:f>IF(ISNUMBER('02_Historical_FS'!F30),'02_Historical_FS'!F30,"")</x:f>
        <x:v>4382.68</x:v>
      </x:c>
      <x:c r="G15" s="74" t="n">
        <x:f>IF(ISNUMBER('02_Historical_FS'!G30),'02_Historical_FS'!G30,"")</x:f>
        <x:v>8501.97</x:v>
      </x:c>
      <x:c r="H15" s="74" t="n">
        <x:f>IF(ISNUMBER('02_Historical_FS'!H30),'02_Historical_FS'!H30,"")</x:f>
        <x:v>23307.329999999994</x:v>
      </x:c>
      <x:c r="I15" s="19"/>
      <x:c r="J15" s="19"/>
      <x:c r="K15" s="19"/>
      <x:c r="L15" s="19"/>
      <x:c r="M15" s="19"/>
      <x:c r="N15" s="2"/>
      <x:c r="O15" s="2"/>
      <x:c r="P15" s="2"/>
    </x:row>
    <x:row r="16" ht="19" customHeight="1">
      <x:c r="A16" s="2"/>
      <x:c r="B16" s="2"/>
      <x:c r="C16" s="21" t="str">
        <x:v>Export contribution</x:v>
      </x:c>
      <x:c r="D16" s="75" t="n">
        <x:f>IF(ISNUMBER('03_Segment_History'!D14),'03_Segment_History'!D14,"")</x:f>
        <x:v>0.07562635813664328</x:v>
      </x:c>
      <x:c r="E16" s="75" t="n">
        <x:f>IF(ISNUMBER('03_Segment_History'!E14),'03_Segment_History'!E14,"")</x:f>
        <x:v>0.09806810115668109</x:v>
      </x:c>
      <x:c r="F16" s="75" t="n">
        <x:f>IF(ISNUMBER('03_Segment_History'!F14),'03_Segment_History'!F14,"")</x:f>
        <x:v>0.0796011783955204</x:v>
      </x:c>
      <x:c r="G16" s="75" t="n">
        <x:f>IF(ISNUMBER('03_Segment_History'!G14),'03_Segment_History'!G14,"")</x:f>
        <x:v>0.060030668082867285</x:v>
      </x:c>
      <x:c r="H16" s="75" t="n">
        <x:f>IF(ISNUMBER('03_Segment_History'!H14),'03_Segment_History'!H14,"")</x:f>
        <x:v>0.05433725599464226</x:v>
      </x:c>
      <x:c r="I16" s="37"/>
      <x:c r="J16" s="37"/>
      <x:c r="K16" s="37"/>
      <x:c r="L16" s="37"/>
      <x:c r="M16" s="37"/>
      <x:c r="N16" s="2"/>
      <x:c r="O16" s="2"/>
      <x:c r="P16" s="2"/>
    </x:row>
    <x:row r="17" ht="19" customHeight="1">
      <x:c r="A17" s="2"/>
      <x:c r="B17" s="2"/>
      <x:c r="C17" s="2" t="str">
        <x:v>Company closing cash-cycle days</x:v>
      </x:c>
      <x:c r="D17" s="76" t="n">
        <x:f>IF(ISNUMBER('02_Historical_FS'!D165),'02_Historical_FS'!D165,"")</x:f>
        <x:v>61</x:v>
      </x:c>
      <x:c r="E17" s="76" t="n">
        <x:f>IF(ISNUMBER('02_Historical_FS'!E165),'02_Historical_FS'!E165,"")</x:f>
        <x:v>50</x:v>
      </x:c>
      <x:c r="F17" s="76" t="n">
        <x:f>IF(ISNUMBER('02_Historical_FS'!F165),'02_Historical_FS'!F165,"")</x:f>
        <x:v>48</x:v>
      </x:c>
      <x:c r="G17" s="76" t="n">
        <x:f>IF(ISNUMBER('02_Historical_FS'!G165),'02_Historical_FS'!G165,"")</x:f>
        <x:v>49</x:v>
      </x:c>
      <x:c r="H17" s="76" t="n">
        <x:f>IF(ISNUMBER('02_Historical_FS'!H165),'02_Historical_FS'!H165,"")</x:f>
        <x:v>11</x:v>
      </x:c>
      <x:c r="I17" s="35"/>
      <x:c r="J17" s="35"/>
      <x:c r="K17" s="35"/>
      <x:c r="L17" s="35"/>
      <x:c r="M17" s="35"/>
      <x:c r="N17" s="2"/>
      <x:c r="O17" s="2"/>
      <x:c r="P17" s="2"/>
    </x:row>
    <x:row r="18" ht="19" customHeight="1">
      <x:c r="A18" s="2"/>
      <x:c r="B18" s="2"/>
      <x:c r="C18" s="2"/>
      <x:c r="D18" s="2"/>
      <x:c r="E18" s="2"/>
      <x:c r="F18" s="2"/>
      <x:c r="G18" s="2"/>
      <x:c r="H18" s="2"/>
      <x:c r="I18" s="34"/>
      <x:c r="J18" s="34"/>
      <x:c r="K18" s="34"/>
      <x:c r="L18" s="34"/>
      <x:c r="M18" s="34"/>
      <x:c r="N18" s="2"/>
      <x:c r="O18" s="2"/>
      <x:c r="P18" s="2"/>
    </x:row>
    <x:row r="19" ht="19" customHeight="1">
      <x:c r="A19" s="2"/>
      <x:c r="B19" s="2"/>
      <x:c r="C19" s="2"/>
      <x:c r="D19" s="2"/>
      <x:c r="E19" s="2"/>
      <x:c r="F19" s="2"/>
      <x:c r="G19" s="2"/>
      <x:c r="H19" s="2"/>
      <x:c r="I19" s="34"/>
      <x:c r="J19" s="34"/>
      <x:c r="K19" s="34"/>
      <x:c r="L19" s="34"/>
      <x:c r="M19" s="34"/>
      <x:c r="N19" s="2"/>
      <x:c r="O19" s="2"/>
      <x:c r="P19" s="2"/>
    </x:row>
    <x:row r="20" ht="19" customHeight="1">
      <x:c r="A20" s="2"/>
      <x:c r="B20" s="2"/>
      <x:c r="C20" s="2" t="str">
        <x:v>Active forecast case</x:v>
      </x:c>
      <x:c r="D20" s="70" t="str">
        <x:f>CHOOSE('00_Cover'!D10,"Base","Bull","Bear")</x:f>
        <x:v>Base</x:v>
      </x:c>
      <x:c r="E20" s="2"/>
      <x:c r="F20" s="2"/>
      <x:c r="G20" s="2"/>
      <x:c r="H20" s="2"/>
      <x:c r="I20" s="34"/>
      <x:c r="J20" s="34"/>
      <x:c r="K20" s="34"/>
      <x:c r="L20" s="34"/>
      <x:c r="M20" s="34"/>
      <x:c r="N20" s="2"/>
      <x:c r="O20" s="2"/>
      <x:c r="P20" s="2"/>
    </x:row>
    <x:row r="21" ht="19" customHeight="1">
      <x:c r="A21" s="2"/>
      <x:c r="B21" s="2"/>
      <x:c r="C21" s="2"/>
      <x:c r="D21" s="2"/>
      <x:c r="E21" s="2"/>
      <x:c r="F21" s="2"/>
      <x:c r="G21" s="2"/>
      <x:c r="H21" s="2"/>
      <x:c r="I21" s="34"/>
      <x:c r="J21" s="34"/>
      <x:c r="K21" s="34"/>
      <x:c r="L21" s="34"/>
      <x:c r="M21" s="34"/>
      <x:c r="N21" s="2"/>
      <x:c r="O21" s="2"/>
      <x:c r="P21" s="2"/>
    </x:row>
    <x:row r="22" ht="19" customHeight="1">
      <x:c r="A22" s="2"/>
      <x:c r="B22" s="2"/>
      <x:c r="C22" s="2" t="str">
        <x:v>DCF value per share (INR)</x:v>
      </x:c>
      <x:c r="D22" s="2"/>
      <x:c r="E22" s="2"/>
      <x:c r="F22" s="2"/>
      <x:c r="G22" s="2"/>
      <x:c r="H22" s="78" t="str">
        <x:f>IF(ISNUMBER('09_FCF_DCF'!H41),'09_FCF_DCF'!H41,"Inputs required")</x:f>
        <x:v>Inputs required</x:v>
      </x:c>
      <x:c r="I22" s="34"/>
      <x:c r="J22" s="34"/>
      <x:c r="K22" s="34"/>
      <x:c r="L22" s="34"/>
      <x:c r="M22" s="34"/>
      <x:c r="N22" s="2"/>
      <x:c r="O22" s="2"/>
      <x:c r="P22" s="2"/>
    </x:row>
    <x:row r="23" ht="19" customHeight="1">
      <x:c r="A23" s="2"/>
      <x:c r="B23" s="2"/>
      <x:c r="C23" s="2"/>
      <x:c r="D23" s="2"/>
      <x:c r="E23" s="2"/>
      <x:c r="F23" s="2"/>
      <x:c r="G23" s="2"/>
      <x:c r="H23" s="2"/>
      <x:c r="I23" s="34"/>
      <x:c r="J23" s="34"/>
      <x:c r="K23" s="34"/>
      <x:c r="L23" s="34"/>
      <x:c r="M23" s="34"/>
      <x:c r="N23" s="2"/>
      <x:c r="O23" s="2"/>
      <x:c r="P23" s="2"/>
    </x:row>
    <x:row r="24" ht="30" customHeight="1">
      <x:c r="A24" s="2"/>
      <x:c r="B24" s="2"/>
      <x:c r="C24" s="2" t="str">
        <x:v>Read before forecasting</x:v>
      </x:c>
      <x:c r="D24" s="86" t="str">
        <x:v>Review Sources: restatements, segment income, supplier acceptances and working-capital definitions.</x:v>
      </x:c>
      <x:c r="E24" s="86"/>
      <x:c r="F24" s="86"/>
      <x:c r="G24" s="86"/>
      <x:c r="H24" s="86"/>
      <x:c r="I24" s="91"/>
      <x:c r="J24" s="91"/>
      <x:c r="K24" s="91"/>
      <x:c r="L24" s="91"/>
      <x:c r="M24" s="91"/>
      <x:c r="N24" s="2"/>
      <x:c r="O24" s="13" t="str">
        <x:v>Review Sources for restatements, segment income, supplier acceptances and working-capital definitions.</x:v>
      </x:c>
      <x:c r="P24" s="2"/>
    </x:row>
    <x:row r="25" ht="19" customHeight="1">
      <x:c r="A25" s="2"/>
      <x:c r="B25" s="2"/>
      <x:c r="C25" s="2"/>
      <x:c r="D25" s="2"/>
      <x:c r="E25" s="2"/>
      <x:c r="F25" s="2"/>
      <x:c r="G25" s="2"/>
      <x:c r="H25" s="2"/>
      <x:c r="I25" s="34"/>
      <x:c r="J25" s="34"/>
      <x:c r="K25" s="34"/>
      <x:c r="L25" s="34"/>
      <x:c r="M25" s="34"/>
      <x:c r="N25" s="2"/>
      <x:c r="O25" s="2"/>
      <x:c r="P25" s="2"/>
    </x:row>
    <x:row r="26" ht="19" customHeight="1">
      <x:c r="A26" s="2"/>
      <x:c r="B26" s="2"/>
      <x:c r="C26" s="2"/>
      <x:c r="D26" s="2"/>
      <x:c r="E26" s="2"/>
      <x:c r="F26" s="2"/>
      <x:c r="G26" s="2"/>
      <x:c r="H26" s="2"/>
      <x:c r="I26" s="34"/>
      <x:c r="J26" s="34"/>
      <x:c r="K26" s="34"/>
      <x:c r="L26" s="34"/>
      <x:c r="M26" s="34"/>
      <x:c r="N26" s="2"/>
      <x:c r="O26" s="2"/>
      <x:c r="P26" s="2"/>
    </x:row>
    <x:row r="27" ht="19" customHeight="1">
      <x:c r="A27" s="2"/>
      <x:c r="B27" s="2"/>
      <x:c r="C27" s="2"/>
      <x:c r="D27" s="2"/>
      <x:c r="E27" s="2"/>
      <x:c r="F27" s="2"/>
      <x:c r="G27" s="2"/>
      <x:c r="H27" s="2"/>
      <x:c r="I27" s="34"/>
      <x:c r="J27" s="34"/>
      <x:c r="K27" s="34"/>
      <x:c r="L27" s="34"/>
      <x:c r="M27" s="34"/>
      <x:c r="N27" s="2"/>
      <x:c r="O27" s="2"/>
      <x:c r="P27" s="2"/>
    </x:row>
    <x:row r="28" ht="19" customHeight="1">
      <x:c r="A28" s="2"/>
      <x:c r="B28" s="2"/>
      <x:c r="C28" s="2"/>
      <x:c r="D28" s="2"/>
      <x:c r="E28" s="2"/>
      <x:c r="F28" s="2"/>
      <x:c r="G28" s="2"/>
      <x:c r="H28" s="2"/>
      <x:c r="I28" s="34"/>
      <x:c r="J28" s="34"/>
      <x:c r="K28" s="34"/>
      <x:c r="L28" s="34"/>
      <x:c r="M28" s="34"/>
      <x:c r="N28" s="2"/>
      <x:c r="O28" s="2"/>
      <x:c r="P28" s="2"/>
    </x:row>
    <x:row r="29" ht="19" customHeight="1">
      <x:c r="A29" s="2"/>
      <x:c r="B29" s="2"/>
      <x:c r="C29" s="2"/>
      <x:c r="D29" s="2"/>
      <x:c r="E29" s="2"/>
      <x:c r="F29" s="2"/>
      <x:c r="G29" s="2"/>
      <x:c r="H29" s="2"/>
      <x:c r="I29" s="34"/>
      <x:c r="J29" s="34"/>
      <x:c r="K29" s="34"/>
      <x:c r="L29" s="34"/>
      <x:c r="M29" s="34"/>
      <x:c r="N29" s="2"/>
      <x:c r="O29" s="2"/>
      <x:c r="P29" s="2"/>
    </x:row>
    <x:row r="30" ht="19" customHeight="1">
      <x:c r="A30" s="2"/>
      <x:c r="B30" s="2"/>
      <x:c r="C30" s="2"/>
      <x:c r="D30" s="2"/>
      <x:c r="E30" s="2"/>
      <x:c r="F30" s="2"/>
      <x:c r="G30" s="2"/>
      <x:c r="H30" s="2"/>
      <x:c r="I30" s="34"/>
      <x:c r="J30" s="34"/>
      <x:c r="K30" s="34"/>
      <x:c r="L30" s="34"/>
      <x:c r="M30" s="34"/>
      <x:c r="N30" s="2"/>
      <x:c r="O30" s="2"/>
      <x:c r="P30" s="2"/>
    </x:row>
    <x:row r="31" ht="19" customHeight="1">
      <x:c r="A31" s="2"/>
      <x:c r="B31" s="2"/>
      <x:c r="C31" s="2"/>
      <x:c r="D31" s="2"/>
      <x:c r="E31" s="2"/>
      <x:c r="F31" s="2"/>
      <x:c r="G31" s="2"/>
      <x:c r="H31" s="2"/>
      <x:c r="I31" s="34"/>
      <x:c r="J31" s="34"/>
      <x:c r="K31" s="34"/>
      <x:c r="L31" s="34"/>
      <x:c r="M31" s="34"/>
      <x:c r="N31" s="2"/>
      <x:c r="O31" s="2"/>
      <x:c r="P31" s="2"/>
    </x:row>
    <x:row r="32" ht="19" customHeight="1">
      <x:c r="A32" s="2"/>
      <x:c r="B32" s="2"/>
      <x:c r="C32" s="2"/>
      <x:c r="D32" s="2"/>
      <x:c r="E32" s="2"/>
      <x:c r="F32" s="2"/>
      <x:c r="G32" s="2"/>
      <x:c r="H32" s="2"/>
      <x:c r="I32" s="34"/>
      <x:c r="J32" s="34"/>
      <x:c r="K32" s="34"/>
      <x:c r="L32" s="34"/>
      <x:c r="M32" s="34"/>
      <x:c r="N32" s="2"/>
      <x:c r="O32" s="2"/>
      <x:c r="P32" s="2"/>
    </x:row>
    <x:row r="33" ht="19" customHeight="1">
      <x:c r="A33" s="2"/>
      <x:c r="B33" s="2"/>
      <x:c r="C33" s="2"/>
      <x:c r="D33" s="2"/>
      <x:c r="E33" s="2"/>
      <x:c r="F33" s="2"/>
      <x:c r="G33" s="2"/>
      <x:c r="H33" s="2"/>
      <x:c r="I33" s="34"/>
      <x:c r="J33" s="34"/>
      <x:c r="K33" s="34"/>
      <x:c r="L33" s="34"/>
      <x:c r="M33" s="34"/>
      <x:c r="N33" s="2"/>
      <x:c r="O33" s="2"/>
      <x:c r="P33" s="2"/>
    </x:row>
    <x:row r="34" ht="19" customHeight="1">
      <x:c r="A34" s="2"/>
      <x:c r="B34" s="2"/>
      <x:c r="C34" s="2"/>
      <x:c r="D34" s="2"/>
      <x:c r="E34" s="2"/>
      <x:c r="F34" s="2"/>
      <x:c r="G34" s="2"/>
      <x:c r="H34" s="2"/>
      <x:c r="I34" s="34"/>
      <x:c r="J34" s="34"/>
      <x:c r="K34" s="34"/>
      <x:c r="L34" s="34"/>
      <x:c r="M34" s="34"/>
      <x:c r="N34" s="2"/>
      <x:c r="O34" s="2"/>
      <x:c r="P34" s="2"/>
    </x:row>
    <x:row r="35" ht="19" customHeight="1">
      <x:c r="A35" s="2"/>
      <x:c r="B35" s="2"/>
      <x:c r="C35" s="2"/>
      <x:c r="D35" s="2"/>
      <x:c r="E35" s="2"/>
      <x:c r="F35" s="2"/>
      <x:c r="G35" s="2"/>
      <x:c r="H35" s="2"/>
      <x:c r="I35" s="34"/>
      <x:c r="J35" s="34"/>
      <x:c r="K35" s="34"/>
      <x:c r="L35" s="34"/>
      <x:c r="M35" s="34"/>
      <x:c r="N35" s="2"/>
      <x:c r="O35" s="2"/>
      <x:c r="P35" s="2"/>
    </x:row>
    <x:row r="36" ht="19" customHeight="1">
      <x:c r="A36" s="2"/>
      <x:c r="B36" s="2"/>
      <x:c r="C36" s="2"/>
      <x:c r="D36" s="2"/>
      <x:c r="E36" s="2"/>
      <x:c r="F36" s="2"/>
      <x:c r="G36" s="2"/>
      <x:c r="H36" s="2"/>
      <x:c r="I36" s="34"/>
      <x:c r="J36" s="34"/>
      <x:c r="K36" s="34"/>
      <x:c r="L36" s="34"/>
      <x:c r="M36" s="34"/>
      <x:c r="N36" s="2"/>
      <x:c r="O36" s="2"/>
      <x:c r="P36" s="2"/>
    </x:row>
    <x:row r="37" ht="19" customHeight="1">
      <x:c r="A37" s="2"/>
      <x:c r="B37" s="2"/>
      <x:c r="C37" s="2"/>
      <x:c r="D37" s="2"/>
      <x:c r="E37" s="2"/>
      <x:c r="F37" s="2"/>
      <x:c r="G37" s="2"/>
      <x:c r="H37" s="2"/>
      <x:c r="I37" s="34"/>
      <x:c r="J37" s="34"/>
      <x:c r="K37" s="34"/>
      <x:c r="L37" s="34"/>
      <x:c r="M37" s="34"/>
      <x:c r="N37" s="2"/>
      <x:c r="O37" s="2"/>
      <x:c r="P37" s="2"/>
    </x:row>
    <x:row r="38" ht="19" customHeight="1">
      <x:c r="A38" s="2"/>
      <x:c r="B38" s="2"/>
      <x:c r="C38" s="2"/>
      <x:c r="D38" s="2"/>
      <x:c r="E38" s="2"/>
      <x:c r="F38" s="2"/>
      <x:c r="G38" s="2"/>
      <x:c r="H38" s="2"/>
      <x:c r="I38" s="34"/>
      <x:c r="J38" s="34"/>
      <x:c r="K38" s="34"/>
      <x:c r="L38" s="34"/>
      <x:c r="M38" s="34"/>
      <x:c r="N38" s="2"/>
      <x:c r="O38" s="2"/>
      <x:c r="P38" s="2"/>
    </x:row>
    <x:row r="39" ht="19" customHeight="1">
      <x:c r="A39" s="2"/>
      <x:c r="B39" s="2"/>
      <x:c r="C39" s="2"/>
      <x:c r="D39" s="2"/>
      <x:c r="E39" s="2"/>
      <x:c r="F39" s="2"/>
      <x:c r="G39" s="2"/>
      <x:c r="H39" s="2"/>
      <x:c r="I39" s="34"/>
      <x:c r="J39" s="34"/>
      <x:c r="K39" s="34"/>
      <x:c r="L39" s="34"/>
      <x:c r="M39" s="34"/>
      <x:c r="N39" s="2"/>
      <x:c r="O39" s="2"/>
      <x:c r="P39" s="2"/>
    </x:row>
    <x:row r="40" ht="19" customHeight="1">
      <x:c r="A40" s="2"/>
      <x:c r="B40" s="2"/>
      <x:c r="C40" s="2"/>
      <x:c r="D40" s="2"/>
      <x:c r="E40" s="2"/>
      <x:c r="F40" s="2"/>
      <x:c r="G40" s="2"/>
      <x:c r="H40" s="2"/>
      <x:c r="I40" s="34"/>
      <x:c r="J40" s="34"/>
      <x:c r="K40" s="34"/>
      <x:c r="L40" s="34"/>
      <x:c r="M40" s="34"/>
      <x:c r="N40" s="2"/>
      <x:c r="O40" s="2"/>
      <x:c r="P40" s="2"/>
    </x:row>
    <x:row r="41" ht="19" customHeight="1">
      <x:c r="A41" s="2"/>
      <x:c r="B41" s="2"/>
      <x:c r="C41" s="2"/>
      <x:c r="D41" s="2"/>
      <x:c r="E41" s="2"/>
      <x:c r="F41" s="2"/>
      <x:c r="G41" s="2"/>
      <x:c r="H41" s="2"/>
      <x:c r="I41" s="34"/>
      <x:c r="J41" s="34"/>
      <x:c r="K41" s="34"/>
      <x:c r="L41" s="34"/>
      <x:c r="M41" s="34"/>
      <x:c r="N41" s="2"/>
      <x:c r="O41" s="2"/>
      <x:c r="P41" s="2"/>
    </x:row>
    <x:row r="42" ht="19" customHeight="1">
      <x:c r="A42" s="2"/>
      <x:c r="B42" s="2"/>
      <x:c r="C42" s="2"/>
      <x:c r="D42" s="2"/>
      <x:c r="E42" s="2"/>
      <x:c r="F42" s="2"/>
      <x:c r="G42" s="2"/>
      <x:c r="H42" s="2"/>
      <x:c r="I42" s="34"/>
      <x:c r="J42" s="34"/>
      <x:c r="K42" s="34"/>
      <x:c r="L42" s="34"/>
      <x:c r="M42" s="34"/>
      <x:c r="N42" s="2"/>
      <x:c r="O42" s="2"/>
      <x:c r="P42" s="2"/>
    </x:row>
    <x:row r="43" ht="19" customHeight="1">
      <x:c r="A43" s="2"/>
      <x:c r="B43" s="2"/>
      <x:c r="C43" s="2"/>
      <x:c r="D43" s="2"/>
      <x:c r="E43" s="2"/>
      <x:c r="F43" s="2"/>
      <x:c r="G43" s="2"/>
      <x:c r="H43" s="2"/>
      <x:c r="I43" s="34"/>
      <x:c r="J43" s="34"/>
      <x:c r="K43" s="34"/>
      <x:c r="L43" s="34"/>
      <x:c r="M43" s="34"/>
      <x:c r="N43" s="2"/>
      <x:c r="O43" s="2"/>
      <x:c r="P43" s="2"/>
    </x:row>
    <x:row r="44" ht="19" customHeight="1">
      <x:c r="A44" s="2"/>
      <x:c r="B44" s="2"/>
      <x:c r="C44" s="2"/>
      <x:c r="D44" s="2"/>
      <x:c r="E44" s="2"/>
      <x:c r="F44" s="2"/>
      <x:c r="G44" s="2"/>
      <x:c r="H44" s="2"/>
      <x:c r="I44" s="34"/>
      <x:c r="J44" s="34"/>
      <x:c r="K44" s="34"/>
      <x:c r="L44" s="34"/>
      <x:c r="M44" s="34"/>
      <x:c r="N44" s="2"/>
      <x:c r="O44" s="2"/>
      <x:c r="P44" s="2"/>
    </x:row>
    <x:row r="45" ht="19" customHeight="1">
      <x:c r="A45" s="2"/>
      <x:c r="B45" s="2"/>
      <x:c r="C45" s="2"/>
      <x:c r="D45" s="2"/>
      <x:c r="E45" s="2"/>
      <x:c r="F45" s="2"/>
      <x:c r="G45" s="2"/>
      <x:c r="H45" s="2"/>
      <x:c r="I45" s="34"/>
      <x:c r="J45" s="34"/>
      <x:c r="K45" s="34"/>
      <x:c r="L45" s="34"/>
      <x:c r="M45" s="34"/>
      <x:c r="N45" s="2"/>
      <x:c r="O45" s="2"/>
      <x:c r="P45" s="2"/>
    </x:row>
    <x:row r="46" ht="19" customHeight="1">
      <x:c r="A46" s="2"/>
      <x:c r="B46" s="2"/>
      <x:c r="C46" s="2"/>
      <x:c r="D46" s="2"/>
      <x:c r="E46" s="2"/>
      <x:c r="F46" s="2"/>
      <x:c r="G46" s="2"/>
      <x:c r="H46" s="2"/>
      <x:c r="I46" s="34"/>
      <x:c r="J46" s="34"/>
      <x:c r="K46" s="34"/>
      <x:c r="L46" s="34"/>
      <x:c r="M46" s="34"/>
      <x:c r="N46" s="2"/>
      <x:c r="O46" s="2"/>
      <x:c r="P46" s="2"/>
    </x:row>
    <x:row r="47" ht="19" customHeight="1">
      <x:c r="A47" s="2"/>
      <x:c r="B47" s="2"/>
      <x:c r="C47" s="2"/>
      <x:c r="D47" s="2"/>
      <x:c r="E47" s="2"/>
      <x:c r="F47" s="2"/>
      <x:c r="G47" s="2"/>
      <x:c r="H47" s="2"/>
      <x:c r="I47" s="34"/>
      <x:c r="J47" s="34"/>
      <x:c r="K47" s="34"/>
      <x:c r="L47" s="34"/>
      <x:c r="M47" s="34"/>
      <x:c r="N47" s="2"/>
      <x:c r="O47" s="2"/>
      <x:c r="P47" s="2"/>
    </x:row>
    <x:row r="48" ht="19" customHeight="1">
      <x:c r="A48" s="2"/>
      <x:c r="B48" s="2"/>
      <x:c r="C48" s="2"/>
      <x:c r="D48" s="2"/>
      <x:c r="E48" s="2"/>
      <x:c r="F48" s="2"/>
      <x:c r="G48" s="2"/>
      <x:c r="H48" s="2"/>
      <x:c r="I48" s="34"/>
      <x:c r="J48" s="34"/>
      <x:c r="K48" s="34"/>
      <x:c r="L48" s="34"/>
      <x:c r="M48" s="34"/>
      <x:c r="N48" s="2"/>
      <x:c r="O48" s="2"/>
      <x:c r="P48" s="2"/>
    </x:row>
    <x:row r="49" ht="19" customHeight="1">
      <x:c r="A49" s="2"/>
      <x:c r="B49" s="2"/>
      <x:c r="C49" s="2"/>
      <x:c r="D49" s="2"/>
      <x:c r="E49" s="2"/>
      <x:c r="F49" s="2"/>
      <x:c r="G49" s="2"/>
      <x:c r="H49" s="2"/>
      <x:c r="I49" s="34"/>
      <x:c r="J49" s="34"/>
      <x:c r="K49" s="34"/>
      <x:c r="L49" s="34"/>
      <x:c r="M49" s="34"/>
      <x:c r="N49" s="2"/>
      <x:c r="O49" s="2"/>
      <x:c r="P49" s="2"/>
    </x:row>
    <x:row r="50" ht="19" customHeight="1">
      <x:c r="A50" s="2"/>
      <x:c r="B50" s="2"/>
      <x:c r="C50" s="2"/>
      <x:c r="D50" s="2"/>
      <x:c r="E50" s="2"/>
      <x:c r="F50" s="2"/>
      <x:c r="G50" s="2"/>
      <x:c r="H50" s="2"/>
      <x:c r="I50" s="34"/>
      <x:c r="J50" s="34"/>
      <x:c r="K50" s="34"/>
      <x:c r="L50" s="34"/>
      <x:c r="M50" s="34"/>
      <x:c r="N50" s="2"/>
      <x:c r="O50" s="2"/>
      <x:c r="P50" s="2"/>
    </x:row>
    <x:row r="51" ht="19" customHeight="1">
      <x:c r="A51" s="2"/>
      <x:c r="B51" s="2"/>
      <x:c r="C51" s="2"/>
      <x:c r="D51" s="2"/>
      <x:c r="E51" s="2"/>
      <x:c r="F51" s="2"/>
      <x:c r="G51" s="2"/>
      <x:c r="H51" s="2"/>
      <x:c r="I51" s="34"/>
      <x:c r="J51" s="34"/>
      <x:c r="K51" s="34"/>
      <x:c r="L51" s="34"/>
      <x:c r="M51" s="34"/>
      <x:c r="N51" s="2"/>
      <x:c r="O51" s="2"/>
      <x:c r="P51" s="2"/>
    </x:row>
    <x:row r="52" ht="19" customHeight="1">
      <x:c r="A52" s="2"/>
      <x:c r="B52" s="2"/>
      <x:c r="C52" s="2" t="str">
        <x:v>Fiscal year</x:v>
      </x:c>
      <x:c r="D52" s="2" t="str">
        <x:v>Revenue</x:v>
      </x:c>
      <x:c r="E52" s="2" t="str">
        <x:v>EBITDA</x:v>
      </x:c>
      <x:c r="F52" s="2" t="str">
        <x:v>Cash FCF</x:v>
      </x:c>
      <x:c r="G52" s="2"/>
      <x:c r="H52" s="2"/>
      <x:c r="I52" s="34"/>
      <x:c r="J52" s="34"/>
      <x:c r="K52" s="34"/>
      <x:c r="L52" s="34"/>
      <x:c r="M52" s="34"/>
      <x:c r="N52" s="2"/>
      <x:c r="O52" s="2"/>
      <x:c r="P52" s="2"/>
    </x:row>
    <x:row r="53" ht="19" customHeight="1">
      <x:c r="A53" s="2"/>
      <x:c r="B53" s="2"/>
      <x:c r="C53" s="2" t="str">
        <x:v>FY22</x:v>
      </x:c>
      <x:c r="D53" s="78" t="n">
        <x:f>D8</x:f>
        <x:v>122037.61</x:v>
      </x:c>
      <x:c r="E53" s="78" t="n">
        <x:f>D10</x:f>
        <x:v>12626.44</x:v>
      </x:c>
      <x:c r="F53" s="78" t="n">
        <x:f>D15</x:f>
        <x:v>-83.92000000000007</x:v>
      </x:c>
      <x:c r="G53" s="2"/>
      <x:c r="H53" s="2"/>
      <x:c r="I53" s="34"/>
      <x:c r="J53" s="34"/>
      <x:c r="K53" s="34"/>
      <x:c r="L53" s="34"/>
      <x:c r="M53" s="34"/>
      <x:c r="N53" s="2"/>
      <x:c r="O53" s="2"/>
      <x:c r="P53" s="2"/>
    </x:row>
    <x:row r="54" ht="19" customHeight="1">
      <x:c r="A54" s="2"/>
      <x:c r="B54" s="2"/>
      <x:c r="C54" s="2" t="str">
        <x:v>FY23</x:v>
      </x:c>
      <x:c r="D54" s="78" t="n">
        <x:f>E8</x:f>
        <x:v>141077.78</x:v>
      </x:c>
      <x:c r="E54" s="78" t="n">
        <x:f>E10</x:f>
        <x:v>18428.510000000002</x:v>
      </x:c>
      <x:c r="F54" s="78" t="n">
        <x:f>E15</x:f>
        <x:v>9691.029999999999</x:v>
      </x:c>
      <x:c r="G54" s="2"/>
      <x:c r="H54" s="2"/>
      <x:c r="I54" s="34"/>
      <x:c r="J54" s="34"/>
      <x:c r="K54" s="34"/>
      <x:c r="L54" s="34"/>
      <x:c r="M54" s="34"/>
      <x:c r="N54" s="2"/>
      <x:c r="O54" s="2"/>
      <x:c r="P54" s="2"/>
    </x:row>
    <x:row r="55" ht="19" customHeight="1">
      <x:c r="A55" s="2"/>
      <x:c r="B55" s="2"/>
      <x:c r="C55" s="2" t="str">
        <x:v>FY24</x:v>
      </x:c>
      <x:c r="D55" s="78" t="n">
        <x:f>F8</x:f>
        <x:v>180394.44</x:v>
      </x:c>
      <x:c r="E55" s="78" t="n">
        <x:f>F10</x:f>
        <x:v>24918.050000000003</x:v>
      </x:c>
      <x:c r="F55" s="78" t="n">
        <x:f>F15</x:f>
        <x:v>4382.68</x:v>
      </x:c>
      <x:c r="G55" s="2"/>
      <x:c r="H55" s="2"/>
      <x:c r="I55" s="34"/>
      <x:c r="J55" s="34"/>
      <x:c r="K55" s="34"/>
      <x:c r="L55" s="34"/>
      <x:c r="M55" s="34"/>
      <x:c r="N55" s="2"/>
      <x:c r="O55" s="2"/>
      <x:c r="P55" s="2"/>
    </x:row>
    <x:row r="56" ht="19" customHeight="1">
      <x:c r="A56" s="2"/>
      <x:c r="B56" s="2"/>
      <x:c r="C56" s="2" t="str">
        <x:v>FY25</x:v>
      </x:c>
      <x:c r="D56" s="78" t="n">
        <x:f>G8</x:f>
        <x:v>224083.13</x:v>
      </x:c>
      <x:c r="E56" s="78" t="n">
        <x:f>G10</x:f>
        <x:v>29602.399999999998</x:v>
      </x:c>
      <x:c r="F56" s="78" t="n">
        <x:f>G15</x:f>
        <x:v>8501.97</x:v>
      </x:c>
      <x:c r="G56" s="2"/>
      <x:c r="H56" s="2"/>
      <x:c r="I56" s="34"/>
      <x:c r="J56" s="34"/>
      <x:c r="K56" s="34"/>
      <x:c r="L56" s="34"/>
      <x:c r="M56" s="34"/>
      <x:c r="N56" s="2"/>
      <x:c r="O56" s="2"/>
      <x:c r="P56" s="2"/>
    </x:row>
    <x:row r="57" ht="19" customHeight="1">
      <x:c r="A57" s="2"/>
      <x:c r="B57" s="2"/>
      <x:c r="C57" s="2" t="str">
        <x:v>FY26</x:v>
      </x:c>
      <x:c r="D57" s="78" t="n">
        <x:f>H8</x:f>
        <x:v>288837.92</x:v>
      </x:c>
      <x:c r="E57" s="78" t="n">
        <x:f>H10</x:f>
        <x:v>40057.280000000006</x:v>
      </x:c>
      <x:c r="F57" s="78" t="n">
        <x:f>H15</x:f>
        <x:v>23307.329999999994</x:v>
      </x:c>
      <x:c r="G57" s="2"/>
      <x:c r="H57" s="2"/>
      <x:c r="I57" s="34"/>
      <x:c r="J57" s="34"/>
      <x:c r="K57" s="34"/>
      <x:c r="L57" s="34"/>
      <x:c r="M57" s="34"/>
      <x:c r="N57" s="2"/>
      <x:c r="O57" s="2"/>
      <x:c r="P57" s="2"/>
    </x:row>
    <x:row r="58" ht="19" customHeight="1">
      <x:c r="A58" s="2"/>
      <x:c r="B58" s="2"/>
      <x:c r="C58" s="2"/>
      <x:c r="D58" s="2"/>
      <x:c r="E58" s="2"/>
      <x:c r="F58" s="2"/>
      <x:c r="G58" s="2"/>
      <x:c r="H58" s="2"/>
      <x:c r="I58" s="34"/>
      <x:c r="J58" s="34"/>
      <x:c r="K58" s="34"/>
      <x:c r="L58" s="34"/>
      <x:c r="M58" s="34"/>
      <x:c r="N58" s="2"/>
      <x:c r="O58" s="2"/>
      <x:c r="P58" s="2"/>
    </x:row>
    <x:row r="59" ht="19" customHeight="1">
      <x:c r="A59" s="2"/>
      <x:c r="B59" s="2"/>
      <x:c r="C59" s="2"/>
      <x:c r="D59" s="2"/>
      <x:c r="E59" s="2"/>
      <x:c r="F59" s="2"/>
      <x:c r="G59" s="2"/>
      <x:c r="H59" s="2"/>
      <x:c r="I59" s="34"/>
      <x:c r="J59" s="34"/>
      <x:c r="K59" s="34"/>
      <x:c r="L59" s="34"/>
      <x:c r="M59" s="34"/>
      <x:c r="N59" s="2"/>
      <x:c r="O59" s="2"/>
      <x:c r="P59" s="2"/>
    </x:row>
    <x:row r="60" ht="19" customHeight="1">
      <x:c r="A60" s="2"/>
      <x:c r="B60" s="2"/>
      <x:c r="C60" s="2"/>
      <x:c r="D60" s="2"/>
      <x:c r="E60" s="2"/>
      <x:c r="F60" s="2"/>
      <x:c r="G60" s="2"/>
      <x:c r="H60" s="2"/>
      <x:c r="I60" s="34"/>
      <x:c r="J60" s="34"/>
      <x:c r="K60" s="34"/>
      <x:c r="L60" s="34"/>
      <x:c r="M60" s="34"/>
      <x:c r="N60" s="2"/>
      <x:c r="O60" s="2"/>
      <x:c r="P60" s="2"/>
    </x:row>
    <x:row r="61" ht="19" customHeight="1">
      <x:c r="A61" s="2"/>
      <x:c r="B61" s="2"/>
      <x:c r="C61" s="2"/>
      <x:c r="D61" s="2"/>
      <x:c r="E61" s="2"/>
      <x:c r="F61" s="2"/>
      <x:c r="G61" s="2"/>
      <x:c r="H61" s="2"/>
      <x:c r="I61" s="34"/>
      <x:c r="J61" s="34"/>
      <x:c r="K61" s="34"/>
      <x:c r="L61" s="34"/>
      <x:c r="M61" s="34"/>
      <x:c r="N61" s="2"/>
      <x:c r="O61" s="2"/>
      <x:c r="P61" s="2"/>
    </x:row>
    <x:row r="62" ht="19" customHeight="1">
      <x:c r="A62" s="2"/>
      <x:c r="B62" s="2"/>
      <x:c r="C62" s="2"/>
      <x:c r="D62" s="2"/>
      <x:c r="E62" s="2"/>
      <x:c r="F62" s="2"/>
      <x:c r="G62" s="2"/>
      <x:c r="H62" s="2"/>
      <x:c r="I62" s="34"/>
      <x:c r="J62" s="34"/>
      <x:c r="K62" s="34"/>
      <x:c r="L62" s="34"/>
      <x:c r="M62" s="34"/>
      <x:c r="N62" s="2"/>
      <x:c r="O62" s="2"/>
      <x:c r="P62" s="2"/>
    </x:row>
    <x:row r="63" ht="19" customHeight="1">
      <x:c r="A63" s="2"/>
      <x:c r="B63" s="2"/>
      <x:c r="C63" s="2"/>
      <x:c r="D63" s="2"/>
      <x:c r="E63" s="2"/>
      <x:c r="F63" s="2"/>
      <x:c r="G63" s="2"/>
      <x:c r="H63" s="2"/>
      <x:c r="I63" s="34"/>
      <x:c r="J63" s="34"/>
      <x:c r="K63" s="34"/>
      <x:c r="L63" s="34"/>
      <x:c r="M63" s="34"/>
      <x:c r="N63" s="2"/>
      <x:c r="O63" s="2"/>
      <x:c r="P63" s="2"/>
    </x:row>
    <x:row r="64" ht="19" customHeight="1">
      <x:c r="A64" s="2"/>
      <x:c r="B64" s="2"/>
      <x:c r="C64" s="2"/>
      <x:c r="D64" s="2"/>
      <x:c r="E64" s="2"/>
      <x:c r="F64" s="2"/>
      <x:c r="G64" s="2"/>
      <x:c r="H64" s="2"/>
      <x:c r="I64" s="34"/>
      <x:c r="J64" s="34"/>
      <x:c r="K64" s="34"/>
      <x:c r="L64" s="34"/>
      <x:c r="M64" s="34"/>
      <x:c r="N64" s="2"/>
      <x:c r="O64" s="2"/>
      <x:c r="P64" s="2"/>
    </x:row>
    <x:row r="65" ht="19" customHeight="1">
      <x:c r="A65" s="2"/>
      <x:c r="B65" s="2"/>
      <x:c r="C65" s="2"/>
      <x:c r="D65" s="2"/>
      <x:c r="E65" s="2"/>
      <x:c r="F65" s="2"/>
      <x:c r="G65" s="2"/>
      <x:c r="H65" s="2"/>
      <x:c r="I65" s="34"/>
      <x:c r="J65" s="34"/>
      <x:c r="K65" s="34"/>
      <x:c r="L65" s="34"/>
      <x:c r="M65" s="34"/>
      <x:c r="N65" s="2"/>
      <x:c r="O65" s="2"/>
      <x:c r="P65" s="2"/>
    </x:row>
  </x:sheetData>
  <x:mergeCells>
    <x:mergeCell ref="C4:M4"/>
    <x:mergeCell ref="D24:M24"/>
  </x:mergeCells>
  <x:pageMargins left="0.7" right="0.7" top="0.75" bottom="0.75" header="0.3" footer="0.3"/>
  <x:drawing xmlns:r="http://schemas.openxmlformats.org/officeDocument/2006/relationships" r:id="Ra4f361ce7d8d4f8d"/>
</x:worksheet>
</file>